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bookViews>
    <workbookView xWindow="16635" yWindow="49216" windowWidth="29040" windowHeight="15720" tabRatio="858" firstSheet="9" activeTab="0"/>
  </bookViews>
  <sheets>
    <sheet name="Data" sheetId="8" r:id="rId1"/>
    <sheet name="Job Sheet" sheetId="1" r:id="rId2"/>
    <sheet name="Installation" sheetId="33" r:id="rId3"/>
    <sheet name="Mitred Cutting" sheetId="22" r:id="rId4"/>
    <sheet name="Straight Cutting" sheetId="31" r:id="rId5"/>
    <sheet name="Punching" sheetId="27" r:id="rId6"/>
    <sheet name="Guillotine" sheetId="29" r:id="rId7"/>
    <sheet name="Assembly(a)" sheetId="24" r:id="rId8"/>
    <sheet name="Assembly(b)" sheetId="30" r:id="rId9"/>
    <sheet name="Bagging" sheetId="25" r:id="rId10"/>
    <sheet name="DBS Order Form" sheetId="28" r:id="rId11"/>
    <sheet name="Components" sheetId="32" r:id="rId12"/>
    <sheet name="Labels" sheetId="9" r:id="rId13"/>
    <sheet name="Deductions" sheetId="10" r:id="rId14"/>
    <sheet name="Mesh Look Ups" sheetId="23" r:id="rId15"/>
  </sheets>
  <definedNames>
    <definedName name="_xleta.AND" hidden="1">#NAME?</definedName>
    <definedName name="_xleta.CONCATENATE" hidden="1">#NAME?</definedName>
    <definedName name="_xleta.LEFT" hidden="1">#NAME?</definedName>
    <definedName name="_xleta.OR" hidden="1">#NAME?</definedName>
    <definedName name="_xleta.RIGHT" hidden="1">#NAME?</definedName>
    <definedName name="_xleta.SHEET" hidden="1">#NAME?</definedName>
    <definedName name="_xleta.SINGLE" hidden="1">#NAME?</definedName>
    <definedName name="_xleta.SMALL" hidden="1">#NAME?</definedName>
    <definedName name="_xleta.T" hidden="1">#NAME?</definedName>
    <definedName name="_xleta.TRIM" hidden="1">#NAME?</definedName>
    <definedName name="AdjustableHighKits">#REF!</definedName>
    <definedName name="AdjustableLowKits">#REF!</definedName>
    <definedName name="AGDrop">'Mesh Look Ups'!$H$3:$H$6</definedName>
    <definedName name="AGGrid">'Mesh Look Ups'!$I$3:$L$5</definedName>
    <definedName name="AGWidth">'Mesh Look Ups'!$I$2:$M$2</definedName>
    <definedName name="AssemblyAProcedure">'Assembly(a)'!$R$13:$S$18</definedName>
    <definedName name="AssemblyBProcedure">'Assembly(b)'!$X$12:$Y$40</definedName>
    <definedName name="ChecklistCodes">Deductions!$BV$2:$BW$800</definedName>
    <definedName name="CompanyPkId">Data!$BB$2</definedName>
    <definedName name="CustName">'Job Sheet'!$M$2</definedName>
    <definedName name="CustOrdOpt">Data!$CE$10:$CK$95</definedName>
    <definedName name="DataSettings">Data!$A$5:$F$24</definedName>
    <definedName name="DDGDrop">'Mesh Look Ups'!$O$11:$O$12</definedName>
    <definedName name="DDGGrid">'Mesh Look Ups'!$P$11:$S$12</definedName>
    <definedName name="DDGWidth">'Mesh Look Ups'!$P$10:$S$10</definedName>
    <definedName name="DogDoor">Deductions!$AO$2:$AR$17</definedName>
    <definedName name="DoorType">Deductions!$T$2:$W$36</definedName>
    <definedName name="DVADrop">'Mesh Look Ups'!$A$11:$A$13</definedName>
    <definedName name="DVAGrid">'Mesh Look Ups'!$B$11:$F$14</definedName>
    <definedName name="DVAWidth">'Mesh Look Ups'!$B$10:$F$10</definedName>
    <definedName name="FCONTROL">Deductions!$CO$3:$CP$8</definedName>
    <definedName name="FDEDUCT">Deductions!$CM$3:$CN$30</definedName>
    <definedName name="FDEDUCT2">Deductions!$CM$3:$CN$29</definedName>
    <definedName name="FGRADING">Deductions!$CE$3:$CF$14</definedName>
    <definedName name="FitDeduct">Deductions!$A$1:$B$5</definedName>
    <definedName name="FixDeduct">Deductions!$J$2:$L$175</definedName>
    <definedName name="FLEGF">Deductions!$CS$3:$CT$7</definedName>
    <definedName name="FLOCK">Deductions!$CQ$3:$CR$12</definedName>
    <definedName name="FSURFACE">Deductions!$CI$3:$CJ$16</definedName>
    <definedName name="FTAKEDOWN">Deductions!$CG$3:$CH$3</definedName>
    <definedName name="HighTripleLockKits">Deductions!$AY$2:$AZ$6</definedName>
    <definedName name="InventoryGroup">Data!$BA$1</definedName>
    <definedName name="JobPickLastRow">Data!$BA$2</definedName>
    <definedName name="LockAccess">Deductions!$AD$2:$AK$26</definedName>
    <definedName name="LockCode">Deductions!$Y$2:$Z$7</definedName>
    <definedName name="LowTripleLockKits">Deductions!$BD$2:$BE$6</definedName>
    <definedName name="PGDrop">'Mesh Look Ups'!$H$11:$H$13</definedName>
    <definedName name="PGGrid">'Mesh Look Ups'!$I$11:$L$13</definedName>
    <definedName name="PGWidth">'Mesh Look Ups'!$I$10:$L$10</definedName>
    <definedName name="PoolTripleLockKits">Deductions!$BI$2:$BJ$6</definedName>
    <definedName name="_xlnm.Print_Area" localSheetId="7">'Assembly(a)'!$A$1:$M$21</definedName>
    <definedName name="_xlnm.Print_Area" localSheetId="8">'Assembly(b)'!$A$1:$R$21</definedName>
    <definedName name="_xlnm.Print_Area" localSheetId="9">Bagging!$A$1:$S$21</definedName>
    <definedName name="_xlnm.Print_Area" localSheetId="10">'DBS Order Form'!$A$1:$AT$17</definedName>
    <definedName name="_xlnm.Print_Area" localSheetId="6">Guillotine!$A$1:$N$21</definedName>
    <definedName name="_xlnm.Print_Area" localSheetId="2">Installation!$A$1:$T$20</definedName>
    <definedName name="_xlnm.Print_Area" localSheetId="1">'Job Sheet'!$A$1:$BF$20</definedName>
    <definedName name="_xlnm.Print_Area" localSheetId="3">'Mitred Cutting'!$A$1:$P$20</definedName>
    <definedName name="_xlnm.Print_Area" localSheetId="5">Punching!$A$1:$N$20</definedName>
    <definedName name="_xlnm.Print_Area" localSheetId="4">'Straight Cutting'!$A$1:$Z$20</definedName>
    <definedName name="_xlnm.Print_Titles" localSheetId="1">'Job Sheet'!$1:$10</definedName>
    <definedName name="PunchingProcedure">Punching!$T$12:$U$26</definedName>
    <definedName name="RightColumn">Data!$BA$3</definedName>
    <definedName name="SDGDrop">'Mesh Look Ups'!$O$3:$O$5</definedName>
    <definedName name="SDGGrid">'Mesh Look Ups'!$P$3:$T$5</definedName>
    <definedName name="SDGWidth">'Mesh Look Ups'!$P$2:$T$2</definedName>
    <definedName name="SideDeduct">Deductions!$C$1:$E$41</definedName>
    <definedName name="STACKEROL">Deductions!$AT$2:$AU$4</definedName>
    <definedName name="Track">Deductions!$N$2:$P$14</definedName>
    <definedName name="UserPkId">Data!$AV$3</definedName>
    <definedName name="WSSDrop">'Mesh Look Ups'!$A$3:$A$6</definedName>
    <definedName name="WSSGrid">'Mesh Look Ups'!$B$3:$F$6</definedName>
    <definedName name="WSSWidth">'Mesh Look Ups'!$B$2:$F$2</definedName>
  </definedNames>
  <calcPr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<sst xmlns="http://schemas.openxmlformats.org/spreadsheetml/2006/main" count="7183" uniqueCount="934">
  <si>
    <t>PkId</t>
  </si>
  <si>
    <t>Descn</t>
  </si>
  <si>
    <t>DateDoc</t>
  </si>
  <si>
    <t>RefNo</t>
  </si>
  <si>
    <t>Special Instructions</t>
  </si>
  <si>
    <t>Comment</t>
  </si>
  <si>
    <t>Notes</t>
  </si>
  <si>
    <t>JOB SHEET</t>
  </si>
  <si>
    <t>Customer Order Ref:</t>
  </si>
  <si>
    <t>ORDER REC'D:</t>
  </si>
  <si>
    <t>This should be in column BG</t>
  </si>
  <si>
    <t>Fit</t>
  </si>
  <si>
    <t>Delivery Address</t>
  </si>
  <si>
    <t>FixedLine</t>
  </si>
  <si>
    <t>LastRow</t>
  </si>
  <si>
    <t>REVISION:</t>
  </si>
  <si>
    <t>InventoryGroup</t>
  </si>
  <si>
    <t>RightColumn</t>
  </si>
  <si>
    <t>W</t>
  </si>
  <si>
    <t>CustomerPkId</t>
  </si>
  <si>
    <t>FollowUpDate</t>
  </si>
  <si>
    <t>OrderItemPkId</t>
  </si>
  <si>
    <t>AcceptedDate</t>
  </si>
  <si>
    <t>SECD</t>
  </si>
  <si>
    <t>LastPwkCopyNo</t>
  </si>
  <si>
    <t>b64c1b45-c18e-4895-b2a0-91897d2591d2</t>
  </si>
  <si>
    <t>3c5ee578-b561-4f43-9b35-495bb6956c01</t>
  </si>
  <si>
    <t>InvoicedDate</t>
  </si>
  <si>
    <t>Revision</t>
  </si>
  <si>
    <t>Customer.Code</t>
  </si>
  <si>
    <t>Customer.Descn</t>
  </si>
  <si>
    <t>Contact.AddUnitNo</t>
  </si>
  <si>
    <t>Contact.AddNo</t>
  </si>
  <si>
    <t>Contact.AddBuilding</t>
  </si>
  <si>
    <t>Contact.AddStreet</t>
  </si>
  <si>
    <t>Contact.AddStType</t>
  </si>
  <si>
    <t>Contact.AddSuburb</t>
  </si>
  <si>
    <t>Contact.AddState</t>
  </si>
  <si>
    <t>Contact.AddPCode</t>
  </si>
  <si>
    <t>Contact.AddCountry</t>
  </si>
  <si>
    <t>Contact.Email</t>
  </si>
  <si>
    <t>Contact.DirectPhone</t>
  </si>
  <si>
    <t>Contact.Mobile</t>
  </si>
  <si>
    <t>Contact.PhOtherDescn1</t>
  </si>
  <si>
    <t>Contact.PhoneOther1</t>
  </si>
  <si>
    <t>Contact.PhOtherDescn2</t>
  </si>
  <si>
    <t>Contact.PhoneOther2</t>
  </si>
  <si>
    <t>Branch.Descn</t>
  </si>
  <si>
    <t>Branch.AddressLine1</t>
  </si>
  <si>
    <t>Branch.AddressLine2</t>
  </si>
  <si>
    <t>Branch.DirectPhone</t>
  </si>
  <si>
    <t>Branch.Fax</t>
  </si>
  <si>
    <t>Branch.Email</t>
  </si>
  <si>
    <t>SalesRepresentative.Descn</t>
  </si>
  <si>
    <t>SalesRepresentative.Mobile</t>
  </si>
  <si>
    <t>Customer.InvoiceMessage</t>
  </si>
  <si>
    <t>Billing.AddUnitNo</t>
  </si>
  <si>
    <t>Billing.AddNo</t>
  </si>
  <si>
    <t>Billing.AddBuilding</t>
  </si>
  <si>
    <t>Billing.AddStreet</t>
  </si>
  <si>
    <t>Billing.AddStType</t>
  </si>
  <si>
    <t>Billing.AddSuburb</t>
  </si>
  <si>
    <t>Billing.AddState</t>
  </si>
  <si>
    <t>Billing.AddPCode</t>
  </si>
  <si>
    <t>Billing.AddCountry</t>
  </si>
  <si>
    <t>BranchMarkupPer</t>
  </si>
  <si>
    <t>RepresentativeMarkupPer</t>
  </si>
  <si>
    <t>Billing.Title</t>
  </si>
  <si>
    <t>Billing.FirstName</t>
  </si>
  <si>
    <t>Billing.LastName</t>
  </si>
  <si>
    <t>Contact.Title</t>
  </si>
  <si>
    <t>Contact.FirstName</t>
  </si>
  <si>
    <t>Contact.LastName</t>
  </si>
  <si>
    <t>Customer.CustomerGroup.Descn</t>
  </si>
  <si>
    <t>Billing.DirectPhone</t>
  </si>
  <si>
    <t>Billing.Mobile</t>
  </si>
  <si>
    <t>Billing.PhOtherDescn1</t>
  </si>
  <si>
    <t>Billing.PhoneOther1</t>
  </si>
  <si>
    <t>Billing.PhOtherDescn2</t>
  </si>
  <si>
    <t>Billing.PhoneOther2</t>
  </si>
  <si>
    <t>User.Name</t>
  </si>
  <si>
    <t>Deposits</t>
  </si>
  <si>
    <t>Amt</t>
  </si>
  <si>
    <t>SalesRepresentative.Email</t>
  </si>
  <si>
    <t>Billing.Email</t>
  </si>
  <si>
    <t>InvoiceDeliveryStatus</t>
  </si>
  <si>
    <t>Current</t>
  </si>
  <si>
    <t>30Days</t>
  </si>
  <si>
    <t>60Days</t>
  </si>
  <si>
    <t>90Days</t>
  </si>
  <si>
    <t>AmtIncTax</t>
  </si>
  <si>
    <t>AcceptedByUser.Name</t>
  </si>
  <si>
    <t>Installer</t>
  </si>
  <si>
    <t>InventoryGroup.Descn</t>
  </si>
  <si>
    <t>Qty</t>
  </si>
  <si>
    <t>ItemWidth</t>
  </si>
  <si>
    <t>ItemHeight</t>
  </si>
  <si>
    <t>Inventory.Code</t>
  </si>
  <si>
    <t>Inventory.Descn</t>
  </si>
  <si>
    <t>Production.DateSched</t>
  </si>
  <si>
    <t>DiscPer</t>
  </si>
  <si>
    <t>Tax</t>
  </si>
  <si>
    <t>RRP</t>
  </si>
  <si>
    <t>DiscountAmt</t>
  </si>
  <si>
    <t>UnitCost</t>
  </si>
  <si>
    <t>Production.ProductionLine.Descn</t>
  </si>
  <si>
    <t>Inventory.Material</t>
  </si>
  <si>
    <t>Inventory.MaterialType</t>
  </si>
  <si>
    <t>Inventory.Colour</t>
  </si>
  <si>
    <t>Supplier</t>
  </si>
  <si>
    <t>Supp Prod Code</t>
  </si>
  <si>
    <t>Supp Prod Descn</t>
  </si>
  <si>
    <t>OrderItemPkId | Descn</t>
  </si>
  <si>
    <t>StrValue</t>
  </si>
  <si>
    <t>Header</t>
  </si>
  <si>
    <t>Barcode</t>
  </si>
  <si>
    <t>Field 1 - Order Date</t>
  </si>
  <si>
    <t>Field 2 - Order No/Revision/LineNo</t>
  </si>
  <si>
    <t>Customer Name</t>
  </si>
  <si>
    <t>Product</t>
  </si>
  <si>
    <t>Location</t>
  </si>
  <si>
    <t>Dimensions</t>
  </si>
  <si>
    <t>Print Qty</t>
  </si>
  <si>
    <t>End Format</t>
  </si>
  <si>
    <t>DATASETTINGS</t>
  </si>
  <si>
    <t>Sheet Name</t>
  </si>
  <si>
    <t>First Row</t>
  </si>
  <si>
    <t>Last Row</t>
  </si>
  <si>
    <t>Right Column</t>
  </si>
  <si>
    <t>Include in PDF</t>
  </si>
  <si>
    <t>No of Copy in PDF</t>
  </si>
  <si>
    <t>Job Sheet</t>
  </si>
  <si>
    <t>Labels</t>
  </si>
  <si>
    <t>K</t>
  </si>
  <si>
    <t>Label 1</t>
  </si>
  <si>
    <t>Order Ref</t>
  </si>
  <si>
    <t>Side by Side</t>
  </si>
  <si>
    <t>Job required</t>
  </si>
  <si>
    <t>Flag</t>
  </si>
  <si>
    <t>Fabric Width</t>
  </si>
  <si>
    <t>CustVar1 (PackSize)</t>
  </si>
  <si>
    <t>CustVar2 (PackOpt)</t>
  </si>
  <si>
    <t>Sticker No.</t>
  </si>
  <si>
    <t>Order #</t>
  </si>
  <si>
    <t>CustVar3 (PackType)</t>
  </si>
  <si>
    <t>Sizes</t>
  </si>
  <si>
    <t>Deduction</t>
  </si>
  <si>
    <t>No</t>
  </si>
  <si>
    <t>Installation Deliver or Supply Only</t>
  </si>
  <si>
    <t>Is Rework / Remake</t>
  </si>
  <si>
    <t>Entered Width</t>
  </si>
  <si>
    <t>Additional Deductions</t>
  </si>
  <si>
    <t>Deductions</t>
  </si>
  <si>
    <t>A</t>
  </si>
  <si>
    <t>Door Width</t>
  </si>
  <si>
    <t>Door Drop</t>
  </si>
  <si>
    <t>Door Type &amp; Colour</t>
  </si>
  <si>
    <t>Lock or Tongue Height</t>
  </si>
  <si>
    <t>Lock or Tongue Code</t>
  </si>
  <si>
    <t>Locks</t>
  </si>
  <si>
    <t>Key Alike</t>
  </si>
  <si>
    <t>Doggy Door</t>
  </si>
  <si>
    <t>Petway Size</t>
  </si>
  <si>
    <t>Dog Door Colour</t>
  </si>
  <si>
    <t>Doggy Door Position</t>
  </si>
  <si>
    <t>Inside</t>
  </si>
  <si>
    <t>Timber</t>
  </si>
  <si>
    <t>Door Type</t>
  </si>
  <si>
    <t>Fixing</t>
  </si>
  <si>
    <t>Outside</t>
  </si>
  <si>
    <t>Steel</t>
  </si>
  <si>
    <t>Aluminium</t>
  </si>
  <si>
    <t>Brick</t>
  </si>
  <si>
    <t>Plaster</t>
  </si>
  <si>
    <t>Width Deduction</t>
  </si>
  <si>
    <t>Entered Drop</t>
  </si>
  <si>
    <t>Key Number</t>
  </si>
  <si>
    <t>Lock Side</t>
  </si>
  <si>
    <t>Hinged</t>
  </si>
  <si>
    <t>Sliding</t>
  </si>
  <si>
    <t>Hinged or Sliding</t>
  </si>
  <si>
    <t>Hinges Attached to Door</t>
  </si>
  <si>
    <t>Drop Deduction</t>
  </si>
  <si>
    <t>Mid Rail</t>
  </si>
  <si>
    <t>Mid Rail Height from Bottom</t>
  </si>
  <si>
    <t>Guide Blocks for Top Track</t>
  </si>
  <si>
    <t>DVA Mesh Colour</t>
  </si>
  <si>
    <t>Allowance for Existing Hinges Checked in</t>
  </si>
  <si>
    <t>Customer.Warning</t>
  </si>
  <si>
    <t>Customer.WarningColour</t>
  </si>
  <si>
    <t>Long Leg Fame</t>
  </si>
  <si>
    <t>Look Up</t>
  </si>
  <si>
    <t>Long &amp; Short Leg Framing</t>
  </si>
  <si>
    <t>Short Leg Left, Right and Top</t>
  </si>
  <si>
    <t>Short Leg 1 Side</t>
  </si>
  <si>
    <t>Long Leg Left, Right and Top</t>
  </si>
  <si>
    <t>10mm off Drop  Only</t>
  </si>
  <si>
    <t>5mm off Width &amp; Drop</t>
  </si>
  <si>
    <t>10mm off Width &amp; Drop</t>
  </si>
  <si>
    <t>15mm off Width &amp; Drop</t>
  </si>
  <si>
    <t>20mm off Width &amp; Drop</t>
  </si>
  <si>
    <t>2mm off Width Only</t>
  </si>
  <si>
    <t>5mm off Width Only</t>
  </si>
  <si>
    <t>10mm off Width Only</t>
  </si>
  <si>
    <t>15mm off Width Only</t>
  </si>
  <si>
    <t>20mm off Width Only</t>
  </si>
  <si>
    <t>2mm off Drop Only</t>
  </si>
  <si>
    <t>5mm off Drop Only</t>
  </si>
  <si>
    <t>15mm off Drop  Only</t>
  </si>
  <si>
    <t>20mm off Drop  Only</t>
  </si>
  <si>
    <t>Lock Colour</t>
  </si>
  <si>
    <t>Closer Colour</t>
  </si>
  <si>
    <t>Sliding Track Length</t>
  </si>
  <si>
    <t>Sliding Door Track</t>
  </si>
  <si>
    <t>Single</t>
  </si>
  <si>
    <t>Single or Double</t>
  </si>
  <si>
    <t>Double</t>
  </si>
  <si>
    <t>Top &amp; Bottom Tracks</t>
  </si>
  <si>
    <t>Top Only Track</t>
  </si>
  <si>
    <t>Bottom Only Track</t>
  </si>
  <si>
    <t>Stacker</t>
  </si>
  <si>
    <t>Existing Track</t>
  </si>
  <si>
    <t>F &amp; Z Frames</t>
  </si>
  <si>
    <t>Woven Stainless Steel</t>
  </si>
  <si>
    <t>Mesh Type</t>
  </si>
  <si>
    <t>Frame Type</t>
  </si>
  <si>
    <t>Frame</t>
  </si>
  <si>
    <t>Standard Diamond</t>
  </si>
  <si>
    <t>Woven Galvanised Steel</t>
  </si>
  <si>
    <t>Decorative Diamond</t>
  </si>
  <si>
    <t>Colonial Cast</t>
  </si>
  <si>
    <t>Privacy-Gard</t>
  </si>
  <si>
    <t>Alu-Gard Perforated Aluminium</t>
  </si>
  <si>
    <t>Invisi-Gard Woven Stainless Steel</t>
  </si>
  <si>
    <t>Standard</t>
  </si>
  <si>
    <t>Invisi-Gard</t>
  </si>
  <si>
    <t>750 x 2000</t>
  </si>
  <si>
    <t>750 x 2400</t>
  </si>
  <si>
    <t>750 x 3000</t>
  </si>
  <si>
    <t>900 x 2000</t>
  </si>
  <si>
    <t>900 x 2400</t>
  </si>
  <si>
    <t>900 x 3000</t>
  </si>
  <si>
    <t>1200 x 2000</t>
  </si>
  <si>
    <t>1200 x 2400</t>
  </si>
  <si>
    <t>1200 x 3000</t>
  </si>
  <si>
    <t>1500 x 2000</t>
  </si>
  <si>
    <t>1500 x 2400</t>
  </si>
  <si>
    <t>1500 x 3000</t>
  </si>
  <si>
    <t>F Strip</t>
  </si>
  <si>
    <t>Z Strip</t>
  </si>
  <si>
    <t>Standard Diamond Grill</t>
  </si>
  <si>
    <t>750 x 2050</t>
  </si>
  <si>
    <t>835 x 2050</t>
  </si>
  <si>
    <t>920 x 2050</t>
  </si>
  <si>
    <t>920 x 2450</t>
  </si>
  <si>
    <t>Alu-Gard</t>
  </si>
  <si>
    <t>T Mullion</t>
  </si>
  <si>
    <t>MOT - Middle of Tongue</t>
  </si>
  <si>
    <t>Lock Code</t>
  </si>
  <si>
    <t>BOL - Bottom of Lock</t>
  </si>
  <si>
    <t>TOL - Top of Lock</t>
  </si>
  <si>
    <t>MOL - Middle of Lock</t>
  </si>
  <si>
    <t>Bagging</t>
  </si>
  <si>
    <t>Centre Lock Punch</t>
  </si>
  <si>
    <t>High Lock Punch</t>
  </si>
  <si>
    <t>Low Lock Punch</t>
  </si>
  <si>
    <t>Centre Lock Punch from Bottom</t>
  </si>
  <si>
    <t>Hinges</t>
  </si>
  <si>
    <t>Door Closer</t>
  </si>
  <si>
    <t>Lock Bolts</t>
  </si>
  <si>
    <t>F &amp; Z Strips</t>
  </si>
  <si>
    <t>Frame Colour</t>
  </si>
  <si>
    <t>Infill Wedge</t>
  </si>
  <si>
    <t>Cover Strip</t>
  </si>
  <si>
    <t>Infill Wedge Size</t>
  </si>
  <si>
    <t>Triple Lock</t>
  </si>
  <si>
    <t>Lock Accessories</t>
  </si>
  <si>
    <t xml:space="preserve">Locks </t>
  </si>
  <si>
    <t>Lock accessories</t>
  </si>
  <si>
    <t>Single Lock</t>
  </si>
  <si>
    <t>U Receiving Channel</t>
  </si>
  <si>
    <t>H Receiving Channel</t>
  </si>
  <si>
    <t>V-Saw Mitred Cuts</t>
  </si>
  <si>
    <t>Straight Cuts</t>
  </si>
  <si>
    <t>Bass Latch</t>
  </si>
  <si>
    <t>Bass Latch Kit</t>
  </si>
  <si>
    <t>Left</t>
  </si>
  <si>
    <t>Centre</t>
  </si>
  <si>
    <t>Dog Door</t>
  </si>
  <si>
    <t>Right</t>
  </si>
  <si>
    <t>Other - Attach Diagram</t>
  </si>
  <si>
    <t>Position</t>
  </si>
  <si>
    <t>265mm Mitred LHS</t>
  </si>
  <si>
    <t>265mm Mitred RHS</t>
  </si>
  <si>
    <t>Flyscreen Width Req</t>
  </si>
  <si>
    <t>300mm Mitred LHS</t>
  </si>
  <si>
    <t>300mm Mitred RHS</t>
  </si>
  <si>
    <t>335mm Mitred LHS</t>
  </si>
  <si>
    <t>335mm Mitred RHS</t>
  </si>
  <si>
    <t>Drop Cut Length</t>
  </si>
  <si>
    <t>Straight &amp; Mitred Cut</t>
  </si>
  <si>
    <t>Dog Door Flyscreen Width</t>
  </si>
  <si>
    <t>Dog Door Flyscreen Drop</t>
  </si>
  <si>
    <t>Small 190mm x 240mm</t>
  </si>
  <si>
    <t>Medium 225mm x 305mm</t>
  </si>
  <si>
    <t>Large 260mm x 400mm</t>
  </si>
  <si>
    <t>Yes</t>
  </si>
  <si>
    <t>Centre of Drop</t>
  </si>
  <si>
    <t>In Fill Wedge</t>
  </si>
  <si>
    <t>1.6mm</t>
  </si>
  <si>
    <t>Cover Strip Required</t>
  </si>
  <si>
    <t xml:space="preserve">Invisi-Gard </t>
  </si>
  <si>
    <t>N/A</t>
  </si>
  <si>
    <t>Triple Lock Kit</t>
  </si>
  <si>
    <t>285mm Mitred Both Ends</t>
  </si>
  <si>
    <t>320mm Mitred LHS &amp; 320mm Mitred RHS</t>
  </si>
  <si>
    <t>320mm Mitred Both Ends</t>
  </si>
  <si>
    <t>355mm Mitred Both Ends</t>
  </si>
  <si>
    <t>480mm Mitred LHS &amp; 480mm Mitred RHS</t>
  </si>
  <si>
    <t>480mm Mitred LHS</t>
  </si>
  <si>
    <t>480mm Mitred RHS</t>
  </si>
  <si>
    <t>385mm Mitred LHS &amp; 385mm Mitred RHS</t>
  </si>
  <si>
    <t>385mm Mitred RHS</t>
  </si>
  <si>
    <t>385mm Mitred LHS</t>
  </si>
  <si>
    <t>320mm Mitred LHS</t>
  </si>
  <si>
    <t>320mm Mitred RHS</t>
  </si>
  <si>
    <t>Perforated Aluminium</t>
  </si>
  <si>
    <t>Decorative Diamond Grill</t>
  </si>
  <si>
    <t>In-Fill</t>
  </si>
  <si>
    <t>Fibreglass Mesh</t>
  </si>
  <si>
    <t>Pet Mesh</t>
  </si>
  <si>
    <t>Privacy Plus</t>
  </si>
  <si>
    <t>In-Fill Size</t>
  </si>
  <si>
    <t>In-Fill Width Cut Size</t>
  </si>
  <si>
    <t>In-Fill Type</t>
  </si>
  <si>
    <t>In-Fill Cut Size</t>
  </si>
  <si>
    <t>Secondary Mesh</t>
  </si>
  <si>
    <t>Secondary Mesh Size</t>
  </si>
  <si>
    <t>Secondary Mesh Width Cut Size</t>
  </si>
  <si>
    <t>2mm</t>
  </si>
  <si>
    <t>DVA Mesh</t>
  </si>
  <si>
    <t>825 x 2000</t>
  </si>
  <si>
    <t>900 x 2200</t>
  </si>
  <si>
    <t>1200 x 2200</t>
  </si>
  <si>
    <t>Top Track</t>
  </si>
  <si>
    <t>Bottom Track</t>
  </si>
  <si>
    <t>Double Door Opening Width</t>
  </si>
  <si>
    <t>Long Leg 1 Side</t>
  </si>
  <si>
    <t xml:space="preserve">Double Door </t>
  </si>
  <si>
    <t>MOL Higher than Centre</t>
  </si>
  <si>
    <t>High</t>
  </si>
  <si>
    <t>Low</t>
  </si>
  <si>
    <t>Pool</t>
  </si>
  <si>
    <t>High Kit Low Lock Punch from Bottom</t>
  </si>
  <si>
    <t>High Kit High Lock Punch from Bottom</t>
  </si>
  <si>
    <t>Low Kit Low Lock Punch within 150mm</t>
  </si>
  <si>
    <t>Low Kit High Lock Punch within 150mm</t>
  </si>
  <si>
    <t>Pool Kit Low Lock Punch within 150mm</t>
  </si>
  <si>
    <t>Pool Kit High Lock Punch within 150mm</t>
  </si>
  <si>
    <t>Invisi-Gard Wedge</t>
  </si>
  <si>
    <t xml:space="preserve">Low Kit Low Lock Punch </t>
  </si>
  <si>
    <t>Pool Kit Low Lock Punch</t>
  </si>
  <si>
    <t>Low Kit High Lock Punch</t>
  </si>
  <si>
    <t>Pool Kit High Lock Punch</t>
  </si>
  <si>
    <t>Triple Lock Kits</t>
  </si>
  <si>
    <t>High Kit Bottom Punch with in 150mm</t>
  </si>
  <si>
    <t>High Kit Top Punch within 150mm</t>
  </si>
  <si>
    <t>High Triple Lock Kit</t>
  </si>
  <si>
    <t>Low Kit Bottom Punch with in 150mm</t>
  </si>
  <si>
    <t>Low Kit Top Punch within 150mm</t>
  </si>
  <si>
    <t>Pool Kit Bottom Punch with in 150mm</t>
  </si>
  <si>
    <t>Pool Kit Top Punch within 150mm</t>
  </si>
  <si>
    <t>H Shaped Bottom Track</t>
  </si>
  <si>
    <t>Push 2 Go Locks</t>
  </si>
  <si>
    <t>Stacker Doors, Overlap on 1 Side</t>
  </si>
  <si>
    <t>Stacker Doors, Overlap on 2 Sides</t>
  </si>
  <si>
    <t>Components</t>
  </si>
  <si>
    <t>Alu-Screen</t>
  </si>
  <si>
    <t>Stainless Steel Mesh</t>
  </si>
  <si>
    <t>Punching</t>
  </si>
  <si>
    <t>Colour</t>
  </si>
  <si>
    <t>Mesh</t>
  </si>
  <si>
    <t>F Strip Length</t>
  </si>
  <si>
    <t>Ultra Secua Digital Triple Lock</t>
  </si>
  <si>
    <t>Guide Blocks</t>
  </si>
  <si>
    <t>U Channel &amp; Bottom Fix Bottom Track</t>
  </si>
  <si>
    <t>U Channel</t>
  </si>
  <si>
    <t>Bottom Fix Bottom Track</t>
  </si>
  <si>
    <t>Face Fix Bottom Track</t>
  </si>
  <si>
    <t>U Channel &amp; H Shaped Bottom Track</t>
  </si>
  <si>
    <t>U Channel &amp; Face Fix Bottom Track</t>
  </si>
  <si>
    <t>Bottom Track Length</t>
  </si>
  <si>
    <t>Top U Channel</t>
  </si>
  <si>
    <t>Additional Framing for Sides</t>
  </si>
  <si>
    <t>3mm off Drop Only</t>
  </si>
  <si>
    <t>Guillotine</t>
  </si>
  <si>
    <t>Diamond Grill Colour</t>
  </si>
  <si>
    <t>Installation</t>
  </si>
  <si>
    <t>Material Type</t>
  </si>
  <si>
    <t>Bug &amp; Weather Strip</t>
  </si>
  <si>
    <t>Long &amp; Short Leg Frame</t>
  </si>
  <si>
    <t>Secondary Mesh Cut Size</t>
  </si>
  <si>
    <t>DBS SECURITY DOOR Order Form</t>
  </si>
  <si>
    <t>DBS Order Form</t>
  </si>
  <si>
    <t>Door Jam Adaptors</t>
  </si>
  <si>
    <t>Top &amp; Bottom Track</t>
  </si>
  <si>
    <t>Powder Coating Required</t>
  </si>
  <si>
    <t>Powder Coat Colour</t>
  </si>
  <si>
    <t>Lock</t>
  </si>
  <si>
    <t>Checklist Code</t>
  </si>
  <si>
    <t>Not Required</t>
  </si>
  <si>
    <t>Yes - Centre</t>
  </si>
  <si>
    <t>Mesh Code</t>
  </si>
  <si>
    <t>Door Type Code</t>
  </si>
  <si>
    <t>Mid Rail Code</t>
  </si>
  <si>
    <t>Dog Door Code</t>
  </si>
  <si>
    <t>Flyscreen</t>
  </si>
  <si>
    <t>Flywire</t>
  </si>
  <si>
    <t>2nd Additional Deductions</t>
  </si>
  <si>
    <t>AT</t>
  </si>
  <si>
    <t>Quote No.</t>
  </si>
  <si>
    <t>Line No</t>
  </si>
  <si>
    <t>Order Item Code</t>
  </si>
  <si>
    <t>Business Name</t>
  </si>
  <si>
    <t>Quote Ref</t>
  </si>
  <si>
    <t>D Pulls 11mm</t>
  </si>
  <si>
    <t>D Pulls 9mm</t>
  </si>
  <si>
    <t>Swivel Clips Flush</t>
  </si>
  <si>
    <t>Swivel Clips Extended</t>
  </si>
  <si>
    <t>Plunger Pins</t>
  </si>
  <si>
    <t>Flyscreen Spline</t>
  </si>
  <si>
    <t>Invisi-Gard Insulator</t>
  </si>
  <si>
    <t>Invisi-Gard Keeper</t>
  </si>
  <si>
    <t xml:space="preserve">Screen Mesh Size </t>
  </si>
  <si>
    <t xml:space="preserve">Flyscreen Mesh </t>
  </si>
  <si>
    <t xml:space="preserve">Lock Barrel </t>
  </si>
  <si>
    <t xml:space="preserve">Sliding Door Wheels </t>
  </si>
  <si>
    <t xml:space="preserve">Hinges - Black </t>
  </si>
  <si>
    <t xml:space="preserve">Flyscreen Spring Clips </t>
  </si>
  <si>
    <t xml:space="preserve">Patio Bolts </t>
  </si>
  <si>
    <t xml:space="preserve">Water Closer </t>
  </si>
  <si>
    <t xml:space="preserve">Leg Frame Corner Block </t>
  </si>
  <si>
    <t xml:space="preserve">Invisi-Gard Mid Rail Stakes </t>
  </si>
  <si>
    <t xml:space="preserve">Flyscreen Mid Rail Stakes </t>
  </si>
  <si>
    <t xml:space="preserve">Ultralock </t>
  </si>
  <si>
    <t>Tuffscreen</t>
  </si>
  <si>
    <t>Stainless Steel Ember Guard Mesh</t>
  </si>
  <si>
    <t>1200 x 2050</t>
  </si>
  <si>
    <t>1200 x 2450</t>
  </si>
  <si>
    <t>Screen Mesh Type</t>
  </si>
  <si>
    <t>Colonial Cast Design</t>
  </si>
  <si>
    <t>Frame Powder Coating Required</t>
  </si>
  <si>
    <t>Grill or Colonial Cast Colour</t>
  </si>
  <si>
    <t>DVA Mesh Powdercoat Colour</t>
  </si>
  <si>
    <t>Grill or Colonial Cast Powdercoat Colour</t>
  </si>
  <si>
    <t>770 x 2050</t>
  </si>
  <si>
    <t>900 x 2050</t>
  </si>
  <si>
    <t>1150 x 2050</t>
  </si>
  <si>
    <t>Striker Plates</t>
  </si>
  <si>
    <t>Extended Striker Plates</t>
  </si>
  <si>
    <t>U Channel with Pip &amp; Face Fix Bottom Track</t>
  </si>
  <si>
    <t>Double Doors Parts</t>
  </si>
  <si>
    <t>Double Doors - Lock on the Locking Door</t>
  </si>
  <si>
    <t>Double Doors - Lock or Tongue Height on the Locking Door</t>
  </si>
  <si>
    <t>Double Doors - Lock or Tongue Code on the Locking Door</t>
  </si>
  <si>
    <t>Double Doors - Lock Side on the Locking Door</t>
  </si>
  <si>
    <t>Installation Difficulty Grading</t>
  </si>
  <si>
    <t>Take Downs</t>
  </si>
  <si>
    <t>Product Requires Check Measure</t>
  </si>
  <si>
    <t>Punch Side</t>
  </si>
  <si>
    <t>Installers</t>
  </si>
  <si>
    <t>Minutes</t>
  </si>
  <si>
    <t>Measured Width</t>
  </si>
  <si>
    <t>Measured Drop</t>
  </si>
  <si>
    <t>Measured Size</t>
  </si>
  <si>
    <t>Blind Making Width</t>
  </si>
  <si>
    <t>Blind Making Drop</t>
  </si>
  <si>
    <t>Fabric Type &amp; Colour</t>
  </si>
  <si>
    <t xml:space="preserve"> Minutes Allowed</t>
  </si>
  <si>
    <t>Installations</t>
  </si>
  <si>
    <t>Grading</t>
  </si>
  <si>
    <t>Fitting Surface</t>
  </si>
  <si>
    <t>Square Opening</t>
  </si>
  <si>
    <t>Slightly Out of Square Opening</t>
  </si>
  <si>
    <t>Badly Out of Square Opening</t>
  </si>
  <si>
    <t>T</t>
  </si>
  <si>
    <t>Leg Frame</t>
  </si>
  <si>
    <t>Sign</t>
  </si>
  <si>
    <t>Bug Strip</t>
  </si>
  <si>
    <t>N</t>
  </si>
  <si>
    <t>This should be in column AX</t>
  </si>
  <si>
    <t>Top Track Length</t>
  </si>
  <si>
    <t>Leg Framing</t>
  </si>
  <si>
    <t>Leg Framing Sizes</t>
  </si>
  <si>
    <t>Dog Door Flyscreen Frame</t>
  </si>
  <si>
    <t>Frame Size</t>
  </si>
  <si>
    <t>Cover Strip Size</t>
  </si>
  <si>
    <t>Dog Door Frame Drop</t>
  </si>
  <si>
    <t>Dog Door Frame Width</t>
  </si>
  <si>
    <t>Attach Hinges</t>
  </si>
  <si>
    <t>Invisi Mid Rail</t>
  </si>
  <si>
    <t>Z Strip Length</t>
  </si>
  <si>
    <t>None</t>
  </si>
  <si>
    <t>Stacker Over Lap</t>
  </si>
  <si>
    <t>Stacker Overlap</t>
  </si>
  <si>
    <t>Additional</t>
  </si>
  <si>
    <t>Bug Strip Size</t>
  </si>
  <si>
    <t>Existing Top Lock</t>
  </si>
  <si>
    <t>Existing Bottom Lock</t>
  </si>
  <si>
    <t>Flyscreen Drop Req</t>
  </si>
  <si>
    <t>Lock Barrel</t>
  </si>
  <si>
    <t>Mesh Cut from Bottom</t>
  </si>
  <si>
    <t>Pet Door</t>
  </si>
  <si>
    <t>S</t>
  </si>
  <si>
    <t>Door Wheels</t>
  </si>
  <si>
    <t>Procedure</t>
  </si>
  <si>
    <t>B</t>
  </si>
  <si>
    <t>C</t>
  </si>
  <si>
    <t>D</t>
  </si>
  <si>
    <t>E</t>
  </si>
  <si>
    <t>F</t>
  </si>
  <si>
    <t>Door Installation</t>
  </si>
  <si>
    <t>DOOR Job Sheet</t>
  </si>
  <si>
    <t>Paperbark</t>
  </si>
  <si>
    <t>Standard Door Frame</t>
  </si>
  <si>
    <t>Invisi-Gard Door Frame</t>
  </si>
  <si>
    <t>Screen Frame 37mm x 11mm</t>
  </si>
  <si>
    <t>Invisi-Gard Screen Frame 37mm x 11mm</t>
  </si>
  <si>
    <t>Invisi-Gard Screen Frame 37mm x 9mm</t>
  </si>
  <si>
    <t>Short Leg Frame</t>
  </si>
  <si>
    <t>Long Leg Frame</t>
  </si>
  <si>
    <t>9mm Flyscreen Frame</t>
  </si>
  <si>
    <t>11mm Flyscreen Frame</t>
  </si>
  <si>
    <t>F Frame</t>
  </si>
  <si>
    <t>Z Frame</t>
  </si>
  <si>
    <t>High Step Z Frame</t>
  </si>
  <si>
    <t>Receiving Channel</t>
  </si>
  <si>
    <t>Top Track with Pip</t>
  </si>
  <si>
    <t>Bottom Fit Bottom Track</t>
  </si>
  <si>
    <t>Face Fit Bottom Track</t>
  </si>
  <si>
    <t>H Channel</t>
  </si>
  <si>
    <t>H Bottom Track</t>
  </si>
  <si>
    <t>Invisi-Gard Mid Rail</t>
  </si>
  <si>
    <t>Sill Winder Covers</t>
  </si>
  <si>
    <t>Wedges</t>
  </si>
  <si>
    <t>Misc.</t>
  </si>
  <si>
    <t>Corner Blocks</t>
  </si>
  <si>
    <t>Flywire Parts</t>
  </si>
  <si>
    <t>Door Closers</t>
  </si>
  <si>
    <t>Hinged Handle</t>
  </si>
  <si>
    <t>Sliding Handle</t>
  </si>
  <si>
    <t>Pet Doors</t>
  </si>
  <si>
    <t>Screen Mesh</t>
  </si>
  <si>
    <t>Woven Stainless Steel Mesh</t>
  </si>
  <si>
    <t>Privacy Guard</t>
  </si>
  <si>
    <t>Standard Diamond Grill 750 x 2050</t>
  </si>
  <si>
    <t>Standard Diamond Grill 835 x 2050</t>
  </si>
  <si>
    <t>Standard Diamond Grill 920 x 2050</t>
  </si>
  <si>
    <t>Standard Diamond Grill 1200 x 2050</t>
  </si>
  <si>
    <t>Standard Diamond Grill 920 x 2450</t>
  </si>
  <si>
    <t>Standard Diamond Grill 1200 x 2450</t>
  </si>
  <si>
    <t>Decorative Diamond Grill 770 x 2045</t>
  </si>
  <si>
    <t>Decorative Diamond Grill 900 x 2045</t>
  </si>
  <si>
    <t>Decorative Diamond Grill 1150 x 2050</t>
  </si>
  <si>
    <t>DVA Mesh 700 x 2000</t>
  </si>
  <si>
    <t>DVA Mesh 825 x 2000</t>
  </si>
  <si>
    <t>DVA Mesh 900 x 2200</t>
  </si>
  <si>
    <t>DVA Mesh 1200 x 2200</t>
  </si>
  <si>
    <t>Flyscreen Mesh</t>
  </si>
  <si>
    <t>Colonial Cast SP13AB</t>
  </si>
  <si>
    <t>Colonial Cast SP13BB</t>
  </si>
  <si>
    <t>Colonial Cast SP14AB</t>
  </si>
  <si>
    <t>Colonial Cast SP17AB</t>
  </si>
  <si>
    <t>Colonial Cast SP27AB</t>
  </si>
  <si>
    <t>Colonial Cast SP29AB</t>
  </si>
  <si>
    <t>Colonial Cast SP34AB</t>
  </si>
  <si>
    <t>Colonial Cast SP37AB</t>
  </si>
  <si>
    <t>Colonial Cast SP52</t>
  </si>
  <si>
    <t>Colonial Cast SP53</t>
  </si>
  <si>
    <t>Colonial Cast SP55</t>
  </si>
  <si>
    <t>Colonial Cast SP56</t>
  </si>
  <si>
    <t>Colonial Cast SP65</t>
  </si>
  <si>
    <t>Colonial Cast SP72</t>
  </si>
  <si>
    <t>Colonial Cast SP74</t>
  </si>
  <si>
    <t>Colonial Cast SP78</t>
  </si>
  <si>
    <t>Apo Grey</t>
  </si>
  <si>
    <t>Birch White</t>
  </si>
  <si>
    <t>Black</t>
  </si>
  <si>
    <t>Brown</t>
  </si>
  <si>
    <t>Deep Ocean</t>
  </si>
  <si>
    <t>Jasper</t>
  </si>
  <si>
    <t>Pale Eucalypt</t>
  </si>
  <si>
    <t>Primrose</t>
  </si>
  <si>
    <t>Ultra Silver</t>
  </si>
  <si>
    <t>Woodland Grey (Green Tone)</t>
  </si>
  <si>
    <t>White</t>
  </si>
  <si>
    <t>Monument</t>
  </si>
  <si>
    <t>Surfmist</t>
  </si>
  <si>
    <t>Dune</t>
  </si>
  <si>
    <t>Woodland Grey (Dulux)</t>
  </si>
  <si>
    <t>Custom Powdercoat</t>
  </si>
  <si>
    <t>1.6mm Wedge</t>
  </si>
  <si>
    <t>2.0mm Wedge</t>
  </si>
  <si>
    <t>Bug Strip Felt</t>
  </si>
  <si>
    <t>Hinged High</t>
  </si>
  <si>
    <t>Hinged Low</t>
  </si>
  <si>
    <t>Hinged Pool</t>
  </si>
  <si>
    <t>Hinged Adjustable</t>
  </si>
  <si>
    <t>Sliding High</t>
  </si>
  <si>
    <t>Sliding Low</t>
  </si>
  <si>
    <t>Sliding Pool</t>
  </si>
  <si>
    <t>Sliding Adjustable</t>
  </si>
  <si>
    <t>Door Frame</t>
  </si>
  <si>
    <t>Standard Screen Frame</t>
  </si>
  <si>
    <t>9mm Invisi-Screen</t>
  </si>
  <si>
    <t>11mm Invisi-Screen</t>
  </si>
  <si>
    <t>9mm Flyscreen</t>
  </si>
  <si>
    <t>11mm Flyscreen</t>
  </si>
  <si>
    <t>Small - Black</t>
  </si>
  <si>
    <t>Medium - Black</t>
  </si>
  <si>
    <t>Large - Black</t>
  </si>
  <si>
    <t>Small - White</t>
  </si>
  <si>
    <t>Medium - White</t>
  </si>
  <si>
    <t>Large - White</t>
  </si>
  <si>
    <t xml:space="preserve">750 x 2000 </t>
  </si>
  <si>
    <t xml:space="preserve">750 x 2400 </t>
  </si>
  <si>
    <t xml:space="preserve">900 x 2000 </t>
  </si>
  <si>
    <t xml:space="preserve">900 x 2400 </t>
  </si>
  <si>
    <t xml:space="preserve">1200 x 2000 </t>
  </si>
  <si>
    <t xml:space="preserve">1200 x 2400 </t>
  </si>
  <si>
    <t xml:space="preserve"> 1200 x 2400 </t>
  </si>
  <si>
    <t>Fibreglass Mesh (50m)</t>
  </si>
  <si>
    <t>Aluminium Mesh</t>
  </si>
  <si>
    <t>PetMesh (30m)</t>
  </si>
  <si>
    <t>PR Aluminium</t>
  </si>
  <si>
    <t>Alspec</t>
  </si>
  <si>
    <t>DOOR Bagging</t>
  </si>
  <si>
    <t>DOOR Assembly (b)</t>
  </si>
  <si>
    <t>DOOR Assembly (a)</t>
  </si>
  <si>
    <t>DOOR Guillotine</t>
  </si>
  <si>
    <t>DOOR Punching</t>
  </si>
  <si>
    <t xml:space="preserve">DOOR Straight Cutting </t>
  </si>
  <si>
    <t>DOOR Mitred Cutting</t>
  </si>
  <si>
    <t>Criteria</t>
  </si>
  <si>
    <t>G</t>
  </si>
  <si>
    <t>H</t>
  </si>
  <si>
    <t>I</t>
  </si>
  <si>
    <t>J</t>
  </si>
  <si>
    <t>Straight Cutting</t>
  </si>
  <si>
    <t>Mitred Cutting</t>
  </si>
  <si>
    <t>Double Door Locks</t>
  </si>
  <si>
    <t>Job Tracking Action</t>
  </si>
  <si>
    <t>Dispatch Action</t>
  </si>
  <si>
    <t>Dispatch Date</t>
  </si>
  <si>
    <t>Keys + Striker Plate</t>
  </si>
  <si>
    <t>Keys + 3 Striker Plates</t>
  </si>
  <si>
    <t>Keys + 3 Striker Plates and 4 Packers</t>
  </si>
  <si>
    <t>Assembly(a)</t>
  </si>
  <si>
    <t>Assembly(b)</t>
  </si>
  <si>
    <t>N/A (Sliding/Stacker)</t>
  </si>
  <si>
    <t>Push 2 Go Single Lock</t>
  </si>
  <si>
    <t>Push 2 Go Triple Lock</t>
  </si>
  <si>
    <t>Keys, Fob, Screwdriver, Instructions &amp; 3 Striker Plates</t>
  </si>
  <si>
    <t>Door Jam Adaptors Colour</t>
  </si>
  <si>
    <t>Mid Rail Colour</t>
  </si>
  <si>
    <t xml:space="preserve">Mid Rail </t>
  </si>
  <si>
    <t>Leg Framing Colour</t>
  </si>
  <si>
    <t>Z</t>
  </si>
  <si>
    <t>P</t>
  </si>
  <si>
    <t>too big</t>
  </si>
  <si>
    <t>DVA Mesh 900 x 2400</t>
  </si>
  <si>
    <t>DVA Mesh 1200 x 2400</t>
  </si>
  <si>
    <t>AMF</t>
  </si>
  <si>
    <t>In-Fill Drop Cut Size</t>
  </si>
  <si>
    <t>Aluminium Tread</t>
  </si>
  <si>
    <t>Invisi-Gard Wedge Width Cut Size</t>
  </si>
  <si>
    <t>Invisi-Gard Wedge Top Cut Size</t>
  </si>
  <si>
    <t>Invisi-Gard Wedge Bottom Cut Size</t>
  </si>
  <si>
    <t>CL</t>
  </si>
  <si>
    <t xml:space="preserve">Centre of Door Drop </t>
  </si>
  <si>
    <t>M</t>
  </si>
  <si>
    <t>R</t>
  </si>
  <si>
    <t>b34d5ad1-a3ea-40ae-9394-d47b5c14e394</t>
  </si>
  <si>
    <t>67d5fd06-68b9-4471-b9dd-56a381bc7546</t>
  </si>
  <si>
    <t xml:space="preserve">Barrier Doors </t>
  </si>
  <si>
    <t>26/08/2026 12:00:00 AM</t>
  </si>
  <si>
    <t>26/08/2026 3:27:56 PM</t>
  </si>
  <si>
    <t>22/09/2026 12:00:00 AM</t>
  </si>
  <si>
    <t>12201</t>
  </si>
  <si>
    <t>LEUR3350.30</t>
  </si>
  <si>
    <t>Leurs, Nigel</t>
  </si>
  <si>
    <t/>
  </si>
  <si>
    <t>30</t>
  </si>
  <si>
    <t>Timbertop Drive</t>
  </si>
  <si>
    <t>Mount Helen</t>
  </si>
  <si>
    <t>VIC</t>
  </si>
  <si>
    <t>3350</t>
  </si>
  <si>
    <t>Australia</t>
  </si>
  <si>
    <t>ncleurs@hotmail.com</t>
  </si>
  <si>
    <t>0434635832</t>
  </si>
  <si>
    <t>Head Office</t>
  </si>
  <si>
    <t>Jason Paterson</t>
  </si>
  <si>
    <t>jason@davidsonsblinds.com.au</t>
  </si>
  <si>
    <t>Nigel</t>
  </si>
  <si>
    <t>Leurs</t>
  </si>
  <si>
    <t>Retail Customer</t>
  </si>
  <si>
    <t>mark@davidsonsblinds.com.au</t>
  </si>
  <si>
    <t>Unassigned installer 1</t>
  </si>
  <si>
    <t>U</t>
  </si>
  <si>
    <t>False</t>
  </si>
  <si>
    <t>aee04ea2-1e93-457c-8adb-48709095db3c</t>
  </si>
  <si>
    <t>Doors</t>
  </si>
  <si>
    <t>Rumpus</t>
  </si>
  <si>
    <t>SECDM531T683P10</t>
  </si>
  <si>
    <t>SECD Barrier Door Alu-Gard Perforated Aluminium Paperbark</t>
  </si>
  <si>
    <t>Production - Sercurity Products</t>
  </si>
  <si>
    <t>Barrier Door</t>
  </si>
  <si>
    <t>0</t>
  </si>
  <si>
    <t>aee04ea2-1e93-457c-8adb-48709095db3c|DESCN</t>
  </si>
  <si>
    <t>c87dcfb2-f919-41d7-97b3-ae0b5c20e0b2</t>
  </si>
  <si>
    <t>DESCN</t>
  </si>
  <si>
    <t>aee04ea2-1e93-457c-8adb-48709095db3c|ITEMWIDTH</t>
  </si>
  <si>
    <t>21ef9149-bc46-426d-9e87-8d958346128e</t>
  </si>
  <si>
    <t>ITEMWIDTH</t>
  </si>
  <si>
    <t>940</t>
  </si>
  <si>
    <t>aee04ea2-1e93-457c-8adb-48709095db3c|ITEMHEIGHT</t>
  </si>
  <si>
    <t>1d4334bd-3814-4ab1-acb8-1358ff346c61</t>
  </si>
  <si>
    <t>ITEMHEIGHT</t>
  </si>
  <si>
    <t>2046</t>
  </si>
  <si>
    <t>aee04ea2-1e93-457c-8adb-48709095db3c|SIZE</t>
  </si>
  <si>
    <t>273ec3c5-4cb6-4048-a792-35b771aaf099</t>
  </si>
  <si>
    <t>SIZE</t>
  </si>
  <si>
    <t>Opening</t>
  </si>
  <si>
    <t>aee04ea2-1e93-457c-8adb-48709095db3c|FIT</t>
  </si>
  <si>
    <t>bc311074-c34f-46e6-973f-c18f7d42ff27</t>
  </si>
  <si>
    <t>FIT</t>
  </si>
  <si>
    <t>aee04ea2-1e93-457c-8adb-48709095db3c|FIXING</t>
  </si>
  <si>
    <t>5e67981e-bb55-4c71-a6d6-091a2e52f5f3</t>
  </si>
  <si>
    <t>FIXING</t>
  </si>
  <si>
    <t>aee04ea2-1e93-457c-8adb-48709095db3c|SINGLE</t>
  </si>
  <si>
    <t>73333b38-7491-482d-a561-653ec6898ff7</t>
  </si>
  <si>
    <t>SINGLE</t>
  </si>
  <si>
    <t>aee04ea2-1e93-457c-8adb-48709095db3c|OPENTYPE</t>
  </si>
  <si>
    <t>1bef45f6-ed2b-4392-b39f-500b8228cb08</t>
  </si>
  <si>
    <t>OPENTYPE</t>
  </si>
  <si>
    <t>aee04ea2-1e93-457c-8adb-48709095db3c|LOCKS</t>
  </si>
  <si>
    <t>6891bc8d-9864-47ee-b197-be0555e1f5ee</t>
  </si>
  <si>
    <t>LOCKS</t>
  </si>
  <si>
    <t>aee04ea2-1e93-457c-8adb-48709095db3c|HANDLEHEIGHT</t>
  </si>
  <si>
    <t>15c6f991-dcb1-4867-ba28-41ecb84de305</t>
  </si>
  <si>
    <t>HANDLEHEIGHT</t>
  </si>
  <si>
    <t>1120</t>
  </si>
  <si>
    <t>aee04ea2-1e93-457c-8adb-48709095db3c|HANDLECODE</t>
  </si>
  <si>
    <t>9be8ecff-43b8-44cf-9cc4-0d1190e0395c</t>
  </si>
  <si>
    <t>HANDLECODE</t>
  </si>
  <si>
    <t>aee04ea2-1e93-457c-8adb-48709095db3c|LOCKSIDE</t>
  </si>
  <si>
    <t>831ac5fc-0cfd-48b1-86e4-339a69868fd9</t>
  </si>
  <si>
    <t>LOCKSIDE</t>
  </si>
  <si>
    <t>aee04ea2-1e93-457c-8adb-48709095db3c|LOCKCOLOUR</t>
  </si>
  <si>
    <t>59e4ed38-9327-4d16-9f8c-4c2dff55713d</t>
  </si>
  <si>
    <t>LOCKCOLOUR</t>
  </si>
  <si>
    <t>aee04ea2-1e93-457c-8adb-48709095db3c|CLOSERCOLOUR</t>
  </si>
  <si>
    <t>f733baa9-d0ce-4d9a-aeb5-2e60f8354415</t>
  </si>
  <si>
    <t>CLOSERCOLOUR</t>
  </si>
  <si>
    <t>aee04ea2-1e93-457c-8adb-48709095db3c|KEYALIKE</t>
  </si>
  <si>
    <t>193f73a7-a6bd-4af8-97ba-f4fae06fab9f</t>
  </si>
  <si>
    <t>KEYALIKE</t>
  </si>
  <si>
    <t>aee04ea2-1e93-457c-8adb-48709095db3c|MIDRAIL</t>
  </si>
  <si>
    <t>10058d22-a536-4f10-9e2b-9d727243abcd</t>
  </si>
  <si>
    <t>MIDRAIL</t>
  </si>
  <si>
    <t>aee04ea2-1e93-457c-8adb-48709095db3c|FZ</t>
  </si>
  <si>
    <t>611bb3e4-134e-4f91-a3d2-dc151ceaef21</t>
  </si>
  <si>
    <t>FZ</t>
  </si>
  <si>
    <t>aee04ea2-1e93-457c-8adb-48709095db3c|INTERLOCKS</t>
  </si>
  <si>
    <t>143ce48c-8efc-43d5-a991-e95fa062076f</t>
  </si>
  <si>
    <t>INTERLOCKS</t>
  </si>
  <si>
    <t>aee04ea2-1e93-457c-8adb-48709095db3c|SLIDINGTRACK</t>
  </si>
  <si>
    <t>87b239c1-e5aa-43c1-8ce4-cc0a04684cae</t>
  </si>
  <si>
    <t>SLIDINGTRACK</t>
  </si>
  <si>
    <t>aee04ea2-1e93-457c-8adb-48709095db3c|GUIDEBLOCKS</t>
  </si>
  <si>
    <t>38d1edac-b963-4785-8655-bb85c4974a3e</t>
  </si>
  <si>
    <t>GUIDEBLOCKS</t>
  </si>
  <si>
    <t>aee04ea2-1e93-457c-8adb-48709095db3c|WEATHER</t>
  </si>
  <si>
    <t>53721572-9353-49a1-9dcc-764d51d74c84</t>
  </si>
  <si>
    <t>WEATHER</t>
  </si>
  <si>
    <t>aee04ea2-1e93-457c-8adb-48709095db3c|DOGDOOR</t>
  </si>
  <si>
    <t>d12a92cf-68de-46b7-b222-d1810fccb8c2</t>
  </si>
  <si>
    <t>DOGDOOR</t>
  </si>
  <si>
    <t>aee04ea2-1e93-457c-8adb-48709095db3c|SIDEBYSIDE</t>
  </si>
  <si>
    <t>7cac3f9a-9b19-438a-8582-6a9bfb76728d</t>
  </si>
  <si>
    <t>SIDEBYSIDE</t>
  </si>
  <si>
    <t>aee04ea2-1e93-457c-8adb-48709095db3c|SIDEBYSIDE2</t>
  </si>
  <si>
    <t>349bb056-b97a-4814-8ada-9dd5ed75e898</t>
  </si>
  <si>
    <t>SIDEBYSIDE2</t>
  </si>
  <si>
    <t>aee04ea2-1e93-457c-8adb-48709095db3c|INSTALLATION</t>
  </si>
  <si>
    <t>43870cc8-f815-4b24-9323-9842858e1070</t>
  </si>
  <si>
    <t>INSTALLATION</t>
  </si>
  <si>
    <t>aee04ea2-1e93-457c-8adb-48709095db3c|INSTALLG</t>
  </si>
  <si>
    <t>2af59b2e-2d2c-4df6-8735-36ad570b2921</t>
  </si>
  <si>
    <t>INSTALLG</t>
  </si>
  <si>
    <t>aee04ea2-1e93-457c-8adb-48709095db3c|TAKEDOWN</t>
  </si>
  <si>
    <t>cd0abbc7-abed-4f24-a80b-7c1adc9e6a33</t>
  </si>
  <si>
    <t>TAKEDOWN</t>
  </si>
  <si>
    <t>aee04ea2-1e93-457c-8adb-48709095db3c|CHECKM</t>
  </si>
  <si>
    <t>ba0f1b63-fdb6-48af-bb08-027874f7a67e</t>
  </si>
  <si>
    <t>CHECKM</t>
  </si>
  <si>
    <t>4d1b647f-4e40-4c45-af4e-578354363f51</t>
  </si>
  <si>
    <t>Laundry</t>
  </si>
  <si>
    <t>4d1b647f-4e40-4c45-af4e-578354363f51|DESCN</t>
  </si>
  <si>
    <t>57046791-4b4a-4125-8cf5-03010b42c7d5</t>
  </si>
  <si>
    <t>4d1b647f-4e40-4c45-af4e-578354363f51|ITEMWIDTH</t>
  </si>
  <si>
    <t>3ecaa49d-6889-45cf-b1f4-665738623d86</t>
  </si>
  <si>
    <t>821</t>
  </si>
  <si>
    <t>4d1b647f-4e40-4c45-af4e-578354363f51|ITEMHEIGHT</t>
  </si>
  <si>
    <t>727f9f6b-22cc-4abd-99b7-22cc32ac0d3d</t>
  </si>
  <si>
    <t>2054</t>
  </si>
  <si>
    <t>4d1b647f-4e40-4c45-af4e-578354363f51|SIZE</t>
  </si>
  <si>
    <t>a1fb0cab-c12f-48bb-972b-2326541f661d</t>
  </si>
  <si>
    <t>4d1b647f-4e40-4c45-af4e-578354363f51|FIT</t>
  </si>
  <si>
    <t>b18bf76d-10de-44ab-bc1c-6b8799519962</t>
  </si>
  <si>
    <t>4d1b647f-4e40-4c45-af4e-578354363f51|FIXING</t>
  </si>
  <si>
    <t>fc702ef6-91e6-44c9-a94c-8ef20fcefe71</t>
  </si>
  <si>
    <t>4d1b647f-4e40-4c45-af4e-578354363f51|SINGLE</t>
  </si>
  <si>
    <t>a92233fb-78eb-4f5e-97e4-31186b041e21</t>
  </si>
  <si>
    <t>4d1b647f-4e40-4c45-af4e-578354363f51|OPENTYPE</t>
  </si>
  <si>
    <t>ffc5474f-88cc-44d1-a324-fc14d2ccaae4</t>
  </si>
  <si>
    <t>4d1b647f-4e40-4c45-af4e-578354363f51|HINGEATTACHED</t>
  </si>
  <si>
    <t>699bda37-47e7-4c3d-a065-9f27d0e682bd</t>
  </si>
  <si>
    <t>HINGEATTACHED</t>
  </si>
  <si>
    <t>4d1b647f-4e40-4c45-af4e-578354363f51|LOCKS</t>
  </si>
  <si>
    <t>a6f3f90b-dd70-4cb2-afb5-d622f32cbe5f</t>
  </si>
  <si>
    <t>4d1b647f-4e40-4c45-af4e-578354363f51|HANDLEHEIGHT</t>
  </si>
  <si>
    <t>0216439e-b062-490e-8c13-213060ce78d6</t>
  </si>
  <si>
    <t>1100</t>
  </si>
  <si>
    <t>4d1b647f-4e40-4c45-af4e-578354363f51|HANDLECODE</t>
  </si>
  <si>
    <t>d0b1b760-cd5d-4b6b-b01d-5dd12595f5aa</t>
  </si>
  <si>
    <t>4d1b647f-4e40-4c45-af4e-578354363f51|LOCKSIDE</t>
  </si>
  <si>
    <t>a572ee5b-0e0e-486b-89f0-acdd129d28a6</t>
  </si>
  <si>
    <t>4d1b647f-4e40-4c45-af4e-578354363f51|LOCKCOLOUR</t>
  </si>
  <si>
    <t>8db0eb41-166c-4e68-9783-2a2cde90f181</t>
  </si>
  <si>
    <t>4d1b647f-4e40-4c45-af4e-578354363f51|STRIKER</t>
  </si>
  <si>
    <t>a00a7ec3-1b93-4823-8dca-3be781ee9e97</t>
  </si>
  <si>
    <t>STRIKER</t>
  </si>
  <si>
    <t>4d1b647f-4e40-4c45-af4e-578354363f51|CLOSERCOLOUR</t>
  </si>
  <si>
    <t>b71004d3-23ba-4879-8710-797b3efd673d</t>
  </si>
  <si>
    <t>4d1b647f-4e40-4c45-af4e-578354363f51|KEYALIKE</t>
  </si>
  <si>
    <t>b3b00f30-b408-4f48-83c9-47af74607083</t>
  </si>
  <si>
    <t>4d1b647f-4e40-4c45-af4e-578354363f51|MIDRAIL</t>
  </si>
  <si>
    <t>cc705322-89d3-43de-a479-505c09974fc2</t>
  </si>
  <si>
    <t>4d1b647f-4e40-4c45-af4e-578354363f51|INTERLOCKS</t>
  </si>
  <si>
    <t>20266b0f-e9b7-4338-965f-7fa80f39c7ec</t>
  </si>
  <si>
    <t>4d1b647f-4e40-4c45-af4e-578354363f51|SLIDINGTRACK</t>
  </si>
  <si>
    <t>1a0eb8e5-3cc8-42cc-bb50-67a0d9110a1d</t>
  </si>
  <si>
    <t>4d1b647f-4e40-4c45-af4e-578354363f51|WEATHER</t>
  </si>
  <si>
    <t>24af00e1-965b-4ab2-a808-8bb87f8789b3</t>
  </si>
  <si>
    <t>4d1b647f-4e40-4c45-af4e-578354363f51|DOGDOOR</t>
  </si>
  <si>
    <t>002769b5-2126-41da-a72b-0134a3d51e59</t>
  </si>
  <si>
    <t>4d1b647f-4e40-4c45-af4e-578354363f51|SIDEBYSIDE</t>
  </si>
  <si>
    <t>3eaded85-05a7-4f3f-8a9b-2e82abafce48</t>
  </si>
  <si>
    <t>4d1b647f-4e40-4c45-af4e-578354363f51|SIDEBYSIDE2</t>
  </si>
  <si>
    <t>3abd1fab-ea0f-4b06-a9cd-9c5108265421</t>
  </si>
  <si>
    <t>4d1b647f-4e40-4c45-af4e-578354363f51|INSTALLATION</t>
  </si>
  <si>
    <t>390a449b-e1b0-4f4f-9f5f-7d9bb6b744d0</t>
  </si>
  <si>
    <t>4d1b647f-4e40-4c45-af4e-578354363f51|INSTALLG</t>
  </si>
  <si>
    <t>9d0b5fed-1911-4cdb-bad2-e5ff062ba223</t>
  </si>
  <si>
    <t>4d1b647f-4e40-4c45-af4e-578354363f51|TAKEDOWN</t>
  </si>
  <si>
    <t>5d6278bb-e23a-4cf6-bbbf-cc8ec35ad619</t>
  </si>
  <si>
    <t>4d1b647f-4e40-4c45-af4e-578354363f51|CHECKM</t>
  </si>
  <si>
    <t>56db56a6-55ed-4e0a-b3cf-d41cc867fb75</t>
  </si>
  <si>
    <t>09248385-bf56-48c9-88c3-bdf85a442f93</t>
  </si>
  <si>
    <t>Kitchen</t>
  </si>
  <si>
    <t>09248385-bf56-48c9-88c3-bdf85a442f93|DESCN</t>
  </si>
  <si>
    <t>4d171f9c-b4c5-4d65-9b3b-db8633f90b4b</t>
  </si>
  <si>
    <t>09248385-bf56-48c9-88c3-bdf85a442f93|ITEMWIDTH</t>
  </si>
  <si>
    <t>6503484c-8ceb-41ad-a622-24a3128ad638</t>
  </si>
  <si>
    <t>908</t>
  </si>
  <si>
    <t>09248385-bf56-48c9-88c3-bdf85a442f93|ITEMHEIGHT</t>
  </si>
  <si>
    <t>46faa2bb-1eb4-4f2f-8be7-7737d5061c7f</t>
  </si>
  <si>
    <t>2078</t>
  </si>
  <si>
    <t>09248385-bf56-48c9-88c3-bdf85a442f93|SIZE</t>
  </si>
  <si>
    <t>a9316e74-13c1-450f-b6c4-6a0878aa791d</t>
  </si>
  <si>
    <t>09248385-bf56-48c9-88c3-bdf85a442f93|FIT</t>
  </si>
  <si>
    <t>3c39500e-101e-4cbc-9ae2-6060cb84d4e5</t>
  </si>
  <si>
    <t>09248385-bf56-48c9-88c3-bdf85a442f93|FIXING</t>
  </si>
  <si>
    <t>fa2ab44d-f427-4385-b865-ea64dc1a639b</t>
  </si>
  <si>
    <t>09248385-bf56-48c9-88c3-bdf85a442f93|SINGLE</t>
  </si>
  <si>
    <t>c4077107-eeba-473d-8d04-ab0154161b5f</t>
  </si>
  <si>
    <t>09248385-bf56-48c9-88c3-bdf85a442f93|OPENTYPE</t>
  </si>
  <si>
    <t>7fc2791e-0009-48fd-9d17-e377c51a8e7f</t>
  </si>
  <si>
    <t>09248385-bf56-48c9-88c3-bdf85a442f93|LOCKS</t>
  </si>
  <si>
    <t>b14fd843-818b-44d8-892f-3726f36abc96</t>
  </si>
  <si>
    <t>09248385-bf56-48c9-88c3-bdf85a442f93|HANDLEHEIGHT</t>
  </si>
  <si>
    <t>e2151735-68f1-432f-894e-49003ad72e8e</t>
  </si>
  <si>
    <t>1160</t>
  </si>
  <si>
    <t>09248385-bf56-48c9-88c3-bdf85a442f93|HANDLECODE</t>
  </si>
  <si>
    <t>eca7c72d-f730-4c47-89d8-6f4205611645</t>
  </si>
  <si>
    <t>09248385-bf56-48c9-88c3-bdf85a442f93|LOCKSIDE</t>
  </si>
  <si>
    <t>2b9049da-28c9-4352-91a5-52df889dd862</t>
  </si>
  <si>
    <t>09248385-bf56-48c9-88c3-bdf85a442f93|LOCKCOLOUR</t>
  </si>
  <si>
    <t>8d0f96ad-7b01-412d-be02-8f7f13cac704</t>
  </si>
  <si>
    <t>09248385-bf56-48c9-88c3-bdf85a442f93|CLOSERCOLOUR</t>
  </si>
  <si>
    <t>5414fa5b-5e55-4af2-b932-e2b88ca8518c</t>
  </si>
  <si>
    <t>09248385-bf56-48c9-88c3-bdf85a442f93|KEYALIKE</t>
  </si>
  <si>
    <t>b87cb0f9-e4d3-4233-b076-c915a0e72bae</t>
  </si>
  <si>
    <t>09248385-bf56-48c9-88c3-bdf85a442f93|MIDRAIL</t>
  </si>
  <si>
    <t>cdb82d33-64a0-438d-9510-af6d9d6d2c4d</t>
  </si>
  <si>
    <t>09248385-bf56-48c9-88c3-bdf85a442f93|FZ</t>
  </si>
  <si>
    <t>6904ba3f-7c8e-4aaf-8568-8cb0f5c59897</t>
  </si>
  <si>
    <t>09248385-bf56-48c9-88c3-bdf85a442f93|INTERLOCKS</t>
  </si>
  <si>
    <t>601ca0c5-e9f7-4bc4-827b-375ca1852a86</t>
  </si>
  <si>
    <t>09248385-bf56-48c9-88c3-bdf85a442f93|SLIDINGTRACK</t>
  </si>
  <si>
    <t>5982af2b-5007-44f5-ae88-07a55f140779</t>
  </si>
  <si>
    <t>09248385-bf56-48c9-88c3-bdf85a442f93|GUIDEBLOCKS</t>
  </si>
  <si>
    <t>60fe6a9a-0c52-46e1-9171-a1cc59b03905</t>
  </si>
  <si>
    <t>09248385-bf56-48c9-88c3-bdf85a442f93|WEATHER</t>
  </si>
  <si>
    <t>da28f3d8-05b9-409e-91bf-1235ecdc0dc4</t>
  </si>
  <si>
    <t>09248385-bf56-48c9-88c3-bdf85a442f93|DOGDOOR</t>
  </si>
  <si>
    <t>7a974d18-f678-47b4-8b32-cca35908bbef</t>
  </si>
  <si>
    <t>09248385-bf56-48c9-88c3-bdf85a442f93|SIDEBYSIDE</t>
  </si>
  <si>
    <t>38cbceaa-335d-42fc-915d-4970c659bec6</t>
  </si>
  <si>
    <t>09248385-bf56-48c9-88c3-bdf85a442f93|SIDEBYSIDE2</t>
  </si>
  <si>
    <t>92e81bb3-13ae-4923-9d47-516b4779e2cf</t>
  </si>
  <si>
    <t>09248385-bf56-48c9-88c3-bdf85a442f93|INSTALLATION</t>
  </si>
  <si>
    <t>ec042a33-c991-499e-bd6f-c85aba5a22ca</t>
  </si>
  <si>
    <t>09248385-bf56-48c9-88c3-bdf85a442f93|INSTALLG</t>
  </si>
  <si>
    <t>4f5c19d7-9d58-4f5c-977f-49865c6b549c</t>
  </si>
  <si>
    <t>09248385-bf56-48c9-88c3-bdf85a442f93|TAKEDOWN</t>
  </si>
  <si>
    <t>d0c1a511-11ba-4f4e-a7c0-bbf4a760ba93</t>
  </si>
  <si>
    <t>09248385-bf56-48c9-88c3-bdf85a442f93|CHECKM</t>
  </si>
  <si>
    <t>9a0a4208-71dc-4545-ae30-29486e5d06bc</t>
  </si>
  <si>
    <t>|CHECKMEAS</t>
  </si>
  <si>
    <t>7380a1c1-b539-4f26-9cd4-5205772fad97</t>
  </si>
  <si>
    <t>Extras</t>
  </si>
  <si>
    <t>CHECKMEAS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</si>
</sst>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dd/mm/yyyy"/>
  </numFmts>
  <fonts count="58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u val="single"/>
      <sz val="7.5"/>
      <color indexed="12"/>
      <name val="Arial"/>
      <family val="2"/>
    </font>
    <font>
      <sz val="11"/>
      <color indexed="20"/>
      <name val="Calibri"/>
      <family val="2"/>
    </font>
    <font>
      <u val="single"/>
      <sz val="7.5"/>
      <color indexed="36"/>
      <name val="Arial"/>
      <family val="2"/>
    </font>
    <font>
      <sz val="11"/>
      <color rgb="FF3F3F76"/>
      <name val="Calibri"/>
      <family val="2"/>
      <scheme val="minor"/>
    </font>
    <font>
      <sz val="10"/>
      <name val="Verdana"/>
      <family val="2"/>
    </font>
    <font>
      <b/>
      <sz val="18"/>
      <name val="Arial"/>
      <family val="2"/>
    </font>
    <font>
      <sz val="18"/>
      <name val="Arial"/>
      <family val="2"/>
    </font>
    <font>
      <b/>
      <sz val="26"/>
      <name val="Arial"/>
      <family val="2"/>
    </font>
    <font>
      <b/>
      <sz val="48"/>
      <name val="Arial"/>
      <family val="2"/>
    </font>
    <font>
      <sz val="26"/>
      <name val="Arial"/>
      <family val="2"/>
    </font>
    <font>
      <b/>
      <u val="single"/>
      <sz val="26"/>
      <name val="Arial"/>
      <family val="2"/>
    </font>
    <font>
      <sz val="20"/>
      <name val="Arial"/>
      <family val="2"/>
    </font>
    <font>
      <b/>
      <sz val="24"/>
      <name val="Arial"/>
      <family val="2"/>
    </font>
    <font>
      <sz val="24"/>
      <name val="Arial"/>
      <family val="2"/>
    </font>
    <font>
      <b/>
      <sz val="22"/>
      <name val="Arial"/>
      <family val="2"/>
    </font>
    <font>
      <sz val="22"/>
      <name val="Arial"/>
      <family val="2"/>
    </font>
    <font>
      <b/>
      <sz val="11"/>
      <color theme="1"/>
      <name val="Calibri"/>
      <family val="2"/>
      <scheme val="minor"/>
    </font>
    <font>
      <b/>
      <sz val="72"/>
      <name val="Arial"/>
      <family val="2"/>
    </font>
    <font>
      <b/>
      <sz val="72"/>
      <color theme="0"/>
      <name val="Arial"/>
      <family val="2"/>
    </font>
    <font>
      <b/>
      <sz val="48"/>
      <color theme="0"/>
      <name val="Arial"/>
      <family val="2"/>
    </font>
    <font>
      <i/>
      <sz val="26"/>
      <name val="Arial"/>
      <family val="2"/>
    </font>
    <font>
      <b/>
      <sz val="28"/>
      <name val="Arial"/>
      <family val="2"/>
    </font>
    <font>
      <sz val="9"/>
      <name val="Arial"/>
      <family val="2"/>
    </font>
    <font>
      <sz val="9"/>
      <color indexed="8"/>
      <name val="Arial"/>
      <family val="2"/>
    </font>
    <font>
      <b/>
      <sz val="20"/>
      <name val="Arial"/>
      <family val="2"/>
    </font>
    <font>
      <b/>
      <sz val="22"/>
      <color rgb="FFFF0000"/>
      <name val="Arial"/>
      <family val="2"/>
    </font>
    <font>
      <b/>
      <sz val="26"/>
      <color rgb="FFFF0000"/>
      <name val="Arial"/>
      <family val="2"/>
    </font>
    <font>
      <sz val="22"/>
      <color rgb="FFFF0000"/>
      <name val="Arial"/>
      <family val="2"/>
    </font>
    <font>
      <b/>
      <sz val="24"/>
      <color rgb="FFFF0000"/>
      <name val="Arial"/>
      <family val="2"/>
    </font>
    <font>
      <b/>
      <sz val="10"/>
      <color indexed="8"/>
      <name val="Arial"/>
      <family val="2"/>
    </font>
    <font>
      <sz val="48"/>
      <name val="Arial"/>
      <family val="2"/>
    </font>
    <font>
      <sz val="16"/>
      <name val="Arial"/>
      <family val="2"/>
    </font>
    <font>
      <b/>
      <sz val="20"/>
      <color rgb="FF00B0F0"/>
      <name val="Arial"/>
      <family val="2"/>
    </font>
    <font>
      <b/>
      <sz val="26"/>
      <color rgb="FF00B0F0"/>
      <name val="Arial"/>
      <family val="2"/>
    </font>
    <font>
      <sz val="22"/>
      <color rgb="FF00B0F0"/>
      <name val="Arial"/>
      <family val="2"/>
    </font>
    <font>
      <sz val="24"/>
      <color rgb="FFFF0000"/>
      <name val="Arial"/>
      <family val="2"/>
    </font>
  </fonts>
  <fills count="36">
    <fill>
      <patternFill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718000590801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767000079155"/>
        <bgColor indexed="64"/>
      </patternFill>
    </fill>
    <fill>
      <patternFill patternType="solid">
        <fgColor theme="0" tint="-0.344909995794296"/>
        <bgColor indexed="64"/>
      </patternFill>
    </fill>
    <fill>
      <patternFill patternType="solid">
        <fgColor theme="5" tint="0.599749982357025"/>
        <bgColor indexed="64"/>
      </patternFill>
    </fill>
    <fill>
      <patternFill patternType="solid">
        <fgColor theme="0" tint="-0.149409994482994"/>
        <bgColor indexed="64"/>
      </patternFill>
    </fill>
    <fill>
      <patternFill patternType="solid">
        <fgColor theme="0" tint="-0.149590000510216"/>
        <bgColor indexed="64"/>
      </patternFill>
    </fill>
    <fill>
      <patternFill patternType="solid">
        <fgColor theme="9" tint="0.59974998235702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680012464523"/>
        <bgColor indexed="64"/>
      </patternFill>
    </fill>
  </fills>
  <borders count="4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</border>
    <border>
      <left/>
      <right/>
      <top/>
      <bottom style="thick">
        <color indexed="54"/>
      </bottom>
    </border>
    <border>
      <left/>
      <right/>
      <top/>
      <bottom style="thick">
        <color indexed="22"/>
      </bottom>
    </border>
    <border>
      <left/>
      <right/>
      <top/>
      <bottom style="medium">
        <color indexed="44"/>
      </bottom>
    </border>
    <border>
      <left/>
      <right/>
      <top/>
      <bottom style="double">
        <color indexed="52"/>
      </bottom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</border>
    <border>
      <left/>
      <right/>
      <top style="thin">
        <color indexed="54"/>
      </top>
      <bottom style="double">
        <color indexed="54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thin"/>
      <right style="thin"/>
      <top style="thin"/>
      <bottom style="thin"/>
    </border>
    <border>
      <left style="thin"/>
      <right style="thin"/>
      <top/>
      <bottom style="thin"/>
    </border>
    <border>
      <left style="thin"/>
      <right style="thin"/>
      <top/>
      <bottom/>
    </border>
    <border>
      <left style="thin"/>
      <right style="thin"/>
      <top style="thin"/>
      <bottom/>
    </border>
    <border>
      <left/>
      <right/>
      <top/>
      <bottom style="thin"/>
    </border>
    <border>
      <left style="thin"/>
      <right/>
      <top style="thin"/>
      <bottom style="thin"/>
    </border>
    <border>
      <left style="medium"/>
      <right style="thin"/>
      <top style="thin"/>
      <bottom style="thin"/>
    </border>
    <border>
      <left style="thin"/>
      <right style="medium"/>
      <top style="thin"/>
      <bottom style="thin"/>
    </border>
    <border>
      <left/>
      <right style="thin"/>
      <top style="thin"/>
      <bottom style="thin"/>
    </border>
    <border>
      <left style="medium"/>
      <right style="thin"/>
      <top style="thin"/>
      <bottom style="medium"/>
    </border>
    <border>
      <left style="thin"/>
      <right style="thin"/>
      <top style="thin"/>
      <bottom style="medium"/>
    </border>
    <border>
      <left style="thin"/>
      <right style="medium"/>
      <top style="thin"/>
      <bottom style="medium"/>
    </border>
    <border>
      <left style="medium"/>
      <right style="medium"/>
      <top style="thin"/>
      <bottom style="thin"/>
    </border>
    <border>
      <left style="thin"/>
      <right/>
      <top style="thin"/>
      <bottom/>
    </border>
    <border>
      <left style="medium"/>
      <right style="medium"/>
      <top style="thin"/>
      <bottom style="medium"/>
    </border>
    <border>
      <left/>
      <right/>
      <top style="thin"/>
      <bottom style="thin"/>
    </border>
    <border>
      <left/>
      <right/>
      <top style="thin"/>
      <bottom/>
    </border>
    <border>
      <left/>
      <right style="thin"/>
      <top style="thin"/>
      <bottom/>
    </border>
    <border>
      <left style="thin"/>
      <right/>
      <top/>
      <bottom/>
    </border>
    <border>
      <left/>
      <right style="thin"/>
      <top/>
      <bottom/>
    </border>
    <border>
      <left style="thin"/>
      <right/>
      <top/>
      <bottom style="thin"/>
    </border>
    <border>
      <left/>
      <right style="thin"/>
      <top/>
      <bottom style="thin"/>
    </border>
    <border>
      <left style="medium"/>
      <right style="thin"/>
      <top style="medium"/>
      <bottom style="thin"/>
    </border>
    <border>
      <left style="thin"/>
      <right style="thin"/>
      <top style="medium"/>
      <bottom style="thin"/>
    </border>
    <border>
      <left style="thin"/>
      <right style="medium"/>
      <top style="medium"/>
      <bottom style="thin"/>
    </border>
    <border>
      <left style="thin"/>
      <right/>
      <top/>
      <bottom style="medium"/>
    </border>
    <border>
      <left/>
      <right/>
      <top/>
      <bottom style="medium"/>
    </border>
    <border>
      <left/>
      <right style="thin"/>
      <top/>
      <bottom style="medium"/>
    </border>
    <border>
      <left style="medium"/>
      <right/>
      <top style="thin"/>
      <bottom style="thin"/>
    </border>
    <border>
      <left/>
      <right style="thin"/>
      <top style="medium"/>
      <bottom style="thin"/>
    </border>
    <border>
      <left style="medium"/>
      <right style="medium"/>
      <top style="medium"/>
      <bottom style="thin"/>
    </border>
    <border>
      <left style="medium"/>
      <right/>
      <top style="medium"/>
      <bottom style="thin"/>
    </border>
    <border>
      <left/>
      <right/>
      <top style="medium"/>
      <bottom style="thin"/>
    </border>
    <border>
      <left/>
      <right style="medium"/>
      <top style="medium"/>
      <bottom style="thin"/>
    </border>
  </borders>
  <cellStyleXfs count="103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9" borderId="0" applyNumberFormat="0" applyBorder="0" applyAlignment="0" applyProtection="0"/>
    <xf numFmtId="0" fontId="6" fillId="7" borderId="0" applyNumberFormat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12" borderId="0" applyNumberFormat="0" applyBorder="0" applyAlignment="0" applyProtection="0"/>
    <xf numFmtId="0" fontId="7" fillId="6" borderId="0" applyNumberFormat="0" applyBorder="0" applyAlignment="0" applyProtection="0"/>
    <xf numFmtId="0" fontId="7" fillId="13" borderId="0" applyNumberFormat="0" applyBorder="0" applyAlignment="0" applyProtection="0"/>
    <xf numFmtId="0" fontId="6" fillId="13" borderId="0" applyNumberFormat="0" applyBorder="0" applyAlignment="0" applyProtection="0"/>
    <xf numFmtId="0" fontId="8" fillId="14" borderId="0" applyNumberFormat="0" applyBorder="0" applyAlignment="0" applyProtection="0"/>
    <xf numFmtId="0" fontId="9" fillId="15" borderId="1" applyNumberFormat="0" applyAlignment="0" applyProtection="0"/>
    <xf numFmtId="0" fontId="10" fillId="8" borderId="2" applyNumberFormat="0" applyAlignment="0" applyProtection="0"/>
    <xf numFmtId="41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9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13" borderId="1" applyNumberFormat="0" applyAlignment="0" applyProtection="0"/>
    <xf numFmtId="0" fontId="17" fillId="0" borderId="6" applyNumberFormat="0" applyFill="0" applyAlignment="0" applyProtection="0"/>
    <xf numFmtId="0" fontId="18" fillId="19" borderId="0" applyNumberFormat="0" applyBorder="0" applyAlignment="0" applyProtection="0"/>
    <xf numFmtId="0" fontId="7" fillId="0" borderId="0">
      <alignment/>
      <protection/>
    </xf>
    <xf numFmtId="0" fontId="1" fillId="0" borderId="0">
      <alignment/>
      <protection/>
    </xf>
    <xf numFmtId="0" fontId="0" fillId="6" borderId="7" applyNumberFormat="0" applyFont="0" applyAlignment="0" applyProtection="0"/>
    <xf numFmtId="0" fontId="19" fillId="15" borderId="8" applyNumberFormat="0" applyAlignment="0" applyProtection="0"/>
    <xf numFmtId="9" fontId="0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14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20" borderId="10" applyNumberFormat="0" applyAlignment="0" applyProtection="0"/>
    <xf numFmtId="0" fontId="0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</cellStyleXfs>
  <cellXfs count="324">
    <xf numFmtId="0" fontId="0" fillId="0" borderId="0" xfId="0"/>
    <xf numFmtId="14" fontId="29" fillId="15" borderId="11" xfId="0" applyNumberFormat="1" applyFont="1" applyFill="1" applyBorder="1" applyAlignment="1" applyProtection="1">
      <alignment horizontal="center" wrapText="1"/>
      <protection locked="0"/>
    </xf>
    <xf numFmtId="0" fontId="32" fillId="0" borderId="11" xfId="0" applyFont="1" applyBorder="1" applyAlignment="1">
      <alignment horizontal="center" vertical="center" wrapText="1"/>
    </xf>
    <xf numFmtId="0" fontId="29" fillId="0" borderId="11" xfId="0" applyFont="1" applyBorder="1" applyAlignment="1" applyProtection="1">
      <alignment horizontal="center" vertical="center" wrapText="1"/>
      <protection locked="0"/>
    </xf>
    <xf numFmtId="0" fontId="29" fillId="0" borderId="11" xfId="0" applyFont="1" applyBorder="1" applyAlignment="1" applyProtection="1">
      <alignment horizontal="center" vertical="center" wrapText="1"/>
      <protection hidden="1"/>
    </xf>
    <xf numFmtId="0" fontId="30" fillId="0" borderId="11" xfId="0" applyFont="1" applyBorder="1" applyAlignment="1" applyProtection="1">
      <alignment horizontal="center" vertical="center" wrapText="1"/>
      <protection hidden="1" locked="0"/>
    </xf>
    <xf numFmtId="0" fontId="27" fillId="0" borderId="12" xfId="0" applyFont="1" applyBorder="1" applyAlignment="1" applyProtection="1">
      <alignment horizontal="center" vertical="center" wrapText="1"/>
      <protection hidden="1"/>
    </xf>
    <xf numFmtId="0" fontId="27" fillId="0" borderId="13" xfId="0" applyFont="1" applyBorder="1" applyAlignment="1" applyProtection="1">
      <alignment horizontal="center" vertical="center" wrapText="1"/>
      <protection hidden="1"/>
    </xf>
    <xf numFmtId="0" fontId="27" fillId="0" borderId="14" xfId="0" applyFont="1" applyBorder="1" applyAlignment="1" applyProtection="1">
      <alignment horizontal="center" vertical="center" wrapText="1"/>
      <protection hidden="1"/>
    </xf>
    <xf numFmtId="0" fontId="27" fillId="15" borderId="11" xfId="0" applyFont="1" applyFill="1" applyBorder="1" applyAlignment="1" applyProtection="1">
      <alignment horizontal="center" vertical="center" textRotation="90" wrapText="1"/>
      <protection hidden="1"/>
    </xf>
    <xf numFmtId="0" fontId="27" fillId="21" borderId="11" xfId="0" applyFont="1" applyFill="1" applyBorder="1" applyAlignment="1">
      <alignment horizontal="center" vertical="center" wrapText="1"/>
    </xf>
    <xf numFmtId="0" fontId="27" fillId="21" borderId="11" xfId="0" applyFont="1" applyFill="1" applyBorder="1" applyAlignment="1" applyProtection="1">
      <alignment horizontal="center" vertical="center" wrapText="1"/>
      <protection hidden="1"/>
    </xf>
    <xf numFmtId="0" fontId="27" fillId="15" borderId="11" xfId="0" applyFont="1" applyFill="1" applyBorder="1" applyAlignment="1" applyProtection="1">
      <alignment horizontal="center" vertical="center" wrapText="1"/>
      <protection hidden="1"/>
    </xf>
    <xf numFmtId="0" fontId="27" fillId="0" borderId="11" xfId="0" applyFont="1" applyBorder="1" applyAlignment="1" applyProtection="1">
      <alignment horizontal="center" vertical="center" wrapText="1"/>
      <protection hidden="1"/>
    </xf>
    <xf numFmtId="0" fontId="5" fillId="0" borderId="15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 wrapText="1"/>
    </xf>
    <xf numFmtId="0" fontId="29" fillId="15" borderId="11" xfId="0" applyFont="1" applyFill="1" applyBorder="1" applyAlignment="1">
      <alignment horizontal="center" vertical="center" wrapText="1"/>
    </xf>
    <xf numFmtId="0" fontId="29" fillId="0" borderId="11" xfId="0" applyFont="1" applyBorder="1" applyAlignment="1">
      <alignment horizontal="center" vertical="center" wrapText="1"/>
    </xf>
    <xf numFmtId="0" fontId="29" fillId="0" borderId="11" xfId="0" applyFont="1" applyBorder="1" applyAlignment="1" applyProtection="1">
      <alignment horizontal="center" vertical="center" wrapText="1"/>
      <protection hidden="1"/>
    </xf>
    <xf numFmtId="0" fontId="30" fillId="0" borderId="11" xfId="0" applyFont="1" applyBorder="1" applyAlignment="1" applyProtection="1">
      <alignment horizontal="center" vertical="center" wrapText="1"/>
      <protection hidden="1" locked="0"/>
    </xf>
    <xf numFmtId="0" fontId="29" fillId="15" borderId="11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22" fontId="2" fillId="0" borderId="0" xfId="0" applyNumberFormat="1" applyFont="1"/>
    <xf numFmtId="0" fontId="3" fillId="0" borderId="0" xfId="0" applyFont="1"/>
    <xf numFmtId="14" fontId="0" fillId="0" borderId="0" xfId="0" applyNumberFormat="1"/>
    <xf numFmtId="22" fontId="0" fillId="0" borderId="0" xfId="0" applyNumberFormat="1" applyAlignment="1">
      <alignment horizontal="left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22" fillId="0" borderId="0" xfId="72" applyAlignment="1" applyProtection="1">
      <alignment/>
      <protection/>
    </xf>
    <xf numFmtId="0" fontId="4" fillId="0" borderId="11" xfId="0" applyFont="1" applyBorder="1" applyAlignment="1">
      <alignment horizontal="center" vertical="center"/>
    </xf>
    <xf numFmtId="0" fontId="28" fillId="0" borderId="0" xfId="0" applyFont="1" applyAlignment="1">
      <alignment horizontal="left"/>
    </xf>
    <xf numFmtId="0" fontId="1" fillId="0" borderId="0" xfId="85">
      <alignment/>
      <protection/>
    </xf>
    <xf numFmtId="0" fontId="0" fillId="0" borderId="11" xfId="0" applyBorder="1"/>
    <xf numFmtId="0" fontId="29" fillId="0" borderId="11" xfId="0" applyFont="1" applyBorder="1" applyAlignment="1" applyProtection="1">
      <alignment horizontal="center" vertical="center" wrapText="1"/>
      <protection hidden="1" locked="0"/>
    </xf>
    <xf numFmtId="0" fontId="31" fillId="0" borderId="0" xfId="0" applyFont="1" applyAlignment="1">
      <alignment vertical="center"/>
    </xf>
    <xf numFmtId="0" fontId="31" fillId="0" borderId="0" xfId="0" applyFont="1"/>
    <xf numFmtId="2" fontId="0" fillId="0" borderId="0" xfId="0" applyNumberFormat="1" applyAlignment="1">
      <alignment vertical="center"/>
    </xf>
    <xf numFmtId="2" fontId="2" fillId="0" borderId="0" xfId="0" applyNumberFormat="1" applyFont="1" applyAlignment="1">
      <alignment vertical="center"/>
    </xf>
    <xf numFmtId="2" fontId="2" fillId="0" borderId="0" xfId="0" applyNumberFormat="1" applyFont="1"/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2" fontId="0" fillId="0" borderId="0" xfId="0" applyNumberFormat="1"/>
    <xf numFmtId="0" fontId="28" fillId="0" borderId="0" xfId="0" applyFont="1"/>
    <xf numFmtId="0" fontId="28" fillId="0" borderId="0" xfId="0" applyFon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33" fillId="0" borderId="11" xfId="0" applyFont="1" applyBorder="1" applyAlignment="1" applyProtection="1">
      <alignment horizontal="center" vertical="center" wrapText="1"/>
      <protection hidden="1" locked="0"/>
    </xf>
    <xf numFmtId="0" fontId="28" fillId="0" borderId="11" xfId="0" applyFont="1" applyBorder="1" applyAlignment="1" applyProtection="1">
      <alignment horizontal="center" vertical="center" wrapText="1"/>
      <protection hidden="1" locked="0"/>
    </xf>
    <xf numFmtId="0" fontId="28" fillId="0" borderId="11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35" fillId="0" borderId="0" xfId="0" applyFont="1"/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37" fillId="0" borderId="0" xfId="0" applyFont="1" applyAlignment="1">
      <alignment wrapText="1"/>
    </xf>
    <xf numFmtId="0" fontId="37" fillId="0" borderId="0" xfId="0" applyFont="1"/>
    <xf numFmtId="0" fontId="38" fillId="22" borderId="0" xfId="85" applyFont="1" applyFill="1" applyAlignment="1">
      <alignment horizontal="center" vertical="center" wrapText="1"/>
      <protection/>
    </xf>
    <xf numFmtId="0" fontId="38" fillId="0" borderId="0" xfId="85" applyFont="1" applyAlignment="1">
      <alignment horizontal="center" vertical="center" wrapText="1"/>
      <protection/>
    </xf>
    <xf numFmtId="0" fontId="1" fillId="0" borderId="0" xfId="85" applyAlignment="1">
      <alignment horizontal="center" vertical="center" wrapText="1"/>
      <protection/>
    </xf>
    <xf numFmtId="1" fontId="28" fillId="0" borderId="11" xfId="0" applyNumberFormat="1" applyFont="1" applyBorder="1" applyAlignment="1" applyProtection="1">
      <alignment horizontal="center" vertical="center" wrapText="1"/>
      <protection hidden="1" locked="0"/>
    </xf>
    <xf numFmtId="0" fontId="28" fillId="0" borderId="11" xfId="0" applyFont="1" applyBorder="1" applyAlignment="1">
      <alignment horizontal="center" vertical="center" wrapText="1"/>
    </xf>
    <xf numFmtId="1" fontId="1" fillId="0" borderId="11" xfId="85" applyNumberFormat="1" applyBorder="1">
      <alignment/>
      <protection/>
    </xf>
    <xf numFmtId="0" fontId="1" fillId="0" borderId="11" xfId="85" applyBorder="1">
      <alignment/>
      <protection/>
    </xf>
    <xf numFmtId="0" fontId="38" fillId="22" borderId="11" xfId="85" applyFont="1" applyFill="1" applyBorder="1" applyAlignment="1">
      <alignment horizontal="center" vertical="center" wrapText="1"/>
      <protection/>
    </xf>
    <xf numFmtId="1" fontId="0" fillId="0" borderId="0" xfId="0" applyNumberFormat="1"/>
    <xf numFmtId="0" fontId="33" fillId="0" borderId="11" xfId="0" applyFont="1" applyBorder="1" applyAlignment="1" applyProtection="1">
      <alignment horizontal="center" vertical="center" wrapText="1"/>
      <protection locked="0"/>
    </xf>
    <xf numFmtId="0" fontId="28" fillId="0" borderId="0" xfId="0" applyFont="1" applyAlignment="1">
      <alignment horizontal="left" wrapText="1"/>
    </xf>
    <xf numFmtId="0" fontId="29" fillId="21" borderId="11" xfId="0" applyFont="1" applyFill="1" applyBorder="1" applyAlignment="1" applyProtection="1">
      <alignment horizontal="center" vertical="center" wrapText="1"/>
      <protection locked="0"/>
    </xf>
    <xf numFmtId="0" fontId="28" fillId="21" borderId="11" xfId="0" applyFont="1" applyFill="1" applyBorder="1" applyAlignment="1" applyProtection="1">
      <alignment horizontal="center" vertical="center" wrapText="1"/>
      <protection hidden="1" locked="0"/>
    </xf>
    <xf numFmtId="1" fontId="37" fillId="0" borderId="0" xfId="0" applyNumberFormat="1" applyFont="1"/>
    <xf numFmtId="0" fontId="27" fillId="0" borderId="11" xfId="0" applyFont="1" applyBorder="1" applyAlignment="1" applyProtection="1">
      <alignment horizontal="center" vertical="center" wrapText="1"/>
      <protection locked="0"/>
    </xf>
    <xf numFmtId="0" fontId="27" fillId="22" borderId="11" xfId="0" applyFont="1" applyFill="1" applyBorder="1" applyAlignment="1" applyProtection="1">
      <alignment horizontal="center" vertical="center" wrapText="1"/>
      <protection locked="0"/>
    </xf>
    <xf numFmtId="0" fontId="29" fillId="23" borderId="11" xfId="0" applyFont="1" applyFill="1" applyBorder="1" applyAlignment="1" applyProtection="1">
      <alignment horizontal="center" vertical="center" wrapText="1"/>
      <protection locked="0"/>
    </xf>
    <xf numFmtId="0" fontId="29" fillId="23" borderId="11" xfId="0" applyFont="1" applyFill="1" applyBorder="1" applyAlignment="1" applyProtection="1">
      <alignment horizontal="center" vertical="center" wrapText="1"/>
      <protection hidden="1" locked="0"/>
    </xf>
    <xf numFmtId="0" fontId="28" fillId="23" borderId="11" xfId="0" applyFont="1" applyFill="1" applyBorder="1" applyAlignment="1" applyProtection="1">
      <alignment horizontal="center" vertical="center" wrapText="1"/>
      <protection locked="0"/>
    </xf>
    <xf numFmtId="0" fontId="38" fillId="24" borderId="0" xfId="85" applyFont="1" applyFill="1" applyAlignment="1">
      <alignment horizontal="center" vertical="center" wrapText="1"/>
      <protection/>
    </xf>
    <xf numFmtId="0" fontId="29" fillId="15" borderId="11" xfId="0" applyFont="1" applyFill="1" applyBorder="1" applyAlignment="1" applyProtection="1">
      <alignment horizontal="center" vertical="center" textRotation="90" wrapText="1"/>
      <protection hidden="1"/>
    </xf>
    <xf numFmtId="0" fontId="29" fillId="15" borderId="11" xfId="0" applyFont="1" applyFill="1" applyBorder="1" applyAlignment="1" applyProtection="1">
      <alignment horizontal="center" vertical="center" wrapText="1"/>
      <protection hidden="1"/>
    </xf>
    <xf numFmtId="0" fontId="31" fillId="0" borderId="11" xfId="0" applyFont="1" applyBorder="1" applyAlignment="1">
      <alignment horizontal="right" vertical="center" wrapText="1"/>
    </xf>
    <xf numFmtId="0" fontId="31" fillId="0" borderId="11" xfId="0" applyFont="1" applyBorder="1" applyAlignment="1" applyProtection="1">
      <alignment horizontal="center" vertical="center" wrapText="1"/>
      <protection locked="0"/>
    </xf>
    <xf numFmtId="0" fontId="31" fillId="0" borderId="16" xfId="0" applyFont="1" applyBorder="1" applyAlignment="1" applyProtection="1">
      <alignment horizontal="center" vertical="center" wrapText="1"/>
      <protection locked="0"/>
    </xf>
    <xf numFmtId="0" fontId="31" fillId="0" borderId="17" xfId="0" applyFont="1" applyBorder="1" applyAlignment="1" applyProtection="1">
      <alignment horizontal="center" vertical="center" wrapText="1"/>
      <protection hidden="1" locked="0"/>
    </xf>
    <xf numFmtId="0" fontId="31" fillId="0" borderId="11" xfId="0" applyFont="1" applyBorder="1" applyAlignment="1" applyProtection="1">
      <alignment horizontal="center" vertical="center" wrapText="1"/>
      <protection hidden="1" locked="0"/>
    </xf>
    <xf numFmtId="0" fontId="43" fillId="0" borderId="11" xfId="0" applyFont="1" applyBorder="1" applyAlignment="1" applyProtection="1">
      <alignment horizontal="center" vertical="center" wrapText="1"/>
      <protection hidden="1" locked="0"/>
    </xf>
    <xf numFmtId="0" fontId="31" fillId="25" borderId="11" xfId="0" applyFont="1" applyFill="1" applyBorder="1" applyAlignment="1" applyProtection="1">
      <alignment horizontal="center" vertical="center" wrapText="1"/>
      <protection hidden="1" locked="0"/>
    </xf>
    <xf numFmtId="0" fontId="43" fillId="25" borderId="11" xfId="0" applyFont="1" applyFill="1" applyBorder="1" applyAlignment="1" applyProtection="1">
      <alignment horizontal="center" vertical="center" wrapText="1"/>
      <protection hidden="1" locked="0"/>
    </xf>
    <xf numFmtId="0" fontId="43" fillId="0" borderId="18" xfId="0" applyFont="1" applyBorder="1" applyAlignment="1" applyProtection="1">
      <alignment horizontal="center" vertical="center" wrapText="1"/>
      <protection hidden="1" locked="0"/>
    </xf>
    <xf numFmtId="0" fontId="31" fillId="26" borderId="17" xfId="0" applyFont="1" applyFill="1" applyBorder="1" applyAlignment="1" applyProtection="1">
      <alignment horizontal="center" vertical="center" wrapText="1"/>
      <protection hidden="1" locked="0"/>
    </xf>
    <xf numFmtId="0" fontId="31" fillId="26" borderId="11" xfId="0" applyFont="1" applyFill="1" applyBorder="1" applyAlignment="1" applyProtection="1">
      <alignment horizontal="center" vertical="center" wrapText="1"/>
      <protection hidden="1" locked="0"/>
    </xf>
    <xf numFmtId="0" fontId="31" fillId="26" borderId="18" xfId="0" applyFont="1" applyFill="1" applyBorder="1" applyAlignment="1" applyProtection="1">
      <alignment horizontal="center" vertical="center" wrapText="1"/>
      <protection hidden="1" locked="0"/>
    </xf>
    <xf numFmtId="0" fontId="31" fillId="0" borderId="19" xfId="0" applyFont="1" applyBorder="1" applyAlignment="1">
      <alignment horizontal="center" vertical="center" wrapText="1"/>
    </xf>
    <xf numFmtId="0" fontId="31" fillId="0" borderId="20" xfId="0" applyFont="1" applyBorder="1" applyAlignment="1" applyProtection="1">
      <alignment horizontal="center" vertical="center" wrapText="1"/>
      <protection hidden="1" locked="0"/>
    </xf>
    <xf numFmtId="0" fontId="43" fillId="0" borderId="21" xfId="0" applyFont="1" applyBorder="1" applyAlignment="1" applyProtection="1">
      <alignment horizontal="center" vertical="center" wrapText="1"/>
      <protection hidden="1" locked="0"/>
    </xf>
    <xf numFmtId="0" fontId="31" fillId="25" borderId="21" xfId="0" applyFont="1" applyFill="1" applyBorder="1" applyAlignment="1" applyProtection="1">
      <alignment horizontal="center" vertical="center" wrapText="1"/>
      <protection hidden="1" locked="0"/>
    </xf>
    <xf numFmtId="0" fontId="43" fillId="0" borderId="22" xfId="0" applyFont="1" applyBorder="1" applyAlignment="1" applyProtection="1">
      <alignment horizontal="center" vertical="center" wrapText="1"/>
      <protection hidden="1" locked="0"/>
    </xf>
    <xf numFmtId="0" fontId="31" fillId="26" borderId="20" xfId="0" applyFont="1" applyFill="1" applyBorder="1" applyAlignment="1" applyProtection="1">
      <alignment horizontal="center" vertical="center" wrapText="1"/>
      <protection hidden="1" locked="0"/>
    </xf>
    <xf numFmtId="0" fontId="31" fillId="26" borderId="21" xfId="0" applyFont="1" applyFill="1" applyBorder="1" applyAlignment="1" applyProtection="1">
      <alignment horizontal="center" vertical="center" wrapText="1"/>
      <protection hidden="1" locked="0"/>
    </xf>
    <xf numFmtId="0" fontId="31" fillId="26" borderId="22" xfId="0" applyFont="1" applyFill="1" applyBorder="1" applyAlignment="1" applyProtection="1">
      <alignment horizontal="center" vertical="center" wrapText="1"/>
      <protection hidden="1" locked="0"/>
    </xf>
    <xf numFmtId="0" fontId="36" fillId="15" borderId="11" xfId="0" applyFont="1" applyFill="1" applyBorder="1" applyAlignment="1" applyProtection="1">
      <alignment horizontal="center" vertical="center" wrapText="1"/>
      <protection hidden="1"/>
    </xf>
    <xf numFmtId="0" fontId="34" fillId="0" borderId="11" xfId="0" applyFont="1" applyBorder="1" applyAlignment="1" applyProtection="1">
      <alignment horizontal="center" vertical="center" wrapText="1"/>
      <protection hidden="1"/>
    </xf>
    <xf numFmtId="0" fontId="2" fillId="0" borderId="11" xfId="0" applyFont="1" applyBorder="1" applyAlignment="1">
      <alignment horizontal="center" wrapText="1"/>
    </xf>
    <xf numFmtId="0" fontId="37" fillId="0" borderId="11" xfId="0" applyFont="1" applyBorder="1" applyAlignment="1">
      <alignment horizontal="right" vertical="center" wrapText="1"/>
    </xf>
    <xf numFmtId="0" fontId="37" fillId="0" borderId="11" xfId="0" applyFont="1" applyBorder="1" applyAlignment="1" applyProtection="1">
      <alignment horizontal="center" vertical="center" wrapText="1"/>
      <protection locked="0"/>
    </xf>
    <xf numFmtId="0" fontId="37" fillId="0" borderId="11" xfId="0" applyFont="1" applyBorder="1" applyAlignment="1" applyProtection="1">
      <alignment horizontal="center" vertical="center" wrapText="1"/>
      <protection hidden="1" locked="0"/>
    </xf>
    <xf numFmtId="0" fontId="36" fillId="15" borderId="16" xfId="0" applyFont="1" applyFill="1" applyBorder="1" applyAlignment="1" applyProtection="1">
      <alignment horizontal="center" vertical="center" wrapText="1"/>
      <protection hidden="1"/>
    </xf>
    <xf numFmtId="0" fontId="37" fillId="0" borderId="16" xfId="0" applyFont="1" applyBorder="1" applyAlignment="1" applyProtection="1">
      <alignment horizontal="center" vertical="center" wrapText="1"/>
      <protection hidden="1" locked="0"/>
    </xf>
    <xf numFmtId="0" fontId="36" fillId="15" borderId="19" xfId="0" applyFont="1" applyFill="1" applyBorder="1" applyAlignment="1" applyProtection="1">
      <alignment horizontal="center" vertical="center" wrapText="1"/>
      <protection hidden="1"/>
    </xf>
    <xf numFmtId="0" fontId="36" fillId="15" borderId="23" xfId="0" applyFont="1" applyFill="1" applyBorder="1" applyAlignment="1" applyProtection="1">
      <alignment horizontal="center" vertical="center" wrapText="1"/>
      <protection hidden="1"/>
    </xf>
    <xf numFmtId="0" fontId="29" fillId="21" borderId="11" xfId="0" applyFont="1" applyFill="1" applyBorder="1" applyAlignment="1">
      <alignment horizontal="center" vertical="center" wrapText="1"/>
    </xf>
    <xf numFmtId="1" fontId="29" fillId="0" borderId="11" xfId="0" applyNumberFormat="1" applyFont="1" applyBorder="1" applyAlignment="1" applyProtection="1">
      <alignment horizontal="center" vertical="center" wrapText="1"/>
      <protection hidden="1"/>
    </xf>
    <xf numFmtId="1" fontId="37" fillId="0" borderId="11" xfId="0" applyNumberFormat="1" applyFont="1" applyBorder="1" applyAlignment="1" applyProtection="1">
      <alignment horizontal="center" vertical="center" wrapText="1"/>
      <protection hidden="1" locked="0"/>
    </xf>
    <xf numFmtId="0" fontId="29" fillId="22" borderId="11" xfId="0" applyFont="1" applyFill="1" applyBorder="1" applyAlignment="1" applyProtection="1">
      <alignment horizontal="center" vertical="center" wrapText="1"/>
      <protection hidden="1"/>
    </xf>
    <xf numFmtId="0" fontId="37" fillId="22" borderId="11" xfId="0" applyFont="1" applyFill="1" applyBorder="1" applyAlignment="1" applyProtection="1">
      <alignment horizontal="center" vertical="center" wrapText="1"/>
      <protection hidden="1" locked="0"/>
    </xf>
    <xf numFmtId="0" fontId="0" fillId="0" borderId="15" xfId="0" applyBorder="1"/>
    <xf numFmtId="1" fontId="0" fillId="0" borderId="15" xfId="0" applyNumberFormat="1" applyBorder="1"/>
    <xf numFmtId="0" fontId="27" fillId="0" borderId="0" xfId="0" applyFont="1" applyAlignment="1" applyProtection="1">
      <alignment horizontal="center" vertical="center" wrapText="1"/>
      <protection hidden="1"/>
    </xf>
    <xf numFmtId="0" fontId="28" fillId="0" borderId="0" xfId="0" applyFont="1" applyAlignment="1" applyProtection="1">
      <alignment horizontal="center" vertical="center" wrapText="1"/>
      <protection hidden="1" locked="0"/>
    </xf>
    <xf numFmtId="0" fontId="36" fillId="0" borderId="11" xfId="0" applyFont="1" applyBorder="1" applyAlignment="1" applyProtection="1">
      <alignment horizontal="center" vertical="center" wrapText="1"/>
      <protection hidden="1"/>
    </xf>
    <xf numFmtId="0" fontId="47" fillId="0" borderId="11" xfId="0" applyFont="1" applyBorder="1" applyAlignment="1" applyProtection="1">
      <alignment horizontal="center" vertical="center" wrapText="1"/>
      <protection hidden="1"/>
    </xf>
    <xf numFmtId="0" fontId="48" fillId="0" borderId="11" xfId="0" applyFont="1" applyBorder="1" applyAlignment="1" applyProtection="1">
      <alignment horizontal="center" vertical="center" wrapText="1"/>
      <protection hidden="1"/>
    </xf>
    <xf numFmtId="0" fontId="49" fillId="0" borderId="11" xfId="0" applyFont="1" applyBorder="1" applyAlignment="1" applyProtection="1">
      <alignment horizontal="center" vertical="center" wrapText="1"/>
      <protection hidden="1" locked="0"/>
    </xf>
    <xf numFmtId="0" fontId="33" fillId="0" borderId="11" xfId="0" applyFont="1" applyBorder="1" applyAlignment="1">
      <alignment horizontal="right" vertical="top"/>
    </xf>
    <xf numFmtId="0" fontId="37" fillId="0" borderId="11" xfId="0" applyFont="1" applyBorder="1" applyAlignment="1">
      <alignment horizontal="right" vertical="top"/>
    </xf>
    <xf numFmtId="0" fontId="35" fillId="0" borderId="11" xfId="0" applyFont="1" applyBorder="1" applyAlignment="1">
      <alignment horizontal="right" vertical="top"/>
    </xf>
    <xf numFmtId="0" fontId="35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 wrapText="1"/>
    </xf>
    <xf numFmtId="0" fontId="35" fillId="0" borderId="11" xfId="0" applyFont="1" applyBorder="1" applyAlignment="1">
      <alignment horizontal="center" vertical="center"/>
    </xf>
    <xf numFmtId="0" fontId="44" fillId="0" borderId="11" xfId="0" applyFont="1" applyBorder="1" applyAlignment="1">
      <alignment textRotation="90"/>
    </xf>
    <xf numFmtId="1" fontId="45" fillId="0" borderId="11" xfId="0" applyNumberFormat="1" applyFont="1" applyBorder="1" applyAlignment="1">
      <alignment horizontal="center" vertical="center" textRotation="90"/>
    </xf>
    <xf numFmtId="1" fontId="44" fillId="0" borderId="11" xfId="0" applyNumberFormat="1" applyFont="1" applyBorder="1" applyAlignment="1">
      <alignment textRotation="90"/>
    </xf>
    <xf numFmtId="1" fontId="44" fillId="0" borderId="11" xfId="0" applyNumberFormat="1" applyFont="1" applyBorder="1" applyAlignment="1">
      <alignment horizontal="center" vertical="center" textRotation="90"/>
    </xf>
    <xf numFmtId="2" fontId="44" fillId="0" borderId="11" xfId="0" applyNumberFormat="1" applyFont="1" applyBorder="1" applyAlignment="1">
      <alignment textRotation="90"/>
    </xf>
    <xf numFmtId="1" fontId="2" fillId="0" borderId="11" xfId="0" applyNumberFormat="1" applyFont="1" applyBorder="1" applyAlignment="1">
      <alignment horizontal="center" textRotation="90" wrapText="1"/>
    </xf>
    <xf numFmtId="2" fontId="2" fillId="0" borderId="11" xfId="0" applyNumberFormat="1" applyFont="1" applyBorder="1" applyAlignment="1">
      <alignment horizontal="center" textRotation="90" wrapText="1"/>
    </xf>
    <xf numFmtId="0" fontId="2" fillId="0" borderId="11" xfId="0" applyFont="1" applyBorder="1" applyAlignment="1">
      <alignment horizontal="center" textRotation="90" wrapText="1"/>
    </xf>
    <xf numFmtId="1" fontId="45" fillId="0" borderId="14" xfId="0" applyNumberFormat="1" applyFont="1" applyBorder="1" applyAlignment="1">
      <alignment horizontal="center" vertical="center" textRotation="90"/>
    </xf>
    <xf numFmtId="0" fontId="44" fillId="0" borderId="16" xfId="0" applyFont="1" applyBorder="1" applyAlignment="1">
      <alignment textRotation="90"/>
    </xf>
    <xf numFmtId="0" fontId="44" fillId="0" borderId="14" xfId="0" applyFont="1" applyBorder="1" applyAlignment="1">
      <alignment textRotation="90"/>
    </xf>
    <xf numFmtId="1" fontId="4" fillId="0" borderId="11" xfId="0" applyNumberFormat="1" applyFont="1" applyBorder="1" applyAlignment="1">
      <alignment vertical="center" wrapText="1"/>
    </xf>
    <xf numFmtId="0" fontId="4" fillId="0" borderId="14" xfId="0" applyFont="1" applyBorder="1" applyAlignment="1">
      <alignment vertical="center"/>
    </xf>
    <xf numFmtId="0" fontId="2" fillId="0" borderId="16" xfId="0" applyFont="1" applyBorder="1" applyAlignment="1">
      <alignment horizontal="center" wrapText="1"/>
    </xf>
    <xf numFmtId="1" fontId="2" fillId="27" borderId="17" xfId="0" applyNumberFormat="1" applyFont="1" applyFill="1" applyBorder="1" applyAlignment="1">
      <alignment horizontal="center" textRotation="90" wrapText="1"/>
    </xf>
    <xf numFmtId="1" fontId="2" fillId="27" borderId="11" xfId="0" applyNumberFormat="1" applyFont="1" applyFill="1" applyBorder="1" applyAlignment="1">
      <alignment horizontal="center" textRotation="90" wrapText="1"/>
    </xf>
    <xf numFmtId="1" fontId="2" fillId="27" borderId="18" xfId="0" applyNumberFormat="1" applyFont="1" applyFill="1" applyBorder="1" applyAlignment="1">
      <alignment horizontal="center" textRotation="90" wrapText="1"/>
    </xf>
    <xf numFmtId="1" fontId="2" fillId="0" borderId="19" xfId="0" applyNumberFormat="1" applyFont="1" applyBorder="1" applyAlignment="1">
      <alignment horizontal="center" textRotation="90" wrapText="1"/>
    </xf>
    <xf numFmtId="2" fontId="2" fillId="27" borderId="11" xfId="0" applyNumberFormat="1" applyFont="1" applyFill="1" applyBorder="1" applyAlignment="1">
      <alignment horizontal="center" textRotation="90" wrapText="1"/>
    </xf>
    <xf numFmtId="1" fontId="2" fillId="28" borderId="11" xfId="0" applyNumberFormat="1" applyFont="1" applyFill="1" applyBorder="1" applyAlignment="1">
      <alignment horizontal="center" textRotation="90" wrapText="1"/>
    </xf>
    <xf numFmtId="0" fontId="2" fillId="0" borderId="11" xfId="0" applyFont="1" applyBorder="1" applyAlignment="1">
      <alignment textRotation="90" wrapText="1"/>
    </xf>
    <xf numFmtId="0" fontId="2" fillId="0" borderId="16" xfId="0" applyFont="1" applyBorder="1" applyAlignment="1">
      <alignment textRotation="90" wrapText="1"/>
    </xf>
    <xf numFmtId="0" fontId="2" fillId="0" borderId="11" xfId="0" applyFont="1" applyBorder="1" applyAlignment="1">
      <alignment horizontal="center" textRotation="90"/>
    </xf>
    <xf numFmtId="0" fontId="28" fillId="0" borderId="11" xfId="0" applyFont="1" applyBorder="1" applyAlignment="1">
      <alignment horizontal="left" vertical="center"/>
    </xf>
    <xf numFmtId="0" fontId="28" fillId="0" borderId="11" xfId="0" applyFont="1" applyBorder="1" applyAlignment="1">
      <alignment horizontal="center" vertical="center"/>
    </xf>
    <xf numFmtId="0" fontId="52" fillId="0" borderId="11" xfId="0" applyFont="1" applyBorder="1" applyAlignment="1" applyProtection="1">
      <alignment horizontal="center" vertical="center" wrapText="1"/>
      <protection locked="0"/>
    </xf>
    <xf numFmtId="0" fontId="28" fillId="0" borderId="0" xfId="0" applyFont="1" applyAlignment="1">
      <alignment horizontal="left" vertical="center"/>
    </xf>
    <xf numFmtId="0" fontId="30" fillId="0" borderId="11" xfId="0" applyFont="1" applyBorder="1" applyAlignment="1" applyProtection="1">
      <alignment horizontal="center" vertical="center" wrapText="1"/>
      <protection locked="0"/>
    </xf>
    <xf numFmtId="0" fontId="4" fillId="0" borderId="24" xfId="0" applyFont="1" applyBorder="1" applyAlignment="1">
      <alignment vertical="center"/>
    </xf>
    <xf numFmtId="0" fontId="0" fillId="0" borderId="11" xfId="0" applyBorder="1" applyAlignment="1">
      <alignment textRotation="90" wrapText="1"/>
    </xf>
    <xf numFmtId="0" fontId="53" fillId="0" borderId="0" xfId="0" applyFont="1" applyAlignment="1">
      <alignment horizontal="center" vertical="center"/>
    </xf>
    <xf numFmtId="1" fontId="37" fillId="21" borderId="11" xfId="0" applyNumberFormat="1" applyFont="1" applyFill="1" applyBorder="1" applyAlignment="1" applyProtection="1">
      <alignment horizontal="center" vertical="center" wrapText="1"/>
      <protection hidden="1" locked="0"/>
    </xf>
    <xf numFmtId="0" fontId="55" fillId="21" borderId="11" xfId="0" applyFont="1" applyFill="1" applyBorder="1" applyAlignment="1">
      <alignment horizontal="center" vertical="center" wrapText="1"/>
    </xf>
    <xf numFmtId="0" fontId="56" fillId="21" borderId="11" xfId="0" applyFont="1" applyFill="1" applyBorder="1" applyAlignment="1" applyProtection="1">
      <alignment horizontal="center" vertical="center" wrapText="1"/>
      <protection hidden="1" locked="0"/>
    </xf>
    <xf numFmtId="0" fontId="34" fillId="0" borderId="11" xfId="0" applyFont="1" applyBorder="1" applyAlignment="1" applyProtection="1">
      <alignment horizontal="center" vertical="center" wrapText="1"/>
      <protection hidden="1" locked="0"/>
    </xf>
    <xf numFmtId="0" fontId="31" fillId="26" borderId="19" xfId="0" applyFont="1" applyFill="1" applyBorder="1" applyAlignment="1" applyProtection="1">
      <alignment horizontal="center" vertical="center" wrapText="1"/>
      <protection hidden="1" locked="0"/>
    </xf>
    <xf numFmtId="0" fontId="31" fillId="0" borderId="23" xfId="0" applyFont="1" applyBorder="1" applyAlignment="1" applyProtection="1">
      <alignment horizontal="center" vertical="center" wrapText="1"/>
      <protection hidden="1" locked="0"/>
    </xf>
    <xf numFmtId="0" fontId="31" fillId="0" borderId="19" xfId="0" applyFont="1" applyBorder="1" applyAlignment="1" applyProtection="1">
      <alignment horizontal="center" vertical="center" wrapText="1"/>
      <protection hidden="1" locked="0"/>
    </xf>
    <xf numFmtId="1" fontId="31" fillId="0" borderId="11" xfId="0" applyNumberFormat="1" applyFont="1" applyBorder="1" applyAlignment="1" applyProtection="1">
      <alignment horizontal="center" vertical="center" wrapText="1"/>
      <protection hidden="1" locked="0"/>
    </xf>
    <xf numFmtId="0" fontId="31" fillId="0" borderId="25" xfId="0" applyFont="1" applyBorder="1" applyAlignment="1" applyProtection="1">
      <alignment horizontal="center" vertical="center" wrapText="1"/>
      <protection hidden="1" locked="0"/>
    </xf>
    <xf numFmtId="0" fontId="57" fillId="0" borderId="11" xfId="0" applyFont="1" applyBorder="1" applyAlignment="1" applyProtection="1">
      <alignment horizontal="center" vertical="center" wrapText="1"/>
      <protection hidden="1" locked="0"/>
    </xf>
    <xf numFmtId="0" fontId="42" fillId="0" borderId="11" xfId="0" applyFont="1" applyBorder="1" applyAlignment="1" applyProtection="1">
      <alignment horizontal="center" vertical="center" wrapText="1"/>
      <protection hidden="1" locked="0"/>
    </xf>
    <xf numFmtId="0" fontId="43" fillId="29" borderId="11" xfId="0" applyFont="1" applyFill="1" applyBorder="1" applyAlignment="1" applyProtection="1">
      <alignment horizontal="center" vertical="center" wrapText="1"/>
      <protection hidden="1" locked="0"/>
    </xf>
    <xf numFmtId="0" fontId="4" fillId="0" borderId="11" xfId="0" applyFont="1" applyBorder="1" applyAlignment="1">
      <alignment vertical="center"/>
    </xf>
    <xf numFmtId="0" fontId="35" fillId="0" borderId="11" xfId="0" applyFont="1" applyBorder="1" applyAlignment="1" applyProtection="1">
      <alignment horizontal="center" vertical="center" wrapText="1"/>
      <protection locked="0"/>
    </xf>
    <xf numFmtId="0" fontId="35" fillId="0" borderId="11" xfId="0" applyFont="1" applyBorder="1" applyAlignment="1">
      <alignment horizontal="right" vertical="top" wrapText="1"/>
    </xf>
    <xf numFmtId="14" fontId="29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29" fillId="0" borderId="11" xfId="0" applyFont="1" applyBorder="1" applyAlignment="1">
      <alignment horizontal="center" vertical="center" wrapText="1"/>
    </xf>
    <xf numFmtId="0" fontId="29" fillId="15" borderId="11" xfId="0" applyFont="1" applyFill="1" applyBorder="1" applyAlignment="1">
      <alignment horizontal="center" vertical="center" wrapText="1"/>
    </xf>
    <xf numFmtId="0" fontId="31" fillId="0" borderId="11" xfId="0" applyFont="1" applyBorder="1" applyAlignment="1" applyProtection="1">
      <alignment horizontal="center" wrapText="1"/>
      <protection hidden="1"/>
    </xf>
    <xf numFmtId="0" fontId="31" fillId="0" borderId="11" xfId="0" applyFont="1" applyBorder="1" applyAlignment="1">
      <alignment horizontal="center" vertical="center" wrapText="1"/>
    </xf>
    <xf numFmtId="0" fontId="29" fillId="15" borderId="11" xfId="0" applyFont="1" applyFill="1" applyBorder="1" applyAlignment="1" applyProtection="1">
      <alignment horizontal="center" vertical="center" wrapText="1"/>
      <protection locked="0"/>
    </xf>
    <xf numFmtId="0" fontId="29" fillId="30" borderId="11" xfId="0" applyFont="1" applyFill="1" applyBorder="1" applyAlignment="1" applyProtection="1">
      <alignment horizontal="center" vertical="center" wrapText="1"/>
      <protection hidden="1"/>
    </xf>
    <xf numFmtId="0" fontId="30" fillId="0" borderId="16" xfId="0" applyFont="1" applyBorder="1" applyAlignment="1" applyProtection="1">
      <alignment horizontal="center" vertical="center" wrapText="1"/>
      <protection hidden="1" locked="0"/>
    </xf>
    <xf numFmtId="0" fontId="30" fillId="0" borderId="26" xfId="0" applyFont="1" applyBorder="1" applyAlignment="1" applyProtection="1">
      <alignment horizontal="center" vertical="center" wrapText="1"/>
      <protection hidden="1" locked="0"/>
    </xf>
    <xf numFmtId="0" fontId="30" fillId="0" borderId="19" xfId="0" applyFont="1" applyBorder="1" applyAlignment="1" applyProtection="1">
      <alignment horizontal="center" vertical="center" wrapText="1"/>
      <protection hidden="1" locked="0"/>
    </xf>
    <xf numFmtId="0" fontId="29" fillId="0" borderId="16" xfId="0" applyFont="1" applyBorder="1" applyAlignment="1" applyProtection="1">
      <alignment horizontal="center" vertical="center" wrapText="1"/>
      <protection hidden="1"/>
    </xf>
    <xf numFmtId="0" fontId="29" fillId="0" borderId="26" xfId="0" applyFont="1" applyBorder="1" applyAlignment="1" applyProtection="1">
      <alignment horizontal="center" vertical="center" wrapText="1"/>
      <protection hidden="1"/>
    </xf>
    <xf numFmtId="0" fontId="29" fillId="0" borderId="19" xfId="0" applyFont="1" applyBorder="1" applyAlignment="1" applyProtection="1">
      <alignment horizontal="center" vertical="center" wrapText="1"/>
      <protection hidden="1"/>
    </xf>
    <xf numFmtId="0" fontId="29" fillId="0" borderId="24" xfId="0" applyFont="1" applyBorder="1" applyAlignment="1" applyProtection="1">
      <alignment horizontal="center" vertical="center" wrapText="1"/>
      <protection locked="0"/>
    </xf>
    <xf numFmtId="0" fontId="29" fillId="0" borderId="27" xfId="0" applyFont="1" applyBorder="1" applyAlignment="1" applyProtection="1">
      <alignment horizontal="center" vertical="center" wrapText="1"/>
      <protection locked="0"/>
    </xf>
    <xf numFmtId="0" fontId="29" fillId="0" borderId="28" xfId="0" applyFont="1" applyBorder="1" applyAlignment="1" applyProtection="1">
      <alignment horizontal="center" vertical="center" wrapText="1"/>
      <protection locked="0"/>
    </xf>
    <xf numFmtId="0" fontId="29" fillId="0" borderId="29" xfId="0" applyFont="1" applyBorder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 wrapText="1"/>
      <protection locked="0"/>
    </xf>
    <xf numFmtId="0" fontId="29" fillId="0" borderId="30" xfId="0" applyFont="1" applyBorder="1" applyAlignment="1" applyProtection="1">
      <alignment horizontal="center" vertical="center" wrapText="1"/>
      <protection locked="0"/>
    </xf>
    <xf numFmtId="0" fontId="29" fillId="0" borderId="31" xfId="0" applyFont="1" applyBorder="1" applyAlignment="1" applyProtection="1">
      <alignment horizontal="center" vertical="center" wrapText="1"/>
      <protection locked="0"/>
    </xf>
    <xf numFmtId="0" fontId="29" fillId="0" borderId="15" xfId="0" applyFont="1" applyBorder="1" applyAlignment="1" applyProtection="1">
      <alignment horizontal="center" vertical="center" wrapText="1"/>
      <protection locked="0"/>
    </xf>
    <xf numFmtId="0" fontId="29" fillId="0" borderId="32" xfId="0" applyFont="1" applyBorder="1" applyAlignment="1" applyProtection="1">
      <alignment horizontal="center" vertical="center" wrapText="1"/>
      <protection locked="0"/>
    </xf>
    <xf numFmtId="0" fontId="27" fillId="0" borderId="11" xfId="0" applyFont="1" applyBorder="1" applyAlignment="1" applyProtection="1">
      <alignment horizontal="center" vertical="center" wrapText="1"/>
      <protection locked="0"/>
    </xf>
    <xf numFmtId="0" fontId="27" fillId="23" borderId="11" xfId="0" applyFont="1" applyFill="1" applyBorder="1" applyAlignment="1" applyProtection="1">
      <alignment horizontal="center" vertical="center" wrapText="1"/>
      <protection hidden="1"/>
    </xf>
    <xf numFmtId="0" fontId="27" fillId="0" borderId="11" xfId="0" applyFont="1" applyBorder="1" applyAlignment="1">
      <alignment horizontal="center" vertical="center" wrapText="1"/>
    </xf>
    <xf numFmtId="0" fontId="30" fillId="24" borderId="11" xfId="0" applyFont="1" applyFill="1" applyBorder="1" applyAlignment="1" applyProtection="1">
      <alignment horizontal="center" vertical="center" wrapText="1"/>
      <protection hidden="1" locked="0"/>
    </xf>
    <xf numFmtId="0" fontId="31" fillId="0" borderId="24" xfId="0" applyFont="1" applyBorder="1" applyAlignment="1" applyProtection="1">
      <alignment horizontal="center" vertical="center" wrapText="1"/>
      <protection locked="0"/>
    </xf>
    <xf numFmtId="0" fontId="31" fillId="0" borderId="27" xfId="0" applyFont="1" applyBorder="1" applyAlignment="1" applyProtection="1">
      <alignment horizontal="center" vertical="center" wrapText="1"/>
      <protection locked="0"/>
    </xf>
    <xf numFmtId="0" fontId="31" fillId="0" borderId="28" xfId="0" applyFont="1" applyBorder="1" applyAlignment="1" applyProtection="1">
      <alignment horizontal="center" vertical="center" wrapText="1"/>
      <protection locked="0"/>
    </xf>
    <xf numFmtId="0" fontId="31" fillId="0" borderId="29" xfId="0" applyFont="1" applyBorder="1" applyAlignment="1" applyProtection="1">
      <alignment horizontal="center" vertical="center" wrapText="1"/>
      <protection locked="0"/>
    </xf>
    <xf numFmtId="0" fontId="31" fillId="0" borderId="0" xfId="0" applyFont="1" applyAlignment="1" applyProtection="1">
      <alignment horizontal="center" vertical="center" wrapText="1"/>
      <protection locked="0"/>
    </xf>
    <xf numFmtId="0" fontId="31" fillId="0" borderId="30" xfId="0" applyFont="1" applyBorder="1" applyAlignment="1" applyProtection="1">
      <alignment horizontal="center" vertical="center" wrapText="1"/>
      <protection locked="0"/>
    </xf>
    <xf numFmtId="0" fontId="34" fillId="26" borderId="11" xfId="0" applyFont="1" applyFill="1" applyBorder="1" applyAlignment="1">
      <alignment horizontal="center" vertical="center" wrapText="1"/>
    </xf>
    <xf numFmtId="14" fontId="29" fillId="0" borderId="11" xfId="0" applyNumberFormat="1" applyFont="1" applyBorder="1" applyAlignment="1" applyProtection="1">
      <alignment horizontal="center" vertical="center" wrapText="1"/>
      <protection locked="0"/>
    </xf>
    <xf numFmtId="0" fontId="29" fillId="15" borderId="11" xfId="0" applyFont="1" applyFill="1" applyBorder="1" applyAlignment="1" applyProtection="1">
      <alignment horizontal="center" vertical="center" textRotation="90" wrapText="1"/>
      <protection hidden="1"/>
    </xf>
    <xf numFmtId="0" fontId="29" fillId="15" borderId="16" xfId="0" applyFont="1" applyFill="1" applyBorder="1" applyAlignment="1" applyProtection="1">
      <alignment horizontal="center" vertical="center" wrapText="1"/>
      <protection hidden="1"/>
    </xf>
    <xf numFmtId="0" fontId="29" fillId="0" borderId="18" xfId="0" applyFont="1" applyBorder="1" applyAlignment="1" applyProtection="1">
      <alignment horizontal="center" vertical="center" wrapText="1"/>
      <protection hidden="1"/>
    </xf>
    <xf numFmtId="0" fontId="29" fillId="25" borderId="11" xfId="0" applyFont="1" applyFill="1" applyBorder="1" applyAlignment="1" applyProtection="1">
      <alignment horizontal="center" vertical="center" wrapText="1"/>
      <protection hidden="1"/>
    </xf>
    <xf numFmtId="0" fontId="29" fillId="30" borderId="14" xfId="0" applyFont="1" applyFill="1" applyBorder="1" applyAlignment="1" applyProtection="1">
      <alignment horizontal="center" vertical="center" wrapText="1"/>
      <protection hidden="1"/>
    </xf>
    <xf numFmtId="0" fontId="29" fillId="30" borderId="33" xfId="0" applyFont="1" applyFill="1" applyBorder="1" applyAlignment="1">
      <alignment horizontal="center" vertical="center" wrapText="1"/>
    </xf>
    <xf numFmtId="0" fontId="29" fillId="30" borderId="34" xfId="0" applyFont="1" applyFill="1" applyBorder="1" applyAlignment="1">
      <alignment horizontal="center" vertical="center" wrapText="1"/>
    </xf>
    <xf numFmtId="0" fontId="29" fillId="30" borderId="35" xfId="0" applyFont="1" applyFill="1" applyBorder="1" applyAlignment="1">
      <alignment horizontal="center" vertical="center" wrapText="1"/>
    </xf>
    <xf numFmtId="0" fontId="29" fillId="0" borderId="17" xfId="0" applyFont="1" applyBorder="1" applyAlignment="1" applyProtection="1">
      <alignment horizontal="center" vertical="center" wrapText="1"/>
      <protection hidden="1"/>
    </xf>
    <xf numFmtId="14" fontId="29" fillId="15" borderId="24" xfId="0" applyNumberFormat="1" applyFont="1" applyFill="1" applyBorder="1" applyAlignment="1" applyProtection="1">
      <alignment horizontal="center" vertical="center" wrapText="1"/>
      <protection locked="0"/>
    </xf>
    <xf numFmtId="14" fontId="29" fillId="15" borderId="27" xfId="0" applyNumberFormat="1" applyFont="1" applyFill="1" applyBorder="1" applyAlignment="1" applyProtection="1">
      <alignment horizontal="center" vertical="center" wrapText="1"/>
      <protection locked="0"/>
    </xf>
    <xf numFmtId="14" fontId="29" fillId="15" borderId="28" xfId="0" applyNumberFormat="1" applyFont="1" applyFill="1" applyBorder="1" applyAlignment="1" applyProtection="1">
      <alignment horizontal="center" vertical="center" wrapText="1"/>
      <protection locked="0"/>
    </xf>
    <xf numFmtId="14" fontId="29" fillId="15" borderId="29" xfId="0" applyNumberFormat="1" applyFont="1" applyFill="1" applyBorder="1" applyAlignment="1" applyProtection="1">
      <alignment horizontal="center" vertical="center" wrapText="1"/>
      <protection locked="0"/>
    </xf>
    <xf numFmtId="14" fontId="29" fillId="15" borderId="0" xfId="0" applyNumberFormat="1" applyFont="1" applyFill="1" applyAlignment="1" applyProtection="1">
      <alignment horizontal="center" vertical="center" wrapText="1"/>
      <protection locked="0"/>
    </xf>
    <xf numFmtId="14" fontId="29" fillId="15" borderId="30" xfId="0" applyNumberFormat="1" applyFont="1" applyFill="1" applyBorder="1" applyAlignment="1" applyProtection="1">
      <alignment horizontal="center" vertical="center" wrapText="1"/>
      <protection locked="0"/>
    </xf>
    <xf numFmtId="14" fontId="29" fillId="15" borderId="36" xfId="0" applyNumberFormat="1" applyFont="1" applyFill="1" applyBorder="1" applyAlignment="1" applyProtection="1">
      <alignment horizontal="center" vertical="center" wrapText="1"/>
      <protection locked="0"/>
    </xf>
    <xf numFmtId="14" fontId="29" fillId="15" borderId="37" xfId="0" applyNumberFormat="1" applyFont="1" applyFill="1" applyBorder="1" applyAlignment="1" applyProtection="1">
      <alignment horizontal="center" vertical="center" wrapText="1"/>
      <protection locked="0"/>
    </xf>
    <xf numFmtId="14" fontId="29" fillId="15" borderId="38" xfId="0" applyNumberFormat="1" applyFont="1" applyFill="1" applyBorder="1" applyAlignment="1" applyProtection="1">
      <alignment horizontal="center" vertical="center" wrapText="1"/>
      <protection locked="0"/>
    </xf>
    <xf numFmtId="0" fontId="34" fillId="26" borderId="39" xfId="0" applyFont="1" applyFill="1" applyBorder="1" applyAlignment="1">
      <alignment horizontal="center" vertical="center" wrapText="1"/>
    </xf>
    <xf numFmtId="0" fontId="29" fillId="0" borderId="14" xfId="0" applyFont="1" applyBorder="1" applyAlignment="1" applyProtection="1">
      <alignment horizontal="center" vertical="center" wrapText="1"/>
      <protection locked="0"/>
    </xf>
    <xf numFmtId="14" fontId="29" fillId="15" borderId="16" xfId="0" applyNumberFormat="1" applyFont="1" applyFill="1" applyBorder="1" applyAlignment="1" applyProtection="1">
      <alignment horizontal="center" wrapText="1"/>
      <protection locked="0"/>
    </xf>
    <xf numFmtId="14" fontId="29" fillId="15" borderId="19" xfId="0" applyNumberFormat="1" applyFont="1" applyFill="1" applyBorder="1" applyAlignment="1" applyProtection="1">
      <alignment horizontal="center" wrapText="1"/>
      <protection locked="0"/>
    </xf>
    <xf numFmtId="0" fontId="34" fillId="26" borderId="18" xfId="0" applyFont="1" applyFill="1" applyBorder="1" applyAlignment="1">
      <alignment horizontal="center" vertical="center" wrapText="1"/>
    </xf>
    <xf numFmtId="0" fontId="29" fillId="26" borderId="33" xfId="0" applyFont="1" applyFill="1" applyBorder="1" applyAlignment="1">
      <alignment horizontal="center" vertical="center" wrapText="1"/>
    </xf>
    <xf numFmtId="0" fontId="29" fillId="26" borderId="40" xfId="0" applyFont="1" applyFill="1" applyBorder="1" applyAlignment="1">
      <alignment horizontal="center" vertical="center" wrapText="1"/>
    </xf>
    <xf numFmtId="0" fontId="29" fillId="26" borderId="34" xfId="0" applyFont="1" applyFill="1" applyBorder="1" applyAlignment="1">
      <alignment horizontal="center" vertical="center" wrapText="1"/>
    </xf>
    <xf numFmtId="0" fontId="29" fillId="26" borderId="35" xfId="0" applyFont="1" applyFill="1" applyBorder="1" applyAlignment="1">
      <alignment horizontal="center" vertical="center" wrapText="1"/>
    </xf>
    <xf numFmtId="14" fontId="29" fillId="15" borderId="16" xfId="0" applyNumberFormat="1" applyFont="1" applyFill="1" applyBorder="1" applyAlignment="1" applyProtection="1">
      <alignment horizontal="center" vertical="center" wrapText="1"/>
      <protection locked="0"/>
    </xf>
    <xf numFmtId="14" fontId="29" fillId="15" borderId="19" xfId="0" applyNumberFormat="1" applyFont="1" applyFill="1" applyBorder="1" applyAlignment="1" applyProtection="1">
      <alignment horizontal="center" vertical="center" wrapText="1"/>
      <protection locked="0"/>
    </xf>
    <xf numFmtId="0" fontId="29" fillId="15" borderId="16" xfId="0" applyFont="1" applyFill="1" applyBorder="1" applyAlignment="1">
      <alignment horizontal="center" vertical="center" wrapText="1"/>
    </xf>
    <xf numFmtId="0" fontId="29" fillId="15" borderId="19" xfId="0" applyFont="1" applyFill="1" applyBorder="1" applyAlignment="1">
      <alignment horizontal="center" vertical="center" wrapText="1"/>
    </xf>
    <xf numFmtId="0" fontId="31" fillId="0" borderId="16" xfId="0" applyFont="1" applyBorder="1" applyAlignment="1" applyProtection="1">
      <alignment horizontal="center" wrapText="1"/>
      <protection hidden="1"/>
    </xf>
    <xf numFmtId="0" fontId="31" fillId="0" borderId="19" xfId="0" applyFont="1" applyBorder="1" applyAlignment="1" applyProtection="1">
      <alignment horizontal="center" wrapText="1"/>
      <protection hidden="1"/>
    </xf>
    <xf numFmtId="0" fontId="31" fillId="0" borderId="16" xfId="0" applyFont="1" applyBorder="1" applyAlignment="1">
      <alignment horizontal="center" vertical="center" wrapText="1"/>
    </xf>
    <xf numFmtId="0" fontId="31" fillId="0" borderId="19" xfId="0" applyFont="1" applyBorder="1" applyAlignment="1">
      <alignment horizontal="center" vertical="center" wrapText="1"/>
    </xf>
    <xf numFmtId="0" fontId="32" fillId="0" borderId="16" xfId="0" applyFont="1" applyBorder="1" applyAlignment="1">
      <alignment horizontal="center" vertical="center" wrapText="1"/>
    </xf>
    <xf numFmtId="0" fontId="32" fillId="0" borderId="19" xfId="0" applyFont="1" applyBorder="1" applyAlignment="1">
      <alignment horizontal="center" vertical="center" wrapText="1"/>
    </xf>
    <xf numFmtId="0" fontId="29" fillId="0" borderId="16" xfId="0" applyFont="1" applyBorder="1" applyAlignment="1">
      <alignment horizontal="center" vertical="center" wrapText="1"/>
    </xf>
    <xf numFmtId="0" fontId="29" fillId="0" borderId="19" xfId="0" applyFont="1" applyBorder="1" applyAlignment="1">
      <alignment horizontal="center" vertical="center" wrapText="1"/>
    </xf>
    <xf numFmtId="0" fontId="39" fillId="24" borderId="11" xfId="0" applyFont="1" applyFill="1" applyBorder="1" applyAlignment="1" applyProtection="1">
      <alignment horizontal="center" wrapText="1"/>
      <protection hidden="1" locked="0"/>
    </xf>
    <xf numFmtId="0" fontId="31" fillId="0" borderId="11" xfId="0" applyFont="1" applyBorder="1" applyAlignment="1" applyProtection="1">
      <alignment horizontal="center" vertical="center" wrapText="1"/>
      <protection locked="0"/>
    </xf>
    <xf numFmtId="0" fontId="34" fillId="29" borderId="11" xfId="0" applyFont="1" applyFill="1" applyBorder="1" applyAlignment="1" applyProtection="1">
      <alignment horizontal="center" vertical="center" wrapText="1"/>
      <protection hidden="1"/>
    </xf>
    <xf numFmtId="0" fontId="34" fillId="0" borderId="11" xfId="0" applyFont="1" applyBorder="1" applyAlignment="1" applyProtection="1">
      <alignment horizontal="center" vertical="center" wrapText="1"/>
      <protection hidden="1"/>
    </xf>
    <xf numFmtId="0" fontId="37" fillId="0" borderId="11" xfId="0" applyFont="1" applyBorder="1" applyAlignment="1" applyProtection="1">
      <alignment horizontal="center" wrapText="1"/>
      <protection hidden="1"/>
    </xf>
    <xf numFmtId="0" fontId="36" fillId="0" borderId="11" xfId="0" applyFont="1" applyBorder="1" applyAlignment="1" applyProtection="1">
      <alignment horizontal="center" vertical="center" wrapText="1"/>
      <protection hidden="1"/>
    </xf>
    <xf numFmtId="0" fontId="29" fillId="26" borderId="11" xfId="0" applyFont="1" applyFill="1" applyBorder="1" applyAlignment="1">
      <alignment horizontal="center" vertical="center" wrapText="1"/>
    </xf>
    <xf numFmtId="0" fontId="29" fillId="15" borderId="11" xfId="0" applyFont="1" applyFill="1" applyBorder="1" applyAlignment="1" applyProtection="1">
      <alignment horizontal="center" vertical="center" wrapText="1"/>
      <protection hidden="1"/>
    </xf>
    <xf numFmtId="0" fontId="46" fillId="0" borderId="11" xfId="0" applyFont="1" applyBorder="1" applyAlignment="1" applyProtection="1">
      <alignment horizontal="center" vertical="center" wrapText="1"/>
      <protection hidden="1"/>
    </xf>
    <xf numFmtId="0" fontId="29" fillId="30" borderId="11" xfId="0" applyFont="1" applyFill="1" applyBorder="1" applyAlignment="1">
      <alignment horizontal="center" vertical="center"/>
    </xf>
    <xf numFmtId="0" fontId="47" fillId="0" borderId="11" xfId="0" applyFont="1" applyBorder="1" applyAlignment="1" applyProtection="1">
      <alignment horizontal="center" vertical="center" wrapText="1"/>
      <protection hidden="1"/>
    </xf>
    <xf numFmtId="0" fontId="36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6" fillId="15" borderId="11" xfId="0" applyFont="1" applyFill="1" applyBorder="1" applyAlignment="1" applyProtection="1">
      <alignment horizontal="center" vertical="center" wrapText="1"/>
      <protection hidden="1"/>
    </xf>
    <xf numFmtId="14" fontId="29" fillId="0" borderId="16" xfId="0" applyNumberFormat="1" applyFont="1" applyBorder="1" applyAlignment="1" applyProtection="1">
      <alignment horizontal="center" vertical="center" wrapText="1"/>
      <protection locked="0"/>
    </xf>
    <xf numFmtId="14" fontId="29" fillId="0" borderId="26" xfId="0" applyNumberFormat="1" applyFont="1" applyBorder="1" applyAlignment="1" applyProtection="1">
      <alignment horizontal="center" vertical="center" wrapText="1"/>
      <protection locked="0"/>
    </xf>
    <xf numFmtId="14" fontId="29" fillId="0" borderId="19" xfId="0" applyNumberFormat="1" applyFont="1" applyBorder="1" applyAlignment="1" applyProtection="1">
      <alignment horizontal="center" vertical="center" wrapText="1"/>
      <protection locked="0"/>
    </xf>
    <xf numFmtId="0" fontId="36" fillId="0" borderId="14" xfId="0" applyFont="1" applyBorder="1" applyAlignment="1" applyProtection="1">
      <alignment horizontal="center" vertical="center" wrapText="1"/>
      <protection hidden="1"/>
    </xf>
    <xf numFmtId="0" fontId="36" fillId="0" borderId="12" xfId="0" applyFont="1" applyBorder="1" applyAlignment="1" applyProtection="1">
      <alignment horizontal="center" vertical="center" wrapText="1"/>
      <protection hidden="1"/>
    </xf>
    <xf numFmtId="0" fontId="36" fillId="22" borderId="11" xfId="0" applyFont="1" applyFill="1" applyBorder="1" applyAlignment="1" applyProtection="1">
      <alignment horizontal="center" vertical="center" wrapText="1"/>
      <protection hidden="1"/>
    </xf>
    <xf numFmtId="0" fontId="40" fillId="31" borderId="11" xfId="0" applyFont="1" applyFill="1" applyBorder="1" applyAlignment="1" applyProtection="1">
      <alignment horizontal="center" vertical="center" wrapText="1"/>
      <protection hidden="1" locked="0"/>
    </xf>
    <xf numFmtId="0" fontId="31" fillId="0" borderId="31" xfId="0" applyFont="1" applyBorder="1" applyAlignment="1" applyProtection="1">
      <alignment horizontal="center" vertical="center" wrapText="1"/>
      <protection locked="0"/>
    </xf>
    <xf numFmtId="0" fontId="31" fillId="0" borderId="32" xfId="0" applyFont="1" applyBorder="1" applyAlignment="1" applyProtection="1">
      <alignment horizontal="center" vertical="center" wrapText="1"/>
      <protection locked="0"/>
    </xf>
    <xf numFmtId="0" fontId="29" fillId="0" borderId="16" xfId="0" applyFont="1" applyBorder="1" applyAlignment="1" applyProtection="1">
      <alignment horizontal="center" vertical="center" wrapText="1"/>
      <protection locked="0"/>
    </xf>
    <xf numFmtId="0" fontId="29" fillId="0" borderId="26" xfId="0" applyFont="1" applyBorder="1" applyAlignment="1" applyProtection="1">
      <alignment horizontal="center" vertical="center" wrapText="1"/>
      <protection locked="0"/>
    </xf>
    <xf numFmtId="0" fontId="29" fillId="0" borderId="19" xfId="0" applyFont="1" applyBorder="1" applyAlignment="1" applyProtection="1">
      <alignment horizontal="center" vertical="center" wrapText="1"/>
      <protection locked="0"/>
    </xf>
    <xf numFmtId="0" fontId="40" fillId="32" borderId="11" xfId="0" applyFont="1" applyFill="1" applyBorder="1" applyAlignment="1" applyProtection="1">
      <alignment horizontal="center" vertical="center" wrapText="1"/>
      <protection hidden="1" locked="0"/>
    </xf>
    <xf numFmtId="0" fontId="36" fillId="15" borderId="16" xfId="0" applyFont="1" applyFill="1" applyBorder="1" applyAlignment="1" applyProtection="1">
      <alignment horizontal="center" vertical="center" wrapText="1"/>
      <protection hidden="1"/>
    </xf>
    <xf numFmtId="0" fontId="36" fillId="15" borderId="19" xfId="0" applyFont="1" applyFill="1" applyBorder="1" applyAlignment="1" applyProtection="1">
      <alignment horizontal="center" vertical="center" wrapText="1"/>
      <protection hidden="1"/>
    </xf>
    <xf numFmtId="0" fontId="36" fillId="15" borderId="41" xfId="0" applyFont="1" applyFill="1" applyBorder="1" applyAlignment="1" applyProtection="1">
      <alignment horizontal="center" vertical="center" wrapText="1"/>
      <protection hidden="1"/>
    </xf>
    <xf numFmtId="0" fontId="36" fillId="15" borderId="23" xfId="0" applyFont="1" applyFill="1" applyBorder="1" applyAlignment="1" applyProtection="1">
      <alignment horizontal="center" vertical="center" wrapText="1"/>
      <protection hidden="1"/>
    </xf>
    <xf numFmtId="0" fontId="31" fillId="0" borderId="15" xfId="0" applyFont="1" applyBorder="1" applyAlignment="1" applyProtection="1">
      <alignment horizontal="center" vertical="center" wrapText="1"/>
      <protection locked="0"/>
    </xf>
    <xf numFmtId="14" fontId="29" fillId="15" borderId="14" xfId="0" applyNumberFormat="1" applyFont="1" applyFill="1" applyBorder="1" applyAlignment="1" applyProtection="1">
      <alignment horizontal="center" vertical="center" wrapText="1"/>
      <protection locked="0"/>
    </xf>
    <xf numFmtId="0" fontId="39" fillId="22" borderId="11" xfId="0" applyFont="1" applyFill="1" applyBorder="1" applyAlignment="1" applyProtection="1">
      <alignment horizontal="center" vertical="center" wrapText="1"/>
      <protection hidden="1" locked="0"/>
    </xf>
    <xf numFmtId="0" fontId="50" fillId="0" borderId="11" xfId="0" applyFont="1" applyBorder="1" applyAlignment="1" applyProtection="1">
      <alignment horizontal="center" vertical="center" wrapText="1"/>
      <protection hidden="1"/>
    </xf>
    <xf numFmtId="0" fontId="34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4" fillId="15" borderId="11" xfId="0" applyFont="1" applyFill="1" applyBorder="1" applyAlignment="1" applyProtection="1">
      <alignment horizontal="center" vertical="center" wrapText="1"/>
      <protection hidden="1"/>
    </xf>
    <xf numFmtId="1" fontId="36" fillId="0" borderId="11" xfId="0" applyNumberFormat="1" applyFont="1" applyBorder="1" applyAlignment="1" applyProtection="1">
      <alignment horizontal="center" vertical="center" wrapText="1"/>
      <protection hidden="1"/>
    </xf>
    <xf numFmtId="0" fontId="36" fillId="21" borderId="11" xfId="0" applyFont="1" applyFill="1" applyBorder="1" applyAlignment="1">
      <alignment horizontal="center" vertical="center" wrapText="1"/>
    </xf>
    <xf numFmtId="0" fontId="36" fillId="0" borderId="11" xfId="0" applyFont="1" applyBorder="1" applyAlignment="1">
      <alignment horizontal="center" vertical="center" wrapText="1"/>
    </xf>
    <xf numFmtId="0" fontId="54" fillId="21" borderId="14" xfId="0" applyFont="1" applyFill="1" applyBorder="1" applyAlignment="1">
      <alignment horizontal="center" vertical="center" wrapText="1"/>
    </xf>
    <xf numFmtId="0" fontId="54" fillId="21" borderId="13" xfId="0" applyFont="1" applyFill="1" applyBorder="1" applyAlignment="1">
      <alignment horizontal="center" vertical="center" wrapText="1"/>
    </xf>
    <xf numFmtId="0" fontId="54" fillId="21" borderId="12" xfId="0" applyFont="1" applyFill="1" applyBorder="1" applyAlignment="1">
      <alignment horizontal="center" vertical="center" wrapText="1"/>
    </xf>
    <xf numFmtId="0" fontId="39" fillId="33" borderId="11" xfId="0" applyFont="1" applyFill="1" applyBorder="1" applyAlignment="1" applyProtection="1">
      <alignment horizontal="center" vertical="center" wrapText="1"/>
      <protection hidden="1" locked="0"/>
    </xf>
    <xf numFmtId="0" fontId="36" fillId="0" borderId="11" xfId="0" applyFont="1" applyBorder="1" applyAlignment="1">
      <alignment horizontal="center" vertical="center"/>
    </xf>
    <xf numFmtId="0" fontId="40" fillId="34" borderId="11" xfId="0" applyFont="1" applyFill="1" applyBorder="1" applyAlignment="1" applyProtection="1">
      <alignment horizontal="center" vertical="center" wrapText="1"/>
      <protection hidden="1" locked="0"/>
    </xf>
    <xf numFmtId="0" fontId="41" fillId="35" borderId="11" xfId="0" applyFont="1" applyFill="1" applyBorder="1" applyAlignment="1" applyProtection="1">
      <alignment horizontal="center" vertical="center" wrapText="1"/>
      <protection hidden="1" locked="0"/>
    </xf>
    <xf numFmtId="1" fontId="4" fillId="0" borderId="16" xfId="0" applyNumberFormat="1" applyFont="1" applyBorder="1" applyAlignment="1">
      <alignment horizontal="center" vertical="center"/>
    </xf>
    <xf numFmtId="1" fontId="4" fillId="0" borderId="26" xfId="0" applyNumberFormat="1" applyFont="1" applyBorder="1" applyAlignment="1">
      <alignment horizontal="center" vertical="center"/>
    </xf>
    <xf numFmtId="1" fontId="4" fillId="0" borderId="19" xfId="0" applyNumberFormat="1" applyFont="1" applyBorder="1" applyAlignment="1">
      <alignment horizontal="center" vertical="center"/>
    </xf>
    <xf numFmtId="1" fontId="51" fillId="27" borderId="42" xfId="0" applyNumberFormat="1" applyFont="1" applyFill="1" applyBorder="1" applyAlignment="1">
      <alignment horizontal="center" vertical="center"/>
    </xf>
    <xf numFmtId="1" fontId="51" fillId="27" borderId="43" xfId="0" applyNumberFormat="1" applyFont="1" applyFill="1" applyBorder="1" applyAlignment="1">
      <alignment horizontal="center" vertical="center"/>
    </xf>
    <xf numFmtId="1" fontId="51" fillId="27" borderId="44" xfId="0" applyNumberFormat="1" applyFont="1" applyFill="1" applyBorder="1" applyAlignment="1">
      <alignment horizontal="center" vertical="center"/>
    </xf>
    <xf numFmtId="1" fontId="51" fillId="0" borderId="26" xfId="0" applyNumberFormat="1" applyFont="1" applyBorder="1" applyAlignment="1">
      <alignment horizontal="center" vertical="center"/>
    </xf>
    <xf numFmtId="1" fontId="51" fillId="0" borderId="19" xfId="0" applyNumberFormat="1" applyFont="1" applyBorder="1" applyAlignment="1">
      <alignment horizontal="center" vertical="center"/>
    </xf>
    <xf numFmtId="1" fontId="51" fillId="27" borderId="16" xfId="0" applyNumberFormat="1" applyFont="1" applyFill="1" applyBorder="1" applyAlignment="1">
      <alignment horizontal="center" vertical="center"/>
    </xf>
    <xf numFmtId="1" fontId="51" fillId="27" borderId="26" xfId="0" applyNumberFormat="1" applyFont="1" applyFill="1" applyBorder="1" applyAlignment="1">
      <alignment horizontal="center" vertical="center"/>
    </xf>
    <xf numFmtId="1" fontId="51" fillId="27" borderId="19" xfId="0" applyNumberFormat="1" applyFont="1" applyFill="1" applyBorder="1" applyAlignment="1">
      <alignment horizontal="center" vertical="center"/>
    </xf>
    <xf numFmtId="1" fontId="51" fillId="0" borderId="16" xfId="0" applyNumberFormat="1" applyFont="1" applyBorder="1" applyAlignment="1">
      <alignment horizontal="center" vertical="center"/>
    </xf>
    <xf numFmtId="1" fontId="4" fillId="27" borderId="16" xfId="0" applyNumberFormat="1" applyFont="1" applyFill="1" applyBorder="1" applyAlignment="1">
      <alignment horizontal="center" vertical="center"/>
    </xf>
    <xf numFmtId="1" fontId="4" fillId="27" borderId="26" xfId="0" applyNumberFormat="1" applyFont="1" applyFill="1" applyBorder="1" applyAlignment="1">
      <alignment horizontal="center" vertical="center"/>
    </xf>
    <xf numFmtId="1" fontId="4" fillId="27" borderId="19" xfId="0" applyNumberFormat="1" applyFont="1" applyFill="1" applyBorder="1" applyAlignment="1">
      <alignment horizontal="center" vertical="center"/>
    </xf>
    <xf numFmtId="2" fontId="4" fillId="0" borderId="16" xfId="0" applyNumberFormat="1" applyFont="1" applyBorder="1" applyAlignment="1">
      <alignment horizontal="center" vertical="center"/>
    </xf>
    <xf numFmtId="2" fontId="4" fillId="0" borderId="26" xfId="0" applyNumberFormat="1" applyFont="1" applyBorder="1" applyAlignment="1">
      <alignment horizontal="center" vertical="center"/>
    </xf>
    <xf numFmtId="2" fontId="4" fillId="0" borderId="19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38" fillId="24" borderId="0" xfId="85" applyFont="1" applyFill="1" applyAlignment="1">
      <alignment horizontal="center" vertical="center"/>
      <protection/>
    </xf>
    <xf numFmtId="0" fontId="4" fillId="0" borderId="11" xfId="0" applyFont="1" applyBorder="1" applyAlignment="1">
      <alignment horizontal="center" vertical="center"/>
    </xf>
  </cellXfs>
  <cellStyles count="89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Accent1" xfId="20"/>
    <cellStyle name="Accent1 - 20%" xfId="21"/>
    <cellStyle name="Accent1 - 40%" xfId="22"/>
    <cellStyle name="Accent1 - 60%" xfId="23"/>
    <cellStyle name="Accent2" xfId="24"/>
    <cellStyle name="Accent2 - 20%" xfId="25"/>
    <cellStyle name="Accent2 - 40%" xfId="26"/>
    <cellStyle name="Accent2 - 60%" xfId="27"/>
    <cellStyle name="Accent3" xfId="28"/>
    <cellStyle name="Accent3 - 20%" xfId="29"/>
    <cellStyle name="Accent3 - 40%" xfId="30"/>
    <cellStyle name="Accent3 - 60%" xfId="31"/>
    <cellStyle name="Accent4" xfId="32"/>
    <cellStyle name="Accent4 - 20%" xfId="33"/>
    <cellStyle name="Accent4 - 40%" xfId="34"/>
    <cellStyle name="Accent4 - 60%" xfId="35"/>
    <cellStyle name="Accent5" xfId="36"/>
    <cellStyle name="Accent5 - 20%" xfId="37"/>
    <cellStyle name="Accent5 - 40%" xfId="38"/>
    <cellStyle name="Accent5 - 60%" xfId="39"/>
    <cellStyle name="Accent6" xfId="40"/>
    <cellStyle name="Accent6 - 20%" xfId="41"/>
    <cellStyle name="Accent6 - 40%" xfId="42"/>
    <cellStyle name="Accent6 - 60%" xfId="43"/>
    <cellStyle name="Bad" xfId="44"/>
    <cellStyle name="Calculation" xfId="45"/>
    <cellStyle name="Check Cell" xfId="46"/>
    <cellStyle name="Comma [0] 2" xfId="47"/>
    <cellStyle name="Comma 2" xfId="48"/>
    <cellStyle name="Comma 3" xfId="49"/>
    <cellStyle name="Currency [0] 2" xfId="50"/>
    <cellStyle name="Currency 2" xfId="51"/>
    <cellStyle name="Currency 3" xfId="52"/>
    <cellStyle name="Emphasis 1" xfId="53"/>
    <cellStyle name="Emphasis 2" xfId="54"/>
    <cellStyle name="Emphasis 3" xfId="55"/>
    <cellStyle name="Good" xfId="56"/>
    <cellStyle name="Heading 1" xfId="57"/>
    <cellStyle name="Heading 2" xfId="58"/>
    <cellStyle name="Heading 3" xfId="59"/>
    <cellStyle name="Heading 4" xfId="60"/>
    <cellStyle name="Input" xfId="61"/>
    <cellStyle name="Linked Cell" xfId="62"/>
    <cellStyle name="Neutral" xfId="63"/>
    <cellStyle name="Normal 2" xfId="64"/>
    <cellStyle name="Normal 3" xfId="65"/>
    <cellStyle name="Note" xfId="66"/>
    <cellStyle name="Output" xfId="67"/>
    <cellStyle name="Percent 2" xfId="68"/>
    <cellStyle name="Sheet Title" xfId="69"/>
    <cellStyle name="Total" xfId="70"/>
    <cellStyle name="Warning Text" xfId="71"/>
    <cellStyle name="Hyperlink 2" xfId="72"/>
    <cellStyle name="Bad 2" xfId="73"/>
    <cellStyle name="Followed Hyperlink" xfId="74"/>
    <cellStyle name="Input 2" xfId="75"/>
    <cellStyle name="Normal 2 2" xfId="76"/>
    <cellStyle name="Normal 2 3" xfId="77"/>
    <cellStyle name="Normal 2_Components" xfId="78"/>
    <cellStyle name="Normal 3 2" xfId="79"/>
    <cellStyle name="Normal 3_Components" xfId="80"/>
    <cellStyle name="Normal 4" xfId="81"/>
    <cellStyle name="Normal 5" xfId="82"/>
    <cellStyle name="Normal 6" xfId="83"/>
    <cellStyle name="Normal 7" xfId="84"/>
    <cellStyle name="Normal 8" xfId="85"/>
    <cellStyle name="Normal 3 3" xfId="86"/>
    <cellStyle name="Normal 3 4" xfId="87"/>
    <cellStyle name="Normal 2 3 2" xfId="88"/>
    <cellStyle name="Normal 8 2" xfId="89"/>
    <cellStyle name="Normal 3 3 2" xfId="90"/>
    <cellStyle name="Normal 3 6" xfId="91"/>
    <cellStyle name="Normal 2 3 4" xfId="92"/>
    <cellStyle name="Normal 8 4" xfId="93"/>
    <cellStyle name="Normal 3 3 4" xfId="94"/>
    <cellStyle name="Normal 3 5" xfId="95"/>
    <cellStyle name="Normal 2 3 3" xfId="96"/>
    <cellStyle name="Normal 8 3" xfId="97"/>
    <cellStyle name="Normal 3 3 3" xfId="98"/>
    <cellStyle name="Normal 3 4 2" xfId="99"/>
    <cellStyle name="Normal 2 3 2 2" xfId="100"/>
    <cellStyle name="Normal 8 2 2" xfId="101"/>
    <cellStyle name="Normal 3 3 2 2" xfId="102"/>
  </cellStyles>
  <dxfs count="2">
    <dxf>
      <fill>
        <patternFill>
          <bgColor rgb="FFFFFF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4" Type="http://schemas.openxmlformats.org/officeDocument/2006/relationships/worksheet" Target="worksheets/sheet4.xml" /><Relationship Id="rId5" Type="http://schemas.openxmlformats.org/officeDocument/2006/relationships/worksheet" Target="worksheets/sheet5.xml" /><Relationship Id="rId6" Type="http://schemas.openxmlformats.org/officeDocument/2006/relationships/worksheet" Target="worksheets/sheet6.xml" /><Relationship Id="rId7" Type="http://schemas.openxmlformats.org/officeDocument/2006/relationships/worksheet" Target="worksheets/sheet7.xml" /><Relationship Id="rId8" Type="http://schemas.openxmlformats.org/officeDocument/2006/relationships/worksheet" Target="worksheets/sheet8.xml" /><Relationship Id="rId9" Type="http://schemas.openxmlformats.org/officeDocument/2006/relationships/worksheet" Target="worksheets/sheet9.xml" /><Relationship Id="rId10" Type="http://schemas.openxmlformats.org/officeDocument/2006/relationships/worksheet" Target="worksheets/sheet10.xml" /><Relationship Id="rId11" Type="http://schemas.openxmlformats.org/officeDocument/2006/relationships/worksheet" Target="worksheets/sheet11.xml" /><Relationship Id="rId12" Type="http://schemas.openxmlformats.org/officeDocument/2006/relationships/worksheet" Target="worksheets/sheet12.xml" /><Relationship Id="rId13" Type="http://schemas.openxmlformats.org/officeDocument/2006/relationships/worksheet" Target="worksheets/sheet13.xml" /><Relationship Id="rId14" Type="http://schemas.openxmlformats.org/officeDocument/2006/relationships/worksheet" Target="worksheets/sheet14.xml" /><Relationship Id="rId15" Type="http://schemas.openxmlformats.org/officeDocument/2006/relationships/worksheet" Target="worksheets/sheet15.xml" /><Relationship Id="rId16" Type="http://schemas.microsoft.com/office/2006/relationships/vbaProject" Target="vbaProject.bin" /><Relationship Id="rId17" Type="http://schemas.openxmlformats.org/officeDocument/2006/relationships/styles" Target="styles.xml" /><Relationship Id="rId18" Type="http://schemas.openxmlformats.org/officeDocument/2006/relationships/sharedStrings" Target="sharedStrings.xml" /><Relationship Id="rId19" Type="http://schemas.openxmlformats.org/officeDocument/2006/relationships/theme" Target="theme/theme1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.bin" 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.bin" 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7.bin" 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8.bin" 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9.bin" 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0.bin" 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1.bin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2.bin" 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3.bin" /></Relationships>
</file>

<file path=xl/worksheets/_rels/sheet1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4.bin" /></Relationships>
</file>

<file path=xl/worksheets/_rels/sheet1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5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W100"/>
  <sheetViews>
    <sheetView tabSelected="1" workbookViewId="0" topLeftCell="A1">
      <selection pane="topLeft" activeCell="D15" sqref="D15"/>
    </sheetView>
  </sheetViews>
  <sheetFormatPr defaultColWidth="9.44140625" defaultRowHeight="13.5"/>
  <cols>
    <col min="1" max="1" width="27.1428571428571" customWidth="1"/>
    <col min="4" max="4" width="13.5714285714286" customWidth="1"/>
    <col min="5" max="5" width="14.4285714285714" bestFit="1" customWidth="1"/>
    <col min="6" max="6" width="17.5714285714286" bestFit="1" customWidth="1"/>
    <col min="8" max="47" width="9.42857142857143" hidden="1" customWidth="1"/>
    <col min="48" max="49" width="11" customWidth="1"/>
    <col min="50" max="50" width="18.4285714285714" customWidth="1"/>
    <col min="51" max="51" width="15.4285714285714" customWidth="1"/>
    <col min="52" max="52" width="14.4285714285714" customWidth="1"/>
    <col min="53" max="53" width="10.4285714285714" bestFit="1" customWidth="1"/>
    <col min="54" max="54" width="11.5714285714286" bestFit="1" customWidth="1"/>
    <col min="55" max="55" width="20.5714285714286" customWidth="1"/>
    <col min="56" max="56" width="47.4285714285714" customWidth="1"/>
    <col min="57" max="57" width="8.42857142857143" bestFit="1" customWidth="1"/>
    <col min="58" max="58" width="16.5714285714286" customWidth="1"/>
    <col min="59" max="59" width="61" bestFit="1" customWidth="1"/>
    <col min="60" max="60" width="11.4285714285714" customWidth="1"/>
    <col min="61" max="61" width="9" customWidth="1"/>
    <col min="62" max="62" width="42.5714285714286" bestFit="1" customWidth="1"/>
    <col min="63" max="63" width="23.5714285714286" customWidth="1"/>
    <col min="64" max="64" width="29.4285714285714" customWidth="1"/>
    <col min="65" max="65" width="16.5714285714286" bestFit="1" customWidth="1"/>
    <col min="66" max="66" width="20.1428571428571" bestFit="1" customWidth="1"/>
    <col min="67" max="67" width="22.4285714285714" bestFit="1" customWidth="1"/>
    <col min="68" max="68" width="17" bestFit="1" customWidth="1"/>
    <col min="69" max="69" width="14.5714285714286" customWidth="1"/>
    <col min="71" max="71" width="16.5714285714286" customWidth="1"/>
    <col min="72" max="72" width="21" customWidth="1"/>
    <col min="74" max="74" width="9.42857142857143" customWidth="1"/>
    <col min="75" max="75" width="12.5714285714286" customWidth="1"/>
    <col min="76" max="76" width="14.4285714285714" customWidth="1"/>
    <col min="77" max="77" width="15.5714285714286" customWidth="1"/>
    <col min="78" max="78" width="7.57142857142857" customWidth="1"/>
    <col min="79" max="79" width="10" bestFit="1" customWidth="1"/>
    <col min="80" max="80" width="6.57142857142857" customWidth="1"/>
    <col min="81" max="81" width="13.4285714285714" customWidth="1"/>
    <col min="82" max="83" width="12.5714285714286" customWidth="1"/>
    <col min="84" max="84" width="17.4285714285714" customWidth="1"/>
    <col min="85" max="85" width="11.4285714285714" customWidth="1"/>
    <col min="86" max="86" width="13.5714285714286" customWidth="1"/>
    <col min="87" max="87" width="16.4285714285714" customWidth="1"/>
    <col min="88" max="88" width="29" bestFit="1" customWidth="1"/>
    <col min="89" max="89" width="13.5714285714286" style="48" bestFit="1" customWidth="1"/>
    <col min="90" max="90" width="12.5714285714286" customWidth="1"/>
    <col min="91" max="91" width="17.5714285714286" customWidth="1"/>
    <col min="92" max="92" width="16.4285714285714" bestFit="1" customWidth="1"/>
    <col min="93" max="93" width="7.57142857142857" customWidth="1"/>
    <col min="94" max="94" width="15" customWidth="1"/>
    <col min="95" max="95" width="12" customWidth="1"/>
    <col min="96" max="97" width="11.4285714285714" customWidth="1"/>
    <col min="98" max="98" width="9.57142857142857" bestFit="1" customWidth="1"/>
    <col min="99" max="99" width="12.5714285714286" customWidth="1"/>
    <col min="100" max="100" width="13.4285714285714" customWidth="1"/>
    <col min="101" max="101" width="11.4285714285714" customWidth="1"/>
    <col min="102" max="102" width="13" customWidth="1"/>
    <col min="103" max="103" width="13.5714285714286" customWidth="1"/>
    <col min="104" max="104" width="7.42857142857143" customWidth="1"/>
    <col min="105" max="105" width="12.5714285714286" customWidth="1"/>
    <col min="106" max="106" width="12.4285714285714" customWidth="1"/>
    <col min="107" max="107" width="9.57142857142857" bestFit="1" customWidth="1"/>
    <col min="108" max="108" width="11.4285714285714" customWidth="1"/>
    <col min="109" max="110" width="12.4285714285714" customWidth="1"/>
    <col min="111" max="111" width="7.42857142857143" customWidth="1"/>
    <col min="112" max="112" width="8.42857142857143" customWidth="1"/>
    <col min="113" max="113" width="13.5714285714286" customWidth="1"/>
  </cols>
  <sheetData>
    <row r="1" spans="48:123" ht="26.4">
      <c r="AV1" s="29"/>
      <c r="AW1" s="29"/>
      <c r="AX1" s="33" t="s">
        <v>490</v>
      </c>
      <c r="AY1" s="30"/>
      <c r="AZ1" s="30" t="s">
        <v>16</v>
      </c>
      <c r="BA1" s="32" t="s">
        <v>23</v>
      </c>
      <c r="BB1" s="30"/>
      <c r="BC1" s="30"/>
      <c r="BD1" s="30"/>
      <c r="BE1" s="30"/>
      <c r="BF1" s="30"/>
      <c r="BG1" s="30" t="s">
        <v>10</v>
      </c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43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  <c r="DB1" s="30"/>
      <c r="DC1" s="30"/>
      <c r="DD1" s="30"/>
      <c r="DE1" s="30"/>
      <c r="DF1" s="30"/>
      <c r="DG1" s="30"/>
      <c r="DH1" s="30"/>
      <c r="DI1" s="30"/>
      <c r="DJ1" s="30"/>
      <c r="DK1" s="30"/>
      <c r="DL1" s="30"/>
      <c r="DM1" s="30"/>
      <c r="DN1" s="30"/>
      <c r="DO1" s="30"/>
      <c r="DP1" s="30"/>
      <c r="DQ1" s="30"/>
      <c r="DR1" s="30"/>
      <c r="DS1" s="30"/>
    </row>
    <row r="2" spans="48:123" ht="13.2">
      <c r="AV2" s="31"/>
      <c r="AW2" s="31"/>
      <c r="AX2" s="31"/>
      <c r="AY2" s="32"/>
      <c r="AZ2" s="30" t="s">
        <v>14</v>
      </c>
      <c r="BA2" s="34">
        <v>20</v>
      </c>
      <c r="BB2" s="30" t="s">
        <v>26</v>
      </c>
      <c r="BC2" s="30"/>
      <c r="BD2" s="30"/>
      <c r="BE2" s="30"/>
      <c r="BF2" s="30"/>
      <c r="BG2" s="30"/>
      <c r="BO2" s="32"/>
      <c r="BP2" s="32"/>
      <c r="BQ2" s="32"/>
      <c r="BR2" s="32"/>
      <c r="BS2" s="32"/>
      <c r="BT2" s="32"/>
      <c r="BU2" s="32"/>
      <c r="BV2" s="32"/>
      <c r="BW2" s="32"/>
      <c r="BX2" s="32"/>
      <c r="BY2" s="32"/>
      <c r="BZ2" s="32"/>
      <c r="CA2" s="32"/>
      <c r="CB2" s="32"/>
      <c r="CC2" s="32"/>
      <c r="CD2" s="32"/>
      <c r="CE2" s="32"/>
      <c r="CF2" s="32"/>
      <c r="CG2" s="32"/>
      <c r="CH2" s="32"/>
      <c r="CI2" s="32"/>
      <c r="CJ2" s="32"/>
      <c r="CK2" s="44"/>
      <c r="CL2" s="32"/>
      <c r="CM2" s="32"/>
      <c r="CN2" s="32"/>
      <c r="CO2" s="32"/>
      <c r="CP2" s="32"/>
      <c r="CQ2" s="32"/>
      <c r="CR2" s="32"/>
      <c r="CS2" s="32"/>
      <c r="CT2" s="32"/>
      <c r="CU2" s="32"/>
      <c r="CV2" s="32"/>
      <c r="CW2" s="32"/>
      <c r="CX2" s="32"/>
      <c r="CY2" s="32"/>
      <c r="CZ2" s="32"/>
      <c r="DA2" s="32"/>
      <c r="DB2" s="32"/>
      <c r="DC2" s="32"/>
      <c r="DD2" s="32"/>
      <c r="DE2" s="32"/>
      <c r="DF2" s="32"/>
      <c r="DG2" s="32"/>
      <c r="DH2" s="32"/>
      <c r="DI2" s="32"/>
      <c r="DJ2" s="32"/>
      <c r="DK2" s="32"/>
      <c r="DL2" s="32"/>
      <c r="DM2" s="32"/>
      <c r="DN2" s="32"/>
      <c r="DO2" s="32"/>
      <c r="DP2" s="32"/>
      <c r="DQ2" s="32"/>
      <c r="DR2" s="32"/>
      <c r="DS2" s="32"/>
    </row>
    <row r="3" spans="48:123" ht="13.2">
      <c r="AV3" s="31" t="s">
        <v>25</v>
      </c>
      <c r="AW3" s="31"/>
      <c r="AX3" s="31"/>
      <c r="AY3" s="32"/>
      <c r="AZ3" s="32" t="s">
        <v>17</v>
      </c>
      <c r="BA3" s="32" t="s">
        <v>18</v>
      </c>
      <c r="BB3" s="32"/>
      <c r="BC3" s="32"/>
      <c r="BD3" s="30"/>
      <c r="BE3" s="30"/>
      <c r="BF3" s="30"/>
      <c r="BG3" s="30"/>
      <c r="BO3" s="32"/>
      <c r="BP3" s="32"/>
      <c r="BQ3" s="32"/>
      <c r="BR3" s="32"/>
      <c r="BS3" s="32"/>
      <c r="BT3" s="32"/>
      <c r="BU3" s="32"/>
      <c r="BV3" s="32"/>
      <c r="BW3" s="32"/>
      <c r="BX3" s="32"/>
      <c r="BY3" s="32"/>
      <c r="BZ3" s="32"/>
      <c r="CA3" s="32"/>
      <c r="CB3" s="32"/>
      <c r="CC3" s="32"/>
      <c r="CD3" s="32"/>
      <c r="CE3" s="32"/>
      <c r="CF3" s="32"/>
      <c r="CG3" s="32"/>
      <c r="CH3" s="32"/>
      <c r="CI3" s="32"/>
      <c r="CJ3" s="32"/>
      <c r="CK3" s="44"/>
      <c r="CL3" s="32"/>
      <c r="CM3" s="32"/>
      <c r="CN3" s="32"/>
      <c r="CO3" s="32"/>
      <c r="CP3" s="32"/>
      <c r="CQ3" s="32"/>
      <c r="CR3" s="32"/>
      <c r="CS3" s="32"/>
      <c r="CT3" s="32"/>
      <c r="CU3" s="32"/>
      <c r="CV3" s="32"/>
      <c r="CW3" s="32"/>
      <c r="CX3" s="32"/>
      <c r="CY3" s="32"/>
      <c r="CZ3" s="32"/>
      <c r="DA3" s="32"/>
      <c r="DB3" s="32"/>
      <c r="DC3" s="32"/>
      <c r="DD3" s="32"/>
      <c r="DE3" s="32"/>
      <c r="DF3" s="32"/>
      <c r="DG3" s="32"/>
      <c r="DH3" s="32"/>
      <c r="DI3" s="32"/>
      <c r="DJ3" s="32"/>
      <c r="DK3" s="32"/>
      <c r="DL3" s="32"/>
      <c r="DM3" s="32"/>
      <c r="DN3" s="32"/>
      <c r="DO3" s="32"/>
      <c r="DP3" s="32"/>
      <c r="DQ3" s="32"/>
      <c r="DR3" s="32"/>
      <c r="DS3" s="32"/>
    </row>
    <row r="4" spans="48:127" ht="13.2">
      <c r="AV4" s="26" t="s">
        <v>0</v>
      </c>
      <c r="AW4" s="26" t="s">
        <v>19</v>
      </c>
      <c r="AX4" s="26" t="s">
        <v>1</v>
      </c>
      <c r="AY4" s="26" t="s">
        <v>2</v>
      </c>
      <c r="AZ4" s="26" t="s">
        <v>22</v>
      </c>
      <c r="BA4" s="26" t="s">
        <v>20</v>
      </c>
      <c r="BB4" s="23" t="s">
        <v>27</v>
      </c>
      <c r="BC4" s="23" t="s">
        <v>3</v>
      </c>
      <c r="BD4" s="23" t="s">
        <v>28</v>
      </c>
      <c r="BE4" s="23" t="s">
        <v>29</v>
      </c>
      <c r="BF4" s="23" t="s">
        <v>30</v>
      </c>
      <c r="BG4" s="23" t="s">
        <v>6</v>
      </c>
      <c r="BH4" s="23" t="s">
        <v>31</v>
      </c>
      <c r="BI4" s="23" t="s">
        <v>32</v>
      </c>
      <c r="BJ4" s="23" t="s">
        <v>33</v>
      </c>
      <c r="BK4" s="23" t="s">
        <v>34</v>
      </c>
      <c r="BL4" s="23" t="s">
        <v>35</v>
      </c>
      <c r="BM4" s="23" t="s">
        <v>36</v>
      </c>
      <c r="BN4" s="23" t="s">
        <v>37</v>
      </c>
      <c r="BO4" s="26" t="s">
        <v>38</v>
      </c>
      <c r="BP4" s="26" t="s">
        <v>39</v>
      </c>
      <c r="BQ4" s="26" t="s">
        <v>24</v>
      </c>
      <c r="BR4" s="26" t="s">
        <v>40</v>
      </c>
      <c r="BS4" s="21" t="s">
        <v>41</v>
      </c>
      <c r="BT4" s="21" t="s">
        <v>42</v>
      </c>
      <c r="BU4" s="21" t="s">
        <v>43</v>
      </c>
      <c r="BV4" s="21" t="s">
        <v>44</v>
      </c>
      <c r="BW4" s="21" t="s">
        <v>45</v>
      </c>
      <c r="BX4" s="21" t="s">
        <v>46</v>
      </c>
      <c r="BY4" s="21" t="s">
        <v>47</v>
      </c>
      <c r="BZ4" s="21" t="s">
        <v>48</v>
      </c>
      <c r="CA4" s="21" t="s">
        <v>49</v>
      </c>
      <c r="CB4" s="21" t="s">
        <v>50</v>
      </c>
      <c r="CC4" s="21" t="s">
        <v>51</v>
      </c>
      <c r="CD4" s="21" t="s">
        <v>52</v>
      </c>
      <c r="CE4" s="21" t="s">
        <v>53</v>
      </c>
      <c r="CF4" s="21" t="s">
        <v>54</v>
      </c>
      <c r="CG4" s="21"/>
      <c r="CH4" s="21" t="s">
        <v>55</v>
      </c>
      <c r="CI4" s="21" t="s">
        <v>56</v>
      </c>
      <c r="CJ4" s="21" t="s">
        <v>57</v>
      </c>
      <c r="CK4" s="45" t="s">
        <v>58</v>
      </c>
      <c r="CL4" s="21" t="s">
        <v>59</v>
      </c>
      <c r="CM4" s="21" t="s">
        <v>60</v>
      </c>
      <c r="CN4" s="21" t="s">
        <v>61</v>
      </c>
      <c r="CO4" s="21" t="s">
        <v>62</v>
      </c>
      <c r="CP4" s="21" t="s">
        <v>63</v>
      </c>
      <c r="CQ4" s="21" t="s">
        <v>64</v>
      </c>
      <c r="CR4" s="21" t="s">
        <v>65</v>
      </c>
      <c r="CS4" s="21" t="s">
        <v>66</v>
      </c>
      <c r="CT4" s="21" t="s">
        <v>67</v>
      </c>
      <c r="CU4" s="21" t="s">
        <v>68</v>
      </c>
      <c r="CV4" s="21" t="s">
        <v>69</v>
      </c>
      <c r="CW4" s="21" t="s">
        <v>70</v>
      </c>
      <c r="CX4" s="21" t="s">
        <v>71</v>
      </c>
      <c r="CY4" s="21" t="s">
        <v>72</v>
      </c>
      <c r="CZ4" s="21" t="s">
        <v>73</v>
      </c>
      <c r="DA4" s="21" t="s">
        <v>74</v>
      </c>
      <c r="DB4" s="21" t="s">
        <v>75</v>
      </c>
      <c r="DC4" s="21" t="s">
        <v>76</v>
      </c>
      <c r="DD4" s="21" t="s">
        <v>77</v>
      </c>
      <c r="DE4" s="21" t="s">
        <v>78</v>
      </c>
      <c r="DF4" s="21" t="s">
        <v>79</v>
      </c>
      <c r="DG4" s="21" t="s">
        <v>80</v>
      </c>
      <c r="DH4" s="21" t="s">
        <v>81</v>
      </c>
      <c r="DI4" s="21" t="s">
        <v>82</v>
      </c>
      <c r="DJ4" s="21" t="s">
        <v>83</v>
      </c>
      <c r="DK4" s="21" t="s">
        <v>84</v>
      </c>
      <c r="DL4" s="21" t="s">
        <v>85</v>
      </c>
      <c r="DM4" s="21" t="s">
        <v>86</v>
      </c>
      <c r="DN4" s="21" t="s">
        <v>87</v>
      </c>
      <c r="DO4" s="21" t="s">
        <v>88</v>
      </c>
      <c r="DP4" s="21" t="s">
        <v>89</v>
      </c>
      <c r="DQ4" s="21" t="s">
        <v>90</v>
      </c>
      <c r="DR4" s="21" t="s">
        <v>91</v>
      </c>
      <c r="DS4" s="21" t="s">
        <v>92</v>
      </c>
      <c r="DT4" t="s">
        <v>138</v>
      </c>
      <c r="DU4" t="s">
        <v>149</v>
      </c>
      <c r="DV4" t="s">
        <v>188</v>
      </c>
      <c r="DW4" t="s">
        <v>189</v>
      </c>
    </row>
    <row r="5" spans="1:127" ht="17.4">
      <c r="A5" s="14" t="s">
        <v>124</v>
      </c>
      <c r="B5" s="14"/>
      <c r="C5" s="14"/>
      <c r="D5" s="14"/>
      <c r="E5" s="14"/>
      <c r="F5" s="14"/>
      <c r="AV5" t="s">
        <v>682</v>
      </c>
      <c r="AW5" s="27" t="s">
        <v>683</v>
      </c>
      <c r="AX5" s="27" t="s">
        <v>684</v>
      </c>
      <c r="AY5" s="27" t="s">
        <v>685</v>
      </c>
      <c r="AZ5" s="27" t="s">
        <v>686</v>
      </c>
      <c r="BA5" s="27" t="s">
        <v>687</v>
      </c>
      <c r="BC5" s="27" t="s">
        <v>688</v>
      </c>
      <c r="BD5" s="27" t="s">
        <v>153</v>
      </c>
      <c r="BE5" t="s">
        <v>689</v>
      </c>
      <c r="BF5" t="s">
        <v>690</v>
      </c>
      <c r="BH5" t="s">
        <v>691</v>
      </c>
      <c r="BI5" t="s">
        <v>692</v>
      </c>
      <c r="BJ5" t="s">
        <v>691</v>
      </c>
      <c r="BK5" t="s">
        <v>693</v>
      </c>
      <c r="BM5" t="s">
        <v>694</v>
      </c>
      <c r="BN5" t="s">
        <v>695</v>
      </c>
      <c r="BO5" s="21" t="s">
        <v>696</v>
      </c>
      <c r="BP5" s="25" t="s">
        <v>697</v>
      </c>
      <c r="BQ5" s="25"/>
      <c r="BR5" s="25" t="s">
        <v>698</v>
      </c>
      <c r="BS5" s="21" t="s">
        <v>691</v>
      </c>
      <c r="BT5" s="21" t="s">
        <v>699</v>
      </c>
      <c r="BU5" s="21"/>
      <c r="BV5" s="21"/>
      <c r="BW5" s="21"/>
      <c r="BX5" s="21"/>
      <c r="BY5" s="21" t="s">
        <v>700</v>
      </c>
      <c r="BZ5" s="21" t="s">
        <v>691</v>
      </c>
      <c r="CA5" s="21" t="s">
        <v>691</v>
      </c>
      <c r="CB5" s="21" t="s">
        <v>691</v>
      </c>
      <c r="CC5" s="21" t="s">
        <v>691</v>
      </c>
      <c r="CD5" s="21" t="s">
        <v>691</v>
      </c>
      <c r="CE5" s="21" t="s">
        <v>701</v>
      </c>
      <c r="CF5" s="21" t="s">
        <v>691</v>
      </c>
      <c r="CG5" s="21"/>
      <c r="CH5" s="21"/>
      <c r="CI5" s="21" t="s">
        <v>691</v>
      </c>
      <c r="CJ5" s="21" t="s">
        <v>692</v>
      </c>
      <c r="CK5" s="45" t="s">
        <v>691</v>
      </c>
      <c r="CL5" s="21" t="s">
        <v>693</v>
      </c>
      <c r="CM5" s="21"/>
      <c r="CN5" s="21" t="s">
        <v>694</v>
      </c>
      <c r="CO5" s="21" t="s">
        <v>695</v>
      </c>
      <c r="CP5" s="21" t="s">
        <v>696</v>
      </c>
      <c r="CQ5" s="21" t="s">
        <v>697</v>
      </c>
      <c r="CR5" s="21">
        <v>0</v>
      </c>
      <c r="CS5" s="21">
        <v>0</v>
      </c>
      <c r="CT5" s="21"/>
      <c r="CU5" s="21" t="s">
        <v>703</v>
      </c>
      <c r="CV5" s="21" t="s">
        <v>704</v>
      </c>
      <c r="CW5" s="21"/>
      <c r="CX5" s="21" t="s">
        <v>703</v>
      </c>
      <c r="CY5" s="21" t="s">
        <v>704</v>
      </c>
      <c r="CZ5" s="21" t="s">
        <v>705</v>
      </c>
      <c r="DA5" s="21" t="s">
        <v>691</v>
      </c>
      <c r="DB5" s="21" t="s">
        <v>699</v>
      </c>
      <c r="DC5" s="21"/>
      <c r="DD5" s="21"/>
      <c r="DE5" s="21"/>
      <c r="DF5" s="21"/>
      <c r="DG5" s="21" t="s">
        <v>706</v>
      </c>
      <c r="DH5" s="21">
        <v>0</v>
      </c>
      <c r="DI5" s="21">
        <v>2727.2726</v>
      </c>
      <c r="DJ5" s="21" t="s">
        <v>702</v>
      </c>
      <c r="DK5" s="21" t="s">
        <v>698</v>
      </c>
      <c r="DL5" s="21" t="s">
        <v>691</v>
      </c>
      <c r="DM5" s="21">
        <v>0</v>
      </c>
      <c r="DN5" s="21">
        <v>0</v>
      </c>
      <c r="DO5" s="21">
        <v>0</v>
      </c>
      <c r="DP5" s="21">
        <v>0</v>
      </c>
      <c r="DQ5" s="21">
        <v>2999.9999</v>
      </c>
      <c r="DR5" s="21" t="s">
        <v>702</v>
      </c>
      <c r="DS5" s="21" t="s">
        <v>707</v>
      </c>
      <c r="DT5" t="s">
        <v>708</v>
      </c>
      <c r="DU5" t="s">
        <v>709</v>
      </c>
    </row>
    <row r="6" spans="1:123" ht="13.2">
      <c r="A6" s="36" t="s">
        <v>125</v>
      </c>
      <c r="B6" s="36" t="s">
        <v>126</v>
      </c>
      <c r="C6" s="36" t="s">
        <v>127</v>
      </c>
      <c r="D6" s="36" t="s">
        <v>128</v>
      </c>
      <c r="E6" s="36" t="s">
        <v>129</v>
      </c>
      <c r="F6" s="36" t="s">
        <v>130</v>
      </c>
      <c r="AV6" s="21"/>
      <c r="AW6" s="21"/>
      <c r="AX6" s="21"/>
      <c r="AY6" s="25"/>
      <c r="AZ6" s="25"/>
      <c r="BA6" s="21"/>
      <c r="BO6" s="21"/>
      <c r="BP6" s="21"/>
      <c r="BQ6" s="21"/>
      <c r="BR6" s="21"/>
      <c r="BS6" s="21"/>
      <c r="BT6" s="25"/>
      <c r="BU6" s="25"/>
      <c r="BV6" s="25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45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  <c r="DG6" s="21"/>
      <c r="DH6" s="21"/>
      <c r="DI6" s="21"/>
      <c r="DJ6" s="21"/>
      <c r="DK6" s="21"/>
      <c r="DL6" s="21"/>
      <c r="DM6" s="21"/>
      <c r="DN6" s="21"/>
      <c r="DO6" s="21"/>
      <c r="DP6" s="21"/>
      <c r="DQ6" s="21"/>
      <c r="DR6" s="21"/>
      <c r="DS6" s="21"/>
    </row>
    <row r="7" spans="1:123" ht="13.2">
      <c r="A7" s="39" t="s">
        <v>131</v>
      </c>
      <c r="B7" s="39">
        <v>11</v>
      </c>
      <c r="C7" s="39">
        <v>20</v>
      </c>
      <c r="D7" s="39" t="s">
        <v>678</v>
      </c>
      <c r="E7" s="39" t="b">
        <v>1</v>
      </c>
      <c r="F7" s="39">
        <v>1</v>
      </c>
      <c r="AV7" s="21"/>
      <c r="AW7" s="21"/>
      <c r="AX7" s="21"/>
      <c r="AY7" s="21"/>
      <c r="AZ7" s="21"/>
      <c r="BA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45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</row>
    <row r="8" spans="1:123" ht="13.2">
      <c r="A8" s="39" t="s">
        <v>397</v>
      </c>
      <c r="B8" s="39">
        <v>11</v>
      </c>
      <c r="C8" s="39">
        <v>20</v>
      </c>
      <c r="D8" s="39" t="s">
        <v>485</v>
      </c>
      <c r="E8" s="39" t="b">
        <v>1</v>
      </c>
      <c r="F8" s="39">
        <v>1</v>
      </c>
      <c r="AV8" s="21"/>
      <c r="AW8" s="21"/>
      <c r="AX8" s="21"/>
      <c r="AY8" s="21"/>
      <c r="AZ8" s="21"/>
      <c r="BA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45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</row>
    <row r="9" spans="1:123" ht="13.2">
      <c r="A9" s="39" t="s">
        <v>649</v>
      </c>
      <c r="B9" s="39">
        <v>11</v>
      </c>
      <c r="C9" s="39">
        <v>20</v>
      </c>
      <c r="D9" s="39" t="s">
        <v>668</v>
      </c>
      <c r="E9" s="39" t="b">
        <v>1</v>
      </c>
      <c r="F9" s="39">
        <v>1</v>
      </c>
      <c r="AV9" s="21"/>
      <c r="AW9" s="21"/>
      <c r="AX9" s="21"/>
      <c r="AY9" s="21"/>
      <c r="AZ9" s="21"/>
      <c r="BA9" s="21"/>
      <c r="BP9" s="21"/>
      <c r="BQ9" s="21"/>
      <c r="BR9" s="21"/>
      <c r="BS9" s="21"/>
      <c r="BT9" s="21"/>
      <c r="BU9" s="21"/>
      <c r="BV9" s="21"/>
      <c r="BW9" s="21"/>
      <c r="BX9" s="22"/>
      <c r="BY9" s="22"/>
      <c r="BZ9" s="22"/>
      <c r="CA9" s="22"/>
      <c r="CB9" s="21"/>
      <c r="CC9" s="21"/>
      <c r="CD9" s="21"/>
      <c r="CE9" s="21"/>
      <c r="CF9" s="21"/>
      <c r="CG9" s="21"/>
      <c r="CH9" s="21"/>
      <c r="CI9" s="21"/>
      <c r="CJ9" s="21"/>
      <c r="CK9" s="45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</row>
    <row r="10" spans="1:123" ht="13.2">
      <c r="A10" s="39" t="s">
        <v>648</v>
      </c>
      <c r="B10" s="39">
        <v>11</v>
      </c>
      <c r="C10" s="39">
        <v>20</v>
      </c>
      <c r="D10" s="39" t="s">
        <v>667</v>
      </c>
      <c r="E10" s="39" t="b">
        <v>1</v>
      </c>
      <c r="F10" s="39">
        <v>1</v>
      </c>
      <c r="AV10" s="23" t="s">
        <v>0</v>
      </c>
      <c r="AW10" s="23" t="s">
        <v>13</v>
      </c>
      <c r="AX10" s="23" t="s">
        <v>93</v>
      </c>
      <c r="AY10" s="23" t="s">
        <v>1</v>
      </c>
      <c r="AZ10" s="23" t="s">
        <v>94</v>
      </c>
      <c r="BA10" s="23" t="s">
        <v>95</v>
      </c>
      <c r="BB10" s="23" t="s">
        <v>96</v>
      </c>
      <c r="BC10" s="23" t="s">
        <v>6</v>
      </c>
      <c r="BD10" s="23" t="s">
        <v>97</v>
      </c>
      <c r="BE10" s="23" t="s">
        <v>98</v>
      </c>
      <c r="BF10" s="23" t="s">
        <v>99</v>
      </c>
      <c r="BG10" s="23" t="s">
        <v>82</v>
      </c>
      <c r="BH10" s="23" t="s">
        <v>100</v>
      </c>
      <c r="BI10" s="23" t="s">
        <v>101</v>
      </c>
      <c r="BJ10" s="23" t="s">
        <v>102</v>
      </c>
      <c r="BK10" s="23" t="s">
        <v>103</v>
      </c>
      <c r="BL10" s="23" t="s">
        <v>104</v>
      </c>
      <c r="BM10" s="23" t="s">
        <v>105</v>
      </c>
      <c r="BN10" t="s">
        <v>106</v>
      </c>
      <c r="BO10" s="23" t="s">
        <v>107</v>
      </c>
      <c r="BP10" s="23" t="s">
        <v>108</v>
      </c>
      <c r="BQ10" s="23" t="s">
        <v>109</v>
      </c>
      <c r="BR10" s="23" t="s">
        <v>110</v>
      </c>
      <c r="BS10" s="23" t="s">
        <v>111</v>
      </c>
      <c r="BT10" s="22" t="s">
        <v>139</v>
      </c>
      <c r="BU10" s="22" t="s">
        <v>140</v>
      </c>
      <c r="BV10" s="22" t="s">
        <v>141</v>
      </c>
      <c r="BW10" s="22" t="s">
        <v>144</v>
      </c>
      <c r="BX10" s="22"/>
      <c r="BY10" s="22"/>
      <c r="BZ10" s="22"/>
      <c r="CA10" s="22" t="s">
        <v>112</v>
      </c>
      <c r="CB10" s="22" t="s">
        <v>0</v>
      </c>
      <c r="CC10" s="22" t="s">
        <v>0</v>
      </c>
      <c r="CD10" s="22" t="s">
        <v>21</v>
      </c>
      <c r="CE10" s="22" t="s">
        <v>112</v>
      </c>
      <c r="CF10" s="22" t="s">
        <v>0</v>
      </c>
      <c r="CG10" s="22" t="s">
        <v>0</v>
      </c>
      <c r="CH10" s="22" t="s">
        <v>21</v>
      </c>
      <c r="CI10" s="22" t="s">
        <v>1</v>
      </c>
      <c r="CJ10" s="22" t="s">
        <v>113</v>
      </c>
      <c r="CK10" s="46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/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</row>
    <row r="11" spans="1:123" ht="13.2">
      <c r="A11" s="39" t="s">
        <v>379</v>
      </c>
      <c r="B11" s="39">
        <v>11</v>
      </c>
      <c r="C11" s="39">
        <v>20</v>
      </c>
      <c r="D11" s="39" t="s">
        <v>489</v>
      </c>
      <c r="E11" s="39" t="b">
        <v>1</v>
      </c>
      <c r="F11" s="39">
        <v>1</v>
      </c>
      <c r="AV11" t="s">
        <v>710</v>
      </c>
      <c r="AW11">
        <v>1</v>
      </c>
      <c r="AX11" t="s">
        <v>711</v>
      </c>
      <c r="AY11" t="s">
        <v>712</v>
      </c>
      <c r="AZ11">
        <v>1</v>
      </c>
      <c r="BA11">
        <v>940</v>
      </c>
      <c r="BB11">
        <v>2046</v>
      </c>
      <c r="BC11" t="s">
        <v>691</v>
      </c>
      <c r="BD11" t="s">
        <v>713</v>
      </c>
      <c r="BE11" t="s">
        <v>714</v>
      </c>
      <c r="BF11" s="51">
        <v>46262</v>
      </c>
      <c r="BG11">
        <v>971.9173</v>
      </c>
      <c r="BH11">
        <v>0</v>
      </c>
      <c r="BI11">
        <v>97.1918</v>
      </c>
      <c r="BJ11">
        <v>972.828</v>
      </c>
      <c r="BK11">
        <v>-0.9104</v>
      </c>
      <c r="BL11">
        <v>654.414</v>
      </c>
      <c r="BM11" t="s">
        <v>715</v>
      </c>
      <c r="BN11" t="s">
        <v>716</v>
      </c>
      <c r="BO11" t="s">
        <v>232</v>
      </c>
      <c r="BP11" t="s">
        <v>523</v>
      </c>
      <c r="BR11" s="27" t="s">
        <v>691</v>
      </c>
      <c r="BS11" s="24" t="s">
        <v>691</v>
      </c>
      <c r="BT11" s="24" t="s">
        <v>717</v>
      </c>
      <c r="BU11" s="24">
        <v>0</v>
      </c>
      <c r="BV11" s="24" t="s">
        <v>691</v>
      </c>
      <c r="BW11" s="24" t="s">
        <v>691</v>
      </c>
      <c r="BX11" s="24"/>
      <c r="BY11" s="24"/>
      <c r="BZ11" s="24"/>
      <c r="CA11" s="24"/>
      <c r="CB11" s="24"/>
      <c r="CC11" s="24"/>
      <c r="CD11" s="24"/>
      <c r="CE11" s="24" t="s">
        <v>718</v>
      </c>
      <c r="CF11" s="24" t="s">
        <v>719</v>
      </c>
      <c r="CG11" s="24" t="s">
        <v>719</v>
      </c>
      <c r="CH11" s="24" t="s">
        <v>710</v>
      </c>
      <c r="CI11" s="24" t="s">
        <v>720</v>
      </c>
      <c r="CJ11" s="24" t="s">
        <v>712</v>
      </c>
      <c r="CK11" s="47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</row>
    <row r="12" spans="1:123" ht="13.2">
      <c r="A12" s="39" t="s">
        <v>395</v>
      </c>
      <c r="B12" s="39">
        <v>12</v>
      </c>
      <c r="C12" s="39">
        <v>21</v>
      </c>
      <c r="D12" s="39" t="s">
        <v>489</v>
      </c>
      <c r="E12" s="39" t="b">
        <v>1</v>
      </c>
      <c r="F12" s="39">
        <v>1</v>
      </c>
      <c r="AV12" t="s">
        <v>806</v>
      </c>
      <c r="AW12">
        <v>2</v>
      </c>
      <c r="AX12" t="s">
        <v>711</v>
      </c>
      <c r="AY12" t="s">
        <v>807</v>
      </c>
      <c r="AZ12">
        <v>1</v>
      </c>
      <c r="BA12">
        <v>821</v>
      </c>
      <c r="BB12">
        <v>2054</v>
      </c>
      <c r="BC12" t="s">
        <v>691</v>
      </c>
      <c r="BD12" t="s">
        <v>713</v>
      </c>
      <c r="BE12" t="s">
        <v>714</v>
      </c>
      <c r="BF12" s="51">
        <v>46262</v>
      </c>
      <c r="BG12">
        <v>820.2315</v>
      </c>
      <c r="BH12">
        <v>0</v>
      </c>
      <c r="BI12">
        <v>82.0231</v>
      </c>
      <c r="BJ12">
        <v>821</v>
      </c>
      <c r="BK12">
        <v>-0.7684</v>
      </c>
      <c r="BL12">
        <v>559</v>
      </c>
      <c r="BM12" t="s">
        <v>715</v>
      </c>
      <c r="BN12" t="s">
        <v>716</v>
      </c>
      <c r="BO12" t="s">
        <v>232</v>
      </c>
      <c r="BP12" t="s">
        <v>523</v>
      </c>
      <c r="BR12" s="27" t="s">
        <v>691</v>
      </c>
      <c r="BS12" s="24" t="s">
        <v>691</v>
      </c>
      <c r="BT12" s="24" t="s">
        <v>717</v>
      </c>
      <c r="BU12" s="24">
        <v>0</v>
      </c>
      <c r="BV12" s="24" t="s">
        <v>691</v>
      </c>
      <c r="BW12" s="24" t="s">
        <v>691</v>
      </c>
      <c r="BX12" s="24"/>
      <c r="BY12" s="24"/>
      <c r="BZ12" s="24"/>
      <c r="CA12" s="24"/>
      <c r="CB12" s="24"/>
      <c r="CC12" s="24"/>
      <c r="CD12" s="24"/>
      <c r="CE12" s="24" t="s">
        <v>721</v>
      </c>
      <c r="CF12" s="24" t="s">
        <v>722</v>
      </c>
      <c r="CG12" s="24" t="s">
        <v>722</v>
      </c>
      <c r="CH12" s="28" t="s">
        <v>710</v>
      </c>
      <c r="CI12" s="24" t="s">
        <v>723</v>
      </c>
      <c r="CJ12" s="28" t="s">
        <v>724</v>
      </c>
      <c r="CK12" s="47"/>
      <c r="CL12" s="28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</row>
    <row r="13" spans="1:123" ht="13.2">
      <c r="A13" s="39" t="s">
        <v>657</v>
      </c>
      <c r="B13" s="39">
        <v>12</v>
      </c>
      <c r="C13" s="39">
        <v>21</v>
      </c>
      <c r="D13" s="39" t="s">
        <v>680</v>
      </c>
      <c r="E13" s="39" t="b">
        <v>1</v>
      </c>
      <c r="F13" s="39">
        <v>1</v>
      </c>
      <c r="AV13" t="s">
        <v>869</v>
      </c>
      <c r="AW13">
        <v>3</v>
      </c>
      <c r="AX13" t="s">
        <v>711</v>
      </c>
      <c r="AY13" t="s">
        <v>870</v>
      </c>
      <c r="AZ13">
        <v>1</v>
      </c>
      <c r="BA13">
        <v>908</v>
      </c>
      <c r="BB13">
        <v>2078</v>
      </c>
      <c r="BC13" t="s">
        <v>691</v>
      </c>
      <c r="BD13" t="s">
        <v>713</v>
      </c>
      <c r="BE13" t="s">
        <v>714</v>
      </c>
      <c r="BF13" s="51">
        <v>46262</v>
      </c>
      <c r="BG13">
        <v>935.1238</v>
      </c>
      <c r="BH13">
        <v>0</v>
      </c>
      <c r="BI13">
        <v>93.5124</v>
      </c>
      <c r="BJ13">
        <v>936</v>
      </c>
      <c r="BK13">
        <v>-0.876</v>
      </c>
      <c r="BL13">
        <v>636</v>
      </c>
      <c r="BM13" t="s">
        <v>715</v>
      </c>
      <c r="BN13" t="s">
        <v>716</v>
      </c>
      <c r="BO13" t="s">
        <v>232</v>
      </c>
      <c r="BP13" t="s">
        <v>523</v>
      </c>
      <c r="BR13" s="27" t="s">
        <v>691</v>
      </c>
      <c r="BS13" s="24" t="s">
        <v>691</v>
      </c>
      <c r="BT13" s="24" t="s">
        <v>717</v>
      </c>
      <c r="BU13" s="24">
        <v>0</v>
      </c>
      <c r="BV13" s="24" t="s">
        <v>691</v>
      </c>
      <c r="BW13" s="24" t="s">
        <v>691</v>
      </c>
      <c r="BX13" s="24"/>
      <c r="BY13" s="24"/>
      <c r="BZ13" s="24"/>
      <c r="CA13" s="24"/>
      <c r="CB13" s="24"/>
      <c r="CC13" s="24"/>
      <c r="CD13" s="24"/>
      <c r="CE13" s="24" t="s">
        <v>725</v>
      </c>
      <c r="CF13" s="24" t="s">
        <v>726</v>
      </c>
      <c r="CG13" s="24" t="s">
        <v>726</v>
      </c>
      <c r="CH13" s="28" t="s">
        <v>710</v>
      </c>
      <c r="CI13" s="24" t="s">
        <v>727</v>
      </c>
      <c r="CJ13" s="28" t="s">
        <v>728</v>
      </c>
      <c r="CK13" s="47"/>
      <c r="CL13" s="28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</row>
    <row r="14" spans="1:123" ht="13.2">
      <c r="A14" s="39" t="s">
        <v>658</v>
      </c>
      <c r="B14" s="39">
        <v>12</v>
      </c>
      <c r="C14" s="39">
        <v>21</v>
      </c>
      <c r="D14" s="39" t="s">
        <v>681</v>
      </c>
      <c r="E14" s="39" t="b">
        <v>1</v>
      </c>
      <c r="F14" s="39">
        <v>1</v>
      </c>
      <c r="BF14" s="51"/>
      <c r="BR14" s="27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 t="s">
        <v>729</v>
      </c>
      <c r="CF14" s="24" t="s">
        <v>730</v>
      </c>
      <c r="CG14" s="24" t="s">
        <v>730</v>
      </c>
      <c r="CH14" s="28" t="s">
        <v>710</v>
      </c>
      <c r="CI14" s="24" t="s">
        <v>731</v>
      </c>
      <c r="CJ14" s="28" t="s">
        <v>732</v>
      </c>
      <c r="CK14" s="47"/>
      <c r="CL14" s="28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</row>
    <row r="15" spans="1:123" ht="13.2">
      <c r="A15" s="39" t="s">
        <v>262</v>
      </c>
      <c r="B15" s="39">
        <v>12</v>
      </c>
      <c r="C15" s="39">
        <v>21</v>
      </c>
      <c r="D15" s="39" t="s">
        <v>513</v>
      </c>
      <c r="E15" s="39" t="b">
        <v>1</v>
      </c>
      <c r="F15" s="39">
        <v>1</v>
      </c>
      <c r="BF15" s="51"/>
      <c r="BR15" s="27"/>
      <c r="BS15" s="24"/>
      <c r="BT15" s="28"/>
      <c r="BU15" s="28"/>
      <c r="BV15" s="24"/>
      <c r="BW15" s="24"/>
      <c r="BX15" s="24"/>
      <c r="BY15" s="24"/>
      <c r="BZ15" s="24"/>
      <c r="CA15" s="24"/>
      <c r="CB15" s="24"/>
      <c r="CC15" s="24"/>
      <c r="CD15" s="24"/>
      <c r="CE15" s="24" t="s">
        <v>733</v>
      </c>
      <c r="CF15" s="24" t="s">
        <v>734</v>
      </c>
      <c r="CG15" s="24" t="s">
        <v>734</v>
      </c>
      <c r="CH15" s="24" t="s">
        <v>710</v>
      </c>
      <c r="CI15" s="24" t="s">
        <v>735</v>
      </c>
      <c r="CJ15" s="24" t="s">
        <v>165</v>
      </c>
      <c r="CK15" s="47"/>
      <c r="CL15" s="24"/>
      <c r="CM15" s="28"/>
      <c r="CN15" s="28"/>
      <c r="CO15" s="28"/>
      <c r="CP15" s="24"/>
      <c r="CQ15" s="24"/>
      <c r="CR15" s="24"/>
      <c r="CS15" s="24"/>
      <c r="CT15" s="24"/>
      <c r="CU15" s="24"/>
      <c r="CV15" s="24"/>
      <c r="CW15" s="24"/>
      <c r="CX15" s="24"/>
      <c r="CY15" s="24"/>
      <c r="CZ15" s="24"/>
      <c r="DA15" s="24"/>
      <c r="DB15" s="24"/>
      <c r="DC15" s="24"/>
      <c r="DD15" s="24"/>
      <c r="DE15" s="24"/>
      <c r="DF15" s="24"/>
      <c r="DG15" s="24"/>
      <c r="DH15" s="24"/>
      <c r="DI15" s="24"/>
      <c r="DJ15" s="24"/>
      <c r="DK15" s="24"/>
      <c r="DL15" s="24"/>
      <c r="DM15" s="24"/>
      <c r="DN15" s="24"/>
      <c r="DO15" s="24"/>
      <c r="DP15" s="24"/>
      <c r="DQ15" s="24"/>
      <c r="DR15" s="24"/>
      <c r="DS15" s="24"/>
    </row>
    <row r="16" spans="1:123" ht="13.2">
      <c r="A16" s="39" t="s">
        <v>403</v>
      </c>
      <c r="B16" s="39">
        <v>9</v>
      </c>
      <c r="C16" s="39">
        <v>17</v>
      </c>
      <c r="D16" s="39" t="s">
        <v>419</v>
      </c>
      <c r="E16" s="39" t="b">
        <v>1</v>
      </c>
      <c r="F16" s="39">
        <v>1</v>
      </c>
      <c r="BF16" s="51"/>
      <c r="BR16" s="27"/>
      <c r="BS16" s="24"/>
      <c r="BT16" s="28"/>
      <c r="BU16" s="28"/>
      <c r="BV16" s="24"/>
      <c r="BW16" s="24"/>
      <c r="BX16" s="24"/>
      <c r="BY16" s="24"/>
      <c r="BZ16" s="24"/>
      <c r="CA16" s="24"/>
      <c r="CB16" s="24"/>
      <c r="CC16" s="24"/>
      <c r="CD16" s="24"/>
      <c r="CE16" s="24" t="s">
        <v>736</v>
      </c>
      <c r="CF16" s="24" t="s">
        <v>737</v>
      </c>
      <c r="CG16" s="24" t="s">
        <v>737</v>
      </c>
      <c r="CH16" s="24" t="s">
        <v>710</v>
      </c>
      <c r="CI16" s="24" t="s">
        <v>738</v>
      </c>
      <c r="CJ16" s="24" t="s">
        <v>171</v>
      </c>
      <c r="CK16" s="47"/>
      <c r="CL16" s="24"/>
      <c r="CM16" s="28"/>
      <c r="CN16" s="28"/>
      <c r="CO16" s="28"/>
      <c r="CP16" s="24"/>
      <c r="CQ16" s="24"/>
      <c r="CR16" s="24"/>
      <c r="CS16" s="24"/>
      <c r="CT16" s="24"/>
      <c r="CU16" s="24"/>
      <c r="CV16" s="24"/>
      <c r="CW16" s="24"/>
      <c r="CX16" s="24"/>
      <c r="CY16" s="24"/>
      <c r="CZ16" s="24"/>
      <c r="DA16" s="24"/>
      <c r="DB16" s="24"/>
      <c r="DC16" s="24"/>
      <c r="DD16" s="24"/>
      <c r="DE16" s="24"/>
      <c r="DF16" s="24"/>
      <c r="DG16" s="24"/>
      <c r="DH16" s="24"/>
      <c r="DI16" s="24"/>
      <c r="DJ16" s="24"/>
      <c r="DK16" s="24"/>
      <c r="DL16" s="24"/>
      <c r="DM16" s="24"/>
      <c r="DN16" s="24"/>
      <c r="DO16" s="24"/>
      <c r="DP16" s="24"/>
      <c r="DQ16" s="24"/>
      <c r="DR16" s="24"/>
      <c r="DS16" s="24"/>
    </row>
    <row r="17" spans="1:123" ht="13.2">
      <c r="A17" s="39" t="s">
        <v>376</v>
      </c>
      <c r="B17" s="39">
        <v>5</v>
      </c>
      <c r="C17" s="39">
        <v>14</v>
      </c>
      <c r="D17" s="39" t="s">
        <v>672</v>
      </c>
      <c r="E17" s="39" t="b">
        <v>0</v>
      </c>
      <c r="F17" s="39">
        <v>0</v>
      </c>
      <c r="BF17" s="51"/>
      <c r="BR17" s="27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 t="s">
        <v>739</v>
      </c>
      <c r="CF17" s="24" t="s">
        <v>740</v>
      </c>
      <c r="CG17" s="24" t="s">
        <v>740</v>
      </c>
      <c r="CH17" s="24" t="s">
        <v>710</v>
      </c>
      <c r="CI17" s="24" t="s">
        <v>741</v>
      </c>
      <c r="CJ17" s="24" t="s">
        <v>214</v>
      </c>
      <c r="CK17" s="47"/>
      <c r="CL17" s="24"/>
      <c r="CM17" s="28"/>
      <c r="CN17" s="28"/>
      <c r="CO17" s="28"/>
      <c r="CP17" s="24"/>
      <c r="CQ17" s="24"/>
      <c r="CR17" s="24"/>
      <c r="CS17" s="24"/>
      <c r="CT17" s="24"/>
      <c r="CU17" s="24"/>
      <c r="CV17" s="24"/>
      <c r="CW17" s="24"/>
      <c r="CX17" s="24"/>
      <c r="CY17" s="24"/>
      <c r="CZ17" s="24"/>
      <c r="DA17" s="24"/>
      <c r="DB17" s="24"/>
      <c r="DC17" s="24"/>
      <c r="DD17" s="24"/>
      <c r="DE17" s="24"/>
      <c r="DF17" s="24"/>
      <c r="DG17" s="24"/>
      <c r="DH17" s="24"/>
      <c r="DI17" s="24"/>
      <c r="DJ17" s="24"/>
      <c r="DK17" s="24"/>
      <c r="DL17" s="24"/>
      <c r="DM17" s="24"/>
      <c r="DN17" s="24"/>
      <c r="DO17" s="24"/>
      <c r="DP17" s="24"/>
      <c r="DQ17" s="24"/>
      <c r="DR17" s="24"/>
      <c r="DS17" s="24"/>
    </row>
    <row r="18" spans="1:123" ht="13.2">
      <c r="A18" s="39" t="s">
        <v>132</v>
      </c>
      <c r="B18" s="39">
        <v>11</v>
      </c>
      <c r="C18" s="39">
        <v>20</v>
      </c>
      <c r="D18" s="39" t="s">
        <v>133</v>
      </c>
      <c r="E18" s="39" t="b">
        <v>0</v>
      </c>
      <c r="F18" s="39">
        <v>2</v>
      </c>
      <c r="BF18" s="51"/>
      <c r="BR18" s="27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 t="s">
        <v>742</v>
      </c>
      <c r="CF18" s="24" t="s">
        <v>743</v>
      </c>
      <c r="CG18" s="24" t="s">
        <v>743</v>
      </c>
      <c r="CH18" s="24" t="s">
        <v>710</v>
      </c>
      <c r="CI18" s="24" t="s">
        <v>744</v>
      </c>
      <c r="CJ18" s="24" t="s">
        <v>179</v>
      </c>
      <c r="CK18" s="47"/>
      <c r="CL18" s="24"/>
      <c r="CM18" s="28"/>
      <c r="CN18" s="28"/>
      <c r="CO18" s="28"/>
      <c r="CP18" s="24"/>
      <c r="CQ18" s="24"/>
      <c r="CR18" s="24"/>
      <c r="CS18" s="24"/>
      <c r="CT18" s="24"/>
      <c r="CU18" s="24"/>
      <c r="CV18" s="24"/>
      <c r="CW18" s="24"/>
      <c r="CX18" s="24"/>
      <c r="CY18" s="24"/>
      <c r="CZ18" s="24"/>
      <c r="DA18" s="24"/>
      <c r="DB18" s="24"/>
      <c r="DC18" s="24"/>
      <c r="DD18" s="24"/>
      <c r="DE18" s="24"/>
      <c r="DF18" s="24"/>
      <c r="DG18" s="24"/>
      <c r="DH18" s="24"/>
      <c r="DI18" s="24"/>
      <c r="DJ18" s="24"/>
      <c r="DK18" s="24"/>
      <c r="DL18" s="24"/>
      <c r="DM18" s="24"/>
      <c r="DN18" s="24"/>
      <c r="DO18" s="24"/>
      <c r="DP18" s="24"/>
      <c r="DQ18" s="24"/>
      <c r="DR18" s="24"/>
      <c r="DS18" s="24"/>
    </row>
    <row r="19" spans="1:123" ht="13.2">
      <c r="A19" s="39" t="s">
        <v>152</v>
      </c>
      <c r="B19" s="39">
        <v>0</v>
      </c>
      <c r="C19" s="39">
        <v>0</v>
      </c>
      <c r="D19" s="39" t="s">
        <v>153</v>
      </c>
      <c r="E19" s="39" t="b">
        <v>0</v>
      </c>
      <c r="F19" s="39">
        <v>0</v>
      </c>
      <c r="BF19" s="51"/>
      <c r="BR19" s="27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 t="s">
        <v>745</v>
      </c>
      <c r="CF19" s="24" t="s">
        <v>746</v>
      </c>
      <c r="CG19" s="24" t="s">
        <v>746</v>
      </c>
      <c r="CH19" s="24" t="s">
        <v>710</v>
      </c>
      <c r="CI19" s="24" t="s">
        <v>747</v>
      </c>
      <c r="CJ19" s="24" t="s">
        <v>279</v>
      </c>
      <c r="CK19" s="47"/>
      <c r="CL19" s="24"/>
      <c r="CM19" s="24"/>
      <c r="CN19" s="24"/>
      <c r="CO19" s="24"/>
      <c r="CP19" s="24"/>
      <c r="CQ19" s="24"/>
      <c r="CR19" s="24"/>
      <c r="CS19" s="24"/>
      <c r="CT19" s="24"/>
      <c r="CU19" s="24"/>
      <c r="CV19" s="24"/>
      <c r="CW19" s="24"/>
      <c r="CX19" s="24"/>
      <c r="CY19" s="24"/>
      <c r="CZ19" s="24"/>
      <c r="DA19" s="24"/>
      <c r="DB19" s="24"/>
      <c r="DC19" s="24"/>
      <c r="DD19" s="24"/>
      <c r="DE19" s="24"/>
      <c r="DF19" s="24"/>
      <c r="DG19" s="24"/>
      <c r="DH19" s="24"/>
      <c r="DI19" s="24"/>
      <c r="DJ19" s="24"/>
      <c r="DK19" s="24"/>
      <c r="DL19" s="24"/>
      <c r="DM19" s="24"/>
      <c r="DN19" s="24"/>
      <c r="DO19" s="24"/>
      <c r="DP19" s="24"/>
      <c r="DQ19" s="24"/>
      <c r="DR19" s="24"/>
      <c r="DS19" s="24"/>
    </row>
    <row r="20" spans="1:123" ht="13.2">
      <c r="A20" s="39"/>
      <c r="B20" s="39"/>
      <c r="C20" s="39"/>
      <c r="D20" s="39"/>
      <c r="E20" s="39"/>
      <c r="F20" s="39"/>
      <c r="BF20" s="51"/>
      <c r="BR20" s="27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 t="s">
        <v>748</v>
      </c>
      <c r="CF20" s="24" t="s">
        <v>749</v>
      </c>
      <c r="CG20" s="24" t="s">
        <v>749</v>
      </c>
      <c r="CH20" s="24" t="s">
        <v>710</v>
      </c>
      <c r="CI20" s="24" t="s">
        <v>750</v>
      </c>
      <c r="CJ20" s="24" t="s">
        <v>751</v>
      </c>
      <c r="CK20" s="47"/>
      <c r="CL20" s="24"/>
      <c r="CM20" s="24"/>
      <c r="CN20" s="24"/>
      <c r="CO20" s="24"/>
      <c r="CP20" s="24"/>
      <c r="CQ20" s="24"/>
      <c r="CR20" s="24"/>
      <c r="CS20" s="24"/>
      <c r="CT20" s="24"/>
      <c r="CU20" s="24"/>
      <c r="CV20" s="24"/>
      <c r="CW20" s="24"/>
      <c r="CX20" s="24"/>
      <c r="CY20" s="24"/>
      <c r="CZ20" s="24"/>
      <c r="DA20" s="24"/>
      <c r="DB20" s="24"/>
      <c r="DC20" s="24"/>
      <c r="DD20" s="24"/>
      <c r="DE20" s="24"/>
      <c r="DF20" s="24"/>
      <c r="DG20" s="24"/>
      <c r="DH20" s="24"/>
      <c r="DI20" s="24"/>
      <c r="DJ20" s="24"/>
      <c r="DK20" s="24"/>
      <c r="DL20" s="24"/>
      <c r="DM20" s="24"/>
      <c r="DN20" s="24"/>
      <c r="DO20" s="24"/>
      <c r="DP20" s="24"/>
      <c r="DQ20" s="24"/>
      <c r="DR20" s="24"/>
      <c r="DS20" s="24"/>
    </row>
    <row r="21" spans="1:123" ht="13.2">
      <c r="A21" s="39"/>
      <c r="B21" s="39"/>
      <c r="C21" s="39"/>
      <c r="D21" s="39"/>
      <c r="E21" s="39"/>
      <c r="F21" s="39"/>
      <c r="BF21" s="51"/>
      <c r="BR21" s="27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 t="s">
        <v>752</v>
      </c>
      <c r="CF21" s="24" t="s">
        <v>753</v>
      </c>
      <c r="CG21" s="24" t="s">
        <v>753</v>
      </c>
      <c r="CH21" s="24" t="s">
        <v>710</v>
      </c>
      <c r="CI21" s="24" t="s">
        <v>754</v>
      </c>
      <c r="CJ21" s="24" t="s">
        <v>259</v>
      </c>
      <c r="CK21" s="47"/>
      <c r="CL21" s="24"/>
      <c r="CM21" s="24"/>
      <c r="CN21" s="24"/>
      <c r="CO21" s="24"/>
      <c r="CP21" s="24"/>
      <c r="CQ21" s="24"/>
      <c r="CR21" s="24"/>
      <c r="CS21" s="24"/>
      <c r="CT21" s="24"/>
      <c r="CU21" s="24"/>
      <c r="CV21" s="24"/>
      <c r="CW21" s="24"/>
      <c r="CX21" s="24"/>
      <c r="CY21" s="24"/>
      <c r="CZ21" s="24"/>
      <c r="DA21" s="24"/>
      <c r="DB21" s="24"/>
      <c r="DC21" s="24"/>
      <c r="DD21" s="24"/>
      <c r="DE21" s="24"/>
      <c r="DF21" s="24"/>
      <c r="DG21" s="24"/>
      <c r="DH21" s="24"/>
      <c r="DI21" s="24"/>
      <c r="DJ21" s="24"/>
      <c r="DK21" s="24"/>
      <c r="DL21" s="24"/>
      <c r="DM21" s="24"/>
      <c r="DN21" s="24"/>
      <c r="DO21" s="24"/>
      <c r="DP21" s="24"/>
      <c r="DQ21" s="24"/>
      <c r="DR21" s="24"/>
      <c r="DS21" s="24"/>
    </row>
    <row r="22" spans="1:88" ht="13.2">
      <c r="BF22" s="51"/>
      <c r="BR22" s="27"/>
      <c r="CE22" t="s">
        <v>755</v>
      </c>
      <c r="CF22" t="s">
        <v>756</v>
      </c>
      <c r="CG22" t="s">
        <v>756</v>
      </c>
      <c r="CH22" t="s">
        <v>710</v>
      </c>
      <c r="CI22" t="s">
        <v>757</v>
      </c>
      <c r="CJ22" t="s">
        <v>286</v>
      </c>
    </row>
    <row r="23" spans="1:88" ht="13.2">
      <c r="BF23" s="51"/>
      <c r="CE23" t="s">
        <v>758</v>
      </c>
      <c r="CF23" t="s">
        <v>759</v>
      </c>
      <c r="CG23" t="s">
        <v>759</v>
      </c>
      <c r="CH23" t="s">
        <v>710</v>
      </c>
      <c r="CI23" t="s">
        <v>760</v>
      </c>
      <c r="CJ23" t="s">
        <v>523</v>
      </c>
    </row>
    <row r="24" spans="1:88" ht="13.2">
      <c r="BF24" s="51"/>
      <c r="CE24" t="s">
        <v>761</v>
      </c>
      <c r="CF24" t="s">
        <v>762</v>
      </c>
      <c r="CG24" t="s">
        <v>762</v>
      </c>
      <c r="CH24" t="s">
        <v>710</v>
      </c>
      <c r="CI24" t="s">
        <v>763</v>
      </c>
      <c r="CJ24" t="s">
        <v>410</v>
      </c>
    </row>
    <row r="25" spans="48:88" ht="13.2">
      <c r="BF25" s="51"/>
      <c r="CE25" t="s">
        <v>764</v>
      </c>
      <c r="CF25" t="s">
        <v>765</v>
      </c>
      <c r="CG25" t="s">
        <v>765</v>
      </c>
      <c r="CH25" t="s">
        <v>710</v>
      </c>
      <c r="CI25" t="s">
        <v>766</v>
      </c>
      <c r="CJ25" t="s">
        <v>234</v>
      </c>
    </row>
    <row r="26" spans="48:88" ht="13.2">
      <c r="BF26" s="27"/>
      <c r="CE26" t="s">
        <v>767</v>
      </c>
      <c r="CF26" t="s">
        <v>768</v>
      </c>
      <c r="CG26" t="s">
        <v>768</v>
      </c>
      <c r="CH26" t="s">
        <v>710</v>
      </c>
      <c r="CI26" t="s">
        <v>769</v>
      </c>
      <c r="CJ26" t="s">
        <v>147</v>
      </c>
    </row>
    <row r="27" spans="48:88" ht="22.8">
      <c r="AX27" s="24"/>
      <c r="AY27" s="24"/>
      <c r="AZ27" s="37"/>
      <c r="BA27" s="24"/>
      <c r="BF27" s="27"/>
      <c r="CE27" t="s">
        <v>770</v>
      </c>
      <c r="CF27" t="s">
        <v>771</v>
      </c>
      <c r="CG27" t="s">
        <v>771</v>
      </c>
      <c r="CH27" t="s">
        <v>710</v>
      </c>
      <c r="CI27" t="s">
        <v>772</v>
      </c>
      <c r="CJ27" s="24" t="s">
        <v>222</v>
      </c>
    </row>
    <row r="28" spans="48:89" ht="22.8">
      <c r="AX28" s="24"/>
      <c r="AY28" s="24"/>
      <c r="AZ28" s="37"/>
      <c r="BF28" s="27"/>
      <c r="CE28" t="s">
        <v>773</v>
      </c>
      <c r="CF28" t="s">
        <v>774</v>
      </c>
      <c r="CG28" t="s">
        <v>774</v>
      </c>
      <c r="CH28" t="s">
        <v>710</v>
      </c>
      <c r="CI28" t="s">
        <v>775</v>
      </c>
      <c r="CJ28" s="24" t="s">
        <v>280</v>
      </c>
      <c r="CK28" s="48">
        <v>36.7935</v>
      </c>
    </row>
    <row r="29" spans="48:88" ht="13.2">
      <c r="BF29" s="27"/>
      <c r="CE29" t="s">
        <v>776</v>
      </c>
      <c r="CF29" t="s">
        <v>777</v>
      </c>
      <c r="CG29" t="s">
        <v>777</v>
      </c>
      <c r="CH29" t="s">
        <v>710</v>
      </c>
      <c r="CI29" t="s">
        <v>778</v>
      </c>
      <c r="CJ29" t="s">
        <v>221</v>
      </c>
    </row>
    <row r="30" spans="48:88" ht="13.2">
      <c r="BF30" s="27"/>
      <c r="CE30" t="s">
        <v>779</v>
      </c>
      <c r="CF30" t="s">
        <v>780</v>
      </c>
      <c r="CG30" t="s">
        <v>780</v>
      </c>
      <c r="CH30" t="s">
        <v>710</v>
      </c>
      <c r="CI30" t="s">
        <v>781</v>
      </c>
      <c r="CJ30" t="s">
        <v>147</v>
      </c>
    </row>
    <row r="31" spans="48:88" ht="13.2">
      <c r="BF31" s="27"/>
      <c r="CE31" t="s">
        <v>782</v>
      </c>
      <c r="CF31" t="s">
        <v>783</v>
      </c>
      <c r="CG31" t="s">
        <v>783</v>
      </c>
      <c r="CH31" t="s">
        <v>710</v>
      </c>
      <c r="CI31" t="s">
        <v>784</v>
      </c>
      <c r="CJ31" t="s">
        <v>306</v>
      </c>
    </row>
    <row r="32" spans="48:88" ht="13.2">
      <c r="BF32" s="27"/>
      <c r="CE32" t="s">
        <v>785</v>
      </c>
      <c r="CF32" t="s">
        <v>786</v>
      </c>
      <c r="CG32" t="s">
        <v>786</v>
      </c>
      <c r="CH32" t="s">
        <v>710</v>
      </c>
      <c r="CI32" t="s">
        <v>787</v>
      </c>
      <c r="CJ32" t="s">
        <v>147</v>
      </c>
    </row>
    <row r="33" spans="48:88" ht="13.2">
      <c r="CE33" t="s">
        <v>788</v>
      </c>
      <c r="CF33" t="s">
        <v>789</v>
      </c>
      <c r="CG33" t="s">
        <v>789</v>
      </c>
      <c r="CH33" t="s">
        <v>710</v>
      </c>
      <c r="CI33" t="s">
        <v>790</v>
      </c>
      <c r="CJ33" t="s">
        <v>147</v>
      </c>
    </row>
    <row r="34" spans="48:88" ht="13.2">
      <c r="CE34" t="s">
        <v>791</v>
      </c>
      <c r="CF34" t="s">
        <v>792</v>
      </c>
      <c r="CG34" t="s">
        <v>792</v>
      </c>
      <c r="CH34" t="s">
        <v>710</v>
      </c>
      <c r="CI34" t="s">
        <v>793</v>
      </c>
      <c r="CJ34" t="s">
        <v>147</v>
      </c>
    </row>
    <row r="35" spans="48:89" ht="13.2">
      <c r="CE35" t="s">
        <v>794</v>
      </c>
      <c r="CF35" t="s">
        <v>795</v>
      </c>
      <c r="CG35" t="s">
        <v>795</v>
      </c>
      <c r="CH35" t="s">
        <v>710</v>
      </c>
      <c r="CI35" t="s">
        <v>796</v>
      </c>
      <c r="CJ35" t="s">
        <v>397</v>
      </c>
      <c r="CK35" s="48">
        <v>109.897</v>
      </c>
    </row>
    <row r="36" spans="48:88" ht="13.2">
      <c r="CE36" t="s">
        <v>797</v>
      </c>
      <c r="CF36" t="s">
        <v>798</v>
      </c>
      <c r="CG36" t="s">
        <v>798</v>
      </c>
      <c r="CH36" t="s">
        <v>710</v>
      </c>
      <c r="CI36" t="s">
        <v>799</v>
      </c>
      <c r="CJ36" t="s">
        <v>482</v>
      </c>
    </row>
    <row r="37" spans="48:88" ht="13.2">
      <c r="CE37" t="s">
        <v>800</v>
      </c>
      <c r="CF37" t="s">
        <v>801</v>
      </c>
      <c r="CG37" t="s">
        <v>801</v>
      </c>
      <c r="CH37" t="s">
        <v>710</v>
      </c>
      <c r="CI37" t="s">
        <v>802</v>
      </c>
      <c r="CJ37" t="s">
        <v>306</v>
      </c>
    </row>
    <row r="38" spans="48:88" ht="13.2">
      <c r="CE38" t="s">
        <v>803</v>
      </c>
      <c r="CF38" t="s">
        <v>804</v>
      </c>
      <c r="CG38" t="s">
        <v>804</v>
      </c>
      <c r="CH38" t="s">
        <v>710</v>
      </c>
      <c r="CI38" t="s">
        <v>805</v>
      </c>
      <c r="CJ38" t="s">
        <v>147</v>
      </c>
    </row>
    <row r="39" spans="48:88" ht="13.2">
      <c r="CE39" t="s">
        <v>808</v>
      </c>
      <c r="CF39" t="s">
        <v>809</v>
      </c>
      <c r="CG39" t="s">
        <v>809</v>
      </c>
      <c r="CH39" t="s">
        <v>806</v>
      </c>
      <c r="CI39" t="s">
        <v>720</v>
      </c>
      <c r="CJ39" t="s">
        <v>807</v>
      </c>
    </row>
    <row r="40" spans="48:88" ht="13.2">
      <c r="CE40" t="s">
        <v>810</v>
      </c>
      <c r="CF40" t="s">
        <v>811</v>
      </c>
      <c r="CG40" t="s">
        <v>811</v>
      </c>
      <c r="CH40" t="s">
        <v>806</v>
      </c>
      <c r="CI40" t="s">
        <v>723</v>
      </c>
      <c r="CJ40" t="s">
        <v>812</v>
      </c>
    </row>
    <row r="41" spans="48:88" ht="13.2">
      <c r="CE41" t="s">
        <v>813</v>
      </c>
      <c r="CF41" t="s">
        <v>814</v>
      </c>
      <c r="CG41" t="s">
        <v>814</v>
      </c>
      <c r="CH41" t="s">
        <v>806</v>
      </c>
      <c r="CI41" t="s">
        <v>727</v>
      </c>
      <c r="CJ41" t="s">
        <v>815</v>
      </c>
    </row>
    <row r="42" spans="48:88" ht="13.2">
      <c r="CE42" t="s">
        <v>816</v>
      </c>
      <c r="CF42" t="s">
        <v>817</v>
      </c>
      <c r="CG42" t="s">
        <v>817</v>
      </c>
      <c r="CH42" t="s">
        <v>806</v>
      </c>
      <c r="CI42" t="s">
        <v>731</v>
      </c>
      <c r="CJ42" t="s">
        <v>732</v>
      </c>
    </row>
    <row r="43" spans="48:88" ht="13.2">
      <c r="CE43" t="s">
        <v>818</v>
      </c>
      <c r="CF43" t="s">
        <v>819</v>
      </c>
      <c r="CG43" t="s">
        <v>819</v>
      </c>
      <c r="CH43" t="s">
        <v>806</v>
      </c>
      <c r="CI43" t="s">
        <v>735</v>
      </c>
      <c r="CJ43" t="s">
        <v>165</v>
      </c>
    </row>
    <row r="44" spans="48:88" ht="13.2">
      <c r="CE44" t="s">
        <v>820</v>
      </c>
      <c r="CF44" t="s">
        <v>821</v>
      </c>
      <c r="CG44" t="s">
        <v>821</v>
      </c>
      <c r="CH44" t="s">
        <v>806</v>
      </c>
      <c r="CI44" t="s">
        <v>738</v>
      </c>
      <c r="CJ44" t="s">
        <v>166</v>
      </c>
    </row>
    <row r="45" spans="48:88" ht="13.2">
      <c r="CE45" t="s">
        <v>822</v>
      </c>
      <c r="CF45" t="s">
        <v>823</v>
      </c>
      <c r="CG45" t="s">
        <v>823</v>
      </c>
      <c r="CH45" t="s">
        <v>806</v>
      </c>
      <c r="CI45" t="s">
        <v>741</v>
      </c>
      <c r="CJ45" t="s">
        <v>214</v>
      </c>
    </row>
    <row r="46" spans="48:88" ht="13.2">
      <c r="CE46" t="s">
        <v>824</v>
      </c>
      <c r="CF46" t="s">
        <v>825</v>
      </c>
      <c r="CG46" t="s">
        <v>825</v>
      </c>
      <c r="CH46" t="s">
        <v>806</v>
      </c>
      <c r="CI46" t="s">
        <v>744</v>
      </c>
      <c r="CJ46" t="s">
        <v>178</v>
      </c>
    </row>
    <row r="47" spans="48:88" ht="13.2">
      <c r="CE47" t="s">
        <v>826</v>
      </c>
      <c r="CF47" t="s">
        <v>827</v>
      </c>
      <c r="CG47" t="s">
        <v>827</v>
      </c>
      <c r="CH47" t="s">
        <v>806</v>
      </c>
      <c r="CI47" t="s">
        <v>828</v>
      </c>
      <c r="CJ47" t="s">
        <v>306</v>
      </c>
    </row>
    <row r="48" spans="48:88" ht="13.2">
      <c r="CE48" t="s">
        <v>829</v>
      </c>
      <c r="CF48" t="s">
        <v>830</v>
      </c>
      <c r="CG48" t="s">
        <v>830</v>
      </c>
      <c r="CH48" t="s">
        <v>806</v>
      </c>
      <c r="CI48" t="s">
        <v>747</v>
      </c>
      <c r="CJ48" t="s">
        <v>279</v>
      </c>
    </row>
    <row r="49" spans="48:88" ht="13.2">
      <c r="CE49" t="s">
        <v>831</v>
      </c>
      <c r="CF49" t="s">
        <v>832</v>
      </c>
      <c r="CG49" t="s">
        <v>832</v>
      </c>
      <c r="CH49" t="s">
        <v>806</v>
      </c>
      <c r="CI49" t="s">
        <v>750</v>
      </c>
      <c r="CJ49" t="s">
        <v>833</v>
      </c>
    </row>
    <row r="50" spans="48:88" ht="13.2">
      <c r="CE50" t="s">
        <v>834</v>
      </c>
      <c r="CF50" t="s">
        <v>835</v>
      </c>
      <c r="CG50" t="s">
        <v>835</v>
      </c>
      <c r="CH50" t="s">
        <v>806</v>
      </c>
      <c r="CI50" t="s">
        <v>754</v>
      </c>
      <c r="CJ50" t="s">
        <v>257</v>
      </c>
    </row>
    <row r="51" spans="48:88" ht="13.2">
      <c r="CE51" t="s">
        <v>836</v>
      </c>
      <c r="CF51" t="s">
        <v>837</v>
      </c>
      <c r="CG51" t="s">
        <v>837</v>
      </c>
      <c r="CH51" t="s">
        <v>806</v>
      </c>
      <c r="CI51" t="s">
        <v>757</v>
      </c>
      <c r="CJ51" t="s">
        <v>289</v>
      </c>
    </row>
    <row r="52" spans="48:88" ht="13.2">
      <c r="CE52" t="s">
        <v>838</v>
      </c>
      <c r="CF52" t="s">
        <v>839</v>
      </c>
      <c r="CG52" t="s">
        <v>839</v>
      </c>
      <c r="CH52" t="s">
        <v>806</v>
      </c>
      <c r="CI52" t="s">
        <v>760</v>
      </c>
      <c r="CJ52" t="s">
        <v>523</v>
      </c>
    </row>
    <row r="53" spans="48:88" ht="13.2">
      <c r="CE53" t="s">
        <v>840</v>
      </c>
      <c r="CF53" t="s">
        <v>841</v>
      </c>
      <c r="CG53" t="s">
        <v>841</v>
      </c>
      <c r="CH53" t="s">
        <v>806</v>
      </c>
      <c r="CI53" t="s">
        <v>842</v>
      </c>
      <c r="CJ53" t="s">
        <v>234</v>
      </c>
    </row>
    <row r="54" spans="48:88" ht="13.2">
      <c r="CE54" t="s">
        <v>843</v>
      </c>
      <c r="CF54" t="s">
        <v>844</v>
      </c>
      <c r="CG54" t="s">
        <v>844</v>
      </c>
      <c r="CH54" t="s">
        <v>806</v>
      </c>
      <c r="CI54" t="s">
        <v>763</v>
      </c>
      <c r="CJ54" t="s">
        <v>523</v>
      </c>
    </row>
    <row r="55" spans="48:88" ht="13.2">
      <c r="CE55" t="s">
        <v>845</v>
      </c>
      <c r="CF55" t="s">
        <v>846</v>
      </c>
      <c r="CG55" t="s">
        <v>846</v>
      </c>
      <c r="CH55" t="s">
        <v>806</v>
      </c>
      <c r="CI55" t="s">
        <v>766</v>
      </c>
      <c r="CJ55" t="s">
        <v>234</v>
      </c>
    </row>
    <row r="56" spans="48:88" ht="13.2">
      <c r="CE56" t="s">
        <v>847</v>
      </c>
      <c r="CF56" t="s">
        <v>848</v>
      </c>
      <c r="CG56" t="s">
        <v>848</v>
      </c>
      <c r="CH56" t="s">
        <v>806</v>
      </c>
      <c r="CI56" t="s">
        <v>769</v>
      </c>
      <c r="CJ56" t="s">
        <v>147</v>
      </c>
    </row>
    <row r="57" spans="48:88" ht="13.2">
      <c r="CE57" t="s">
        <v>849</v>
      </c>
      <c r="CF57" t="s">
        <v>850</v>
      </c>
      <c r="CG57" t="s">
        <v>850</v>
      </c>
      <c r="CH57" t="s">
        <v>806</v>
      </c>
      <c r="CI57" t="s">
        <v>775</v>
      </c>
      <c r="CJ57" t="s">
        <v>147</v>
      </c>
    </row>
    <row r="58" spans="48:88" ht="13.2">
      <c r="CE58" t="s">
        <v>851</v>
      </c>
      <c r="CF58" t="s">
        <v>852</v>
      </c>
      <c r="CG58" t="s">
        <v>852</v>
      </c>
      <c r="CH58" t="s">
        <v>806</v>
      </c>
      <c r="CI58" t="s">
        <v>778</v>
      </c>
      <c r="CJ58" t="s">
        <v>147</v>
      </c>
    </row>
    <row r="59" spans="48:88" ht="13.2">
      <c r="CE59" t="s">
        <v>853</v>
      </c>
      <c r="CF59" t="s">
        <v>854</v>
      </c>
      <c r="CG59" t="s">
        <v>854</v>
      </c>
      <c r="CH59" t="s">
        <v>806</v>
      </c>
      <c r="CI59" t="s">
        <v>784</v>
      </c>
      <c r="CJ59" t="s">
        <v>306</v>
      </c>
    </row>
    <row r="60" spans="48:88" ht="13.2">
      <c r="CE60" t="s">
        <v>855</v>
      </c>
      <c r="CF60" t="s">
        <v>856</v>
      </c>
      <c r="CG60" t="s">
        <v>856</v>
      </c>
      <c r="CH60" t="s">
        <v>806</v>
      </c>
      <c r="CI60" t="s">
        <v>787</v>
      </c>
      <c r="CJ60" t="s">
        <v>147</v>
      </c>
    </row>
    <row r="61" spans="48:88" ht="13.2">
      <c r="CE61" t="s">
        <v>857</v>
      </c>
      <c r="CF61" t="s">
        <v>858</v>
      </c>
      <c r="CG61" t="s">
        <v>858</v>
      </c>
      <c r="CH61" t="s">
        <v>806</v>
      </c>
      <c r="CI61" t="s">
        <v>790</v>
      </c>
      <c r="CJ61" t="s">
        <v>207</v>
      </c>
    </row>
    <row r="62" spans="48:88" ht="13.2">
      <c r="CE62" t="s">
        <v>859</v>
      </c>
      <c r="CF62" t="s">
        <v>860</v>
      </c>
      <c r="CG62" t="s">
        <v>860</v>
      </c>
      <c r="CH62" t="s">
        <v>806</v>
      </c>
      <c r="CI62" t="s">
        <v>793</v>
      </c>
      <c r="CJ62" t="s">
        <v>147</v>
      </c>
    </row>
    <row r="63" spans="48:89" ht="13.2">
      <c r="CE63" t="s">
        <v>861</v>
      </c>
      <c r="CF63" t="s">
        <v>862</v>
      </c>
      <c r="CG63" t="s">
        <v>862</v>
      </c>
      <c r="CH63" t="s">
        <v>806</v>
      </c>
      <c r="CI63" t="s">
        <v>796</v>
      </c>
      <c r="CJ63" t="s">
        <v>397</v>
      </c>
      <c r="CK63" s="48">
        <v>109.897</v>
      </c>
    </row>
    <row r="64" spans="48:88" ht="13.2">
      <c r="CE64" t="s">
        <v>863</v>
      </c>
      <c r="CF64" t="s">
        <v>864</v>
      </c>
      <c r="CG64" t="s">
        <v>864</v>
      </c>
      <c r="CH64" t="s">
        <v>806</v>
      </c>
      <c r="CI64" t="s">
        <v>799</v>
      </c>
      <c r="CJ64" t="s">
        <v>483</v>
      </c>
    </row>
    <row r="65" spans="48:88" ht="13.2">
      <c r="CE65" t="s">
        <v>865</v>
      </c>
      <c r="CF65" t="s">
        <v>866</v>
      </c>
      <c r="CG65" t="s">
        <v>866</v>
      </c>
      <c r="CH65" t="s">
        <v>806</v>
      </c>
      <c r="CI65" t="s">
        <v>802</v>
      </c>
      <c r="CJ65" t="s">
        <v>147</v>
      </c>
    </row>
    <row r="66" spans="48:88" ht="13.2">
      <c r="CE66" t="s">
        <v>867</v>
      </c>
      <c r="CF66" t="s">
        <v>868</v>
      </c>
      <c r="CG66" t="s">
        <v>868</v>
      </c>
      <c r="CH66" t="s">
        <v>806</v>
      </c>
      <c r="CI66" t="s">
        <v>805</v>
      </c>
      <c r="CJ66" t="s">
        <v>147</v>
      </c>
    </row>
    <row r="67" spans="48:88" ht="13.2">
      <c r="CE67" t="s">
        <v>871</v>
      </c>
      <c r="CF67" t="s">
        <v>872</v>
      </c>
      <c r="CG67" t="s">
        <v>872</v>
      </c>
      <c r="CH67" t="s">
        <v>869</v>
      </c>
      <c r="CI67" t="s">
        <v>720</v>
      </c>
      <c r="CJ67" t="s">
        <v>870</v>
      </c>
    </row>
    <row r="68" spans="48:88" ht="13.2">
      <c r="CE68" t="s">
        <v>873</v>
      </c>
      <c r="CF68" t="s">
        <v>874</v>
      </c>
      <c r="CG68" t="s">
        <v>874</v>
      </c>
      <c r="CH68" t="s">
        <v>869</v>
      </c>
      <c r="CI68" t="s">
        <v>723</v>
      </c>
      <c r="CJ68" t="s">
        <v>875</v>
      </c>
    </row>
    <row r="69" spans="48:88" ht="13.2">
      <c r="CE69" t="s">
        <v>876</v>
      </c>
      <c r="CF69" t="s">
        <v>877</v>
      </c>
      <c r="CG69" t="s">
        <v>877</v>
      </c>
      <c r="CH69" t="s">
        <v>869</v>
      </c>
      <c r="CI69" t="s">
        <v>727</v>
      </c>
      <c r="CJ69" t="s">
        <v>878</v>
      </c>
    </row>
    <row r="70" spans="48:88" ht="13.2">
      <c r="CE70" t="s">
        <v>879</v>
      </c>
      <c r="CF70" t="s">
        <v>880</v>
      </c>
      <c r="CG70" t="s">
        <v>880</v>
      </c>
      <c r="CH70" t="s">
        <v>869</v>
      </c>
      <c r="CI70" t="s">
        <v>731</v>
      </c>
      <c r="CJ70" t="s">
        <v>732</v>
      </c>
    </row>
    <row r="71" spans="48:88" ht="13.2">
      <c r="CE71" t="s">
        <v>881</v>
      </c>
      <c r="CF71" t="s">
        <v>882</v>
      </c>
      <c r="CG71" t="s">
        <v>882</v>
      </c>
      <c r="CH71" t="s">
        <v>869</v>
      </c>
      <c r="CI71" t="s">
        <v>735</v>
      </c>
      <c r="CJ71" t="s">
        <v>165</v>
      </c>
    </row>
    <row r="72" spans="48:88" ht="13.2">
      <c r="CE72" t="s">
        <v>883</v>
      </c>
      <c r="CF72" t="s">
        <v>884</v>
      </c>
      <c r="CG72" t="s">
        <v>884</v>
      </c>
      <c r="CH72" t="s">
        <v>869</v>
      </c>
      <c r="CI72" t="s">
        <v>738</v>
      </c>
      <c r="CJ72" t="s">
        <v>171</v>
      </c>
    </row>
    <row r="73" spans="48:88" ht="13.2">
      <c r="CE73" t="s">
        <v>885</v>
      </c>
      <c r="CF73" t="s">
        <v>886</v>
      </c>
      <c r="CG73" t="s">
        <v>886</v>
      </c>
      <c r="CH73" t="s">
        <v>869</v>
      </c>
      <c r="CI73" t="s">
        <v>741</v>
      </c>
      <c r="CJ73" t="s">
        <v>214</v>
      </c>
    </row>
    <row r="74" spans="48:88" ht="13.2">
      <c r="CE74" t="s">
        <v>887</v>
      </c>
      <c r="CF74" t="s">
        <v>888</v>
      </c>
      <c r="CG74" t="s">
        <v>888</v>
      </c>
      <c r="CH74" t="s">
        <v>869</v>
      </c>
      <c r="CI74" t="s">
        <v>744</v>
      </c>
      <c r="CJ74" t="s">
        <v>179</v>
      </c>
    </row>
    <row r="75" spans="48:88" ht="13.2">
      <c r="CE75" t="s">
        <v>889</v>
      </c>
      <c r="CF75" t="s">
        <v>890</v>
      </c>
      <c r="CG75" t="s">
        <v>890</v>
      </c>
      <c r="CH75" t="s">
        <v>869</v>
      </c>
      <c r="CI75" t="s">
        <v>747</v>
      </c>
      <c r="CJ75" t="s">
        <v>279</v>
      </c>
    </row>
    <row r="76" spans="48:88" ht="13.2">
      <c r="CE76" t="s">
        <v>891</v>
      </c>
      <c r="CF76" t="s">
        <v>892</v>
      </c>
      <c r="CG76" t="s">
        <v>892</v>
      </c>
      <c r="CH76" t="s">
        <v>869</v>
      </c>
      <c r="CI76" t="s">
        <v>750</v>
      </c>
      <c r="CJ76" t="s">
        <v>893</v>
      </c>
    </row>
    <row r="77" spans="48:88" ht="13.2">
      <c r="CE77" t="s">
        <v>894</v>
      </c>
      <c r="CF77" t="s">
        <v>895</v>
      </c>
      <c r="CG77" t="s">
        <v>895</v>
      </c>
      <c r="CH77" t="s">
        <v>869</v>
      </c>
      <c r="CI77" t="s">
        <v>754</v>
      </c>
      <c r="CJ77" t="s">
        <v>259</v>
      </c>
    </row>
    <row r="78" spans="48:88" ht="13.2">
      <c r="CE78" t="s">
        <v>896</v>
      </c>
      <c r="CF78" t="s">
        <v>897</v>
      </c>
      <c r="CG78" t="s">
        <v>897</v>
      </c>
      <c r="CH78" t="s">
        <v>869</v>
      </c>
      <c r="CI78" t="s">
        <v>757</v>
      </c>
      <c r="CJ78" t="s">
        <v>289</v>
      </c>
    </row>
    <row r="79" spans="48:88" ht="13.2">
      <c r="CE79" t="s">
        <v>898</v>
      </c>
      <c r="CF79" t="s">
        <v>899</v>
      </c>
      <c r="CG79" t="s">
        <v>899</v>
      </c>
      <c r="CH79" t="s">
        <v>869</v>
      </c>
      <c r="CI79" t="s">
        <v>760</v>
      </c>
      <c r="CJ79" t="s">
        <v>523</v>
      </c>
    </row>
    <row r="80" spans="48:88" ht="13.2">
      <c r="CE80" t="s">
        <v>900</v>
      </c>
      <c r="CF80" t="s">
        <v>901</v>
      </c>
      <c r="CG80" t="s">
        <v>901</v>
      </c>
      <c r="CH80" t="s">
        <v>869</v>
      </c>
      <c r="CI80" t="s">
        <v>763</v>
      </c>
      <c r="CJ80" t="s">
        <v>410</v>
      </c>
    </row>
    <row r="81" spans="48:88" ht="13.2">
      <c r="CE81" t="s">
        <v>902</v>
      </c>
      <c r="CF81" t="s">
        <v>903</v>
      </c>
      <c r="CG81" t="s">
        <v>903</v>
      </c>
      <c r="CH81" t="s">
        <v>869</v>
      </c>
      <c r="CI81" t="s">
        <v>766</v>
      </c>
      <c r="CJ81" t="s">
        <v>234</v>
      </c>
    </row>
    <row r="82" spans="48:88" ht="13.2">
      <c r="CE82" t="s">
        <v>904</v>
      </c>
      <c r="CF82" t="s">
        <v>905</v>
      </c>
      <c r="CG82" t="s">
        <v>905</v>
      </c>
      <c r="CH82" t="s">
        <v>869</v>
      </c>
      <c r="CI82" t="s">
        <v>769</v>
      </c>
      <c r="CJ82" t="s">
        <v>147</v>
      </c>
    </row>
    <row r="83" spans="48:88" ht="13.2">
      <c r="CE83" t="s">
        <v>906</v>
      </c>
      <c r="CF83" t="s">
        <v>907</v>
      </c>
      <c r="CG83" t="s">
        <v>907</v>
      </c>
      <c r="CH83" t="s">
        <v>869</v>
      </c>
      <c r="CI83" t="s">
        <v>772</v>
      </c>
      <c r="CJ83" t="s">
        <v>222</v>
      </c>
    </row>
    <row r="84" spans="48:88" ht="13.2">
      <c r="CE84" t="s">
        <v>908</v>
      </c>
      <c r="CF84" t="s">
        <v>909</v>
      </c>
      <c r="CG84" t="s">
        <v>909</v>
      </c>
      <c r="CH84" t="s">
        <v>869</v>
      </c>
      <c r="CI84" t="s">
        <v>775</v>
      </c>
      <c r="CJ84" t="s">
        <v>147</v>
      </c>
    </row>
    <row r="85" spans="48:88" ht="13.2">
      <c r="CE85" t="s">
        <v>910</v>
      </c>
      <c r="CF85" t="s">
        <v>911</v>
      </c>
      <c r="CG85" t="s">
        <v>911</v>
      </c>
      <c r="CH85" t="s">
        <v>869</v>
      </c>
      <c r="CI85" t="s">
        <v>778</v>
      </c>
      <c r="CJ85" t="s">
        <v>221</v>
      </c>
    </row>
    <row r="86" spans="48:88" ht="13.2">
      <c r="CE86" t="s">
        <v>912</v>
      </c>
      <c r="CF86" t="s">
        <v>913</v>
      </c>
      <c r="CG86" t="s">
        <v>913</v>
      </c>
      <c r="CH86" t="s">
        <v>869</v>
      </c>
      <c r="CI86" t="s">
        <v>781</v>
      </c>
      <c r="CJ86" t="s">
        <v>306</v>
      </c>
    </row>
    <row r="87" spans="48:88" ht="13.2">
      <c r="CE87" t="s">
        <v>914</v>
      </c>
      <c r="CF87" t="s">
        <v>915</v>
      </c>
      <c r="CG87" t="s">
        <v>915</v>
      </c>
      <c r="CH87" t="s">
        <v>869</v>
      </c>
      <c r="CI87" t="s">
        <v>784</v>
      </c>
      <c r="CJ87" t="s">
        <v>306</v>
      </c>
    </row>
    <row r="88" spans="48:88" ht="13.2">
      <c r="CE88" t="s">
        <v>916</v>
      </c>
      <c r="CF88" t="s">
        <v>917</v>
      </c>
      <c r="CG88" t="s">
        <v>917</v>
      </c>
      <c r="CH88" t="s">
        <v>869</v>
      </c>
      <c r="CI88" t="s">
        <v>787</v>
      </c>
      <c r="CJ88" t="s">
        <v>147</v>
      </c>
    </row>
    <row r="89" spans="48:88" ht="13.2">
      <c r="CE89" t="s">
        <v>918</v>
      </c>
      <c r="CF89" t="s">
        <v>919</v>
      </c>
      <c r="CG89" t="s">
        <v>919</v>
      </c>
      <c r="CH89" t="s">
        <v>869</v>
      </c>
      <c r="CI89" t="s">
        <v>790</v>
      </c>
      <c r="CJ89" t="s">
        <v>147</v>
      </c>
    </row>
    <row r="90" spans="48:88" ht="13.2">
      <c r="CE90" t="s">
        <v>920</v>
      </c>
      <c r="CF90" t="s">
        <v>921</v>
      </c>
      <c r="CG90" t="s">
        <v>921</v>
      </c>
      <c r="CH90" t="s">
        <v>869</v>
      </c>
      <c r="CI90" t="s">
        <v>793</v>
      </c>
      <c r="CJ90" t="s">
        <v>147</v>
      </c>
    </row>
    <row r="91" spans="48:89" ht="13.2">
      <c r="CE91" t="s">
        <v>922</v>
      </c>
      <c r="CF91" t="s">
        <v>923</v>
      </c>
      <c r="CG91" t="s">
        <v>923</v>
      </c>
      <c r="CH91" t="s">
        <v>869</v>
      </c>
      <c r="CI91" t="s">
        <v>796</v>
      </c>
      <c r="CJ91" t="s">
        <v>397</v>
      </c>
      <c r="CK91" s="48">
        <v>109.897</v>
      </c>
    </row>
    <row r="92" spans="48:88" ht="13.2">
      <c r="CE92" t="s">
        <v>924</v>
      </c>
      <c r="CF92" t="s">
        <v>925</v>
      </c>
      <c r="CG92" t="s">
        <v>925</v>
      </c>
      <c r="CH92" t="s">
        <v>869</v>
      </c>
      <c r="CI92" t="s">
        <v>799</v>
      </c>
      <c r="CJ92" t="s">
        <v>482</v>
      </c>
    </row>
    <row r="93" spans="48:88" ht="13.2">
      <c r="CE93" t="s">
        <v>926</v>
      </c>
      <c r="CF93" t="s">
        <v>927</v>
      </c>
      <c r="CG93" t="s">
        <v>927</v>
      </c>
      <c r="CH93" t="s">
        <v>869</v>
      </c>
      <c r="CI93" t="s">
        <v>802</v>
      </c>
      <c r="CJ93" t="s">
        <v>306</v>
      </c>
    </row>
    <row r="94" spans="48:88" ht="13.2">
      <c r="CE94" t="s">
        <v>928</v>
      </c>
      <c r="CF94" t="s">
        <v>929</v>
      </c>
      <c r="CG94" t="s">
        <v>929</v>
      </c>
      <c r="CH94" t="s">
        <v>869</v>
      </c>
      <c r="CI94" t="s">
        <v>805</v>
      </c>
      <c r="CJ94" t="s">
        <v>147</v>
      </c>
    </row>
    <row r="95" spans="48:88" ht="13.2">
      <c r="CE95" t="s">
        <v>930</v>
      </c>
      <c r="CF95" t="s">
        <v>931</v>
      </c>
      <c r="CG95" t="s">
        <v>931</v>
      </c>
      <c r="CH95" t="s">
        <v>932</v>
      </c>
      <c r="CI95" t="s">
        <v>933</v>
      </c>
      <c r="CJ95" t="s">
        <v>147</v>
      </c>
    </row>
    <row r="96" spans="48:74" ht="13.2"/>
    <row r="97" spans="48:74" ht="13.2"/>
    <row r="98" spans="48:74" ht="13.2"/>
    <row r="99" spans="48:74" ht="13.2"/>
    <row r="100" spans="48:74" ht="13.2"/>
  </sheetData>
  <mergeCells count="1">
    <mergeCell ref="A5:F5"/>
  </mergeCells>
  <pageMargins left="0.7" right="0.7" top="0.75" bottom="0.75" header="0.3" footer="0.3"/>
  <pageSetup horizontalDpi="300" verticalDpi="30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JobSheet">
    <pageSetUpPr fitToPage="1"/>
  </sheetPr>
  <dimension ref="A1:CL56"/>
  <sheetViews>
    <sheetView showZeros="0" view="pageBreakPreview" zoomScale="50" zoomScaleNormal="25" zoomScaleSheetLayoutView="50" zoomScalePageLayoutView="25" workbookViewId="0" topLeftCell="AY2">
      <selection pane="topLeft" activeCell="AY11" sqref="A11:XFD20"/>
    </sheetView>
  </sheetViews>
  <sheetFormatPr defaultColWidth="9.44140625" defaultRowHeight="39.9" customHeight="1"/>
  <cols>
    <col min="1" max="1" width="10.4285714285714" style="52" customWidth="1"/>
    <col min="2" max="2" width="42.7142857142857" style="52" customWidth="1"/>
    <col min="3" max="3" width="26.8571428571429" style="52" customWidth="1"/>
    <col min="4" max="4" width="15.7142857142857" style="52" customWidth="1"/>
    <col min="5" max="5" width="14.7142857142857" style="52" customWidth="1"/>
    <col min="6" max="6" width="16.7142857142857" style="52" customWidth="1"/>
    <col min="7" max="7" width="15.2857142857143" style="52" customWidth="1"/>
    <col min="8" max="8" width="19.2857142857143" style="52" customWidth="1"/>
    <col min="9" max="9" width="14.4285714285714" style="52" customWidth="1"/>
    <col min="10" max="10" width="15" style="53" customWidth="1"/>
    <col min="11" max="11" width="17" style="53" customWidth="1"/>
    <col min="12" max="12" width="16.5714285714286" style="52" customWidth="1"/>
    <col min="13" max="13" width="20.8571428571429" style="52" customWidth="1"/>
    <col min="14" max="14" width="15.2857142857143" style="52" customWidth="1"/>
    <col min="15" max="15" width="15.4285714285714" style="52" customWidth="1"/>
    <col min="16" max="16" width="12.5714285714286" style="52" customWidth="1"/>
    <col min="17" max="18" width="17.2857142857143" style="52" customWidth="1"/>
    <col min="19" max="19" width="16.2857142857143" style="52" customWidth="1"/>
    <col min="20" max="20" width="14.5714285714286" style="52" customWidth="1"/>
    <col min="21" max="21" width="20.8571428571429" style="52" customWidth="1"/>
    <col min="22" max="22" width="23.7142857142857" style="52" customWidth="1"/>
    <col min="23" max="23" width="24.4285714285714" customWidth="1"/>
    <col min="24" max="24" width="23.7142857142857" customWidth="1"/>
    <col min="25" max="25" width="23.4285714285714" customWidth="1"/>
    <col min="26" max="26" width="23.7142857142857" customWidth="1"/>
    <col min="27" max="27" width="23.2857142857143" customWidth="1"/>
    <col min="28" max="28" width="15.5714285714286" customWidth="1"/>
    <col min="29" max="29" width="22.4285714285714" customWidth="1"/>
    <col min="30" max="30" width="21.8571428571429" customWidth="1"/>
    <col min="31" max="31" width="25.4285714285714" customWidth="1"/>
    <col min="32" max="32" width="16.1428571428571" customWidth="1"/>
    <col min="33" max="33" width="22.2857142857143" customWidth="1"/>
    <col min="34" max="34" width="16.2857142857143" customWidth="1"/>
    <col min="35" max="35" width="12.1428571428571" customWidth="1"/>
    <col min="36" max="37" width="15.1428571428571" customWidth="1"/>
    <col min="38" max="40" width="16.8571428571429" customWidth="1"/>
    <col min="41" max="41" width="13.7142857142857" customWidth="1"/>
    <col min="42" max="42" width="16.2857142857143" customWidth="1"/>
    <col min="43" max="43" width="16.8571428571429" customWidth="1"/>
    <col min="44" max="44" width="20" customWidth="1"/>
    <col min="45" max="45" width="14.4285714285714" customWidth="1"/>
    <col min="46" max="46" width="13.4285714285714" customWidth="1"/>
    <col min="47" max="47" width="13.7142857142857" customWidth="1"/>
    <col min="48" max="48" width="14.7142857142857" customWidth="1"/>
    <col min="49" max="49" width="19.5714285714286" customWidth="1"/>
    <col min="50" max="50" width="17.7142857142857" customWidth="1"/>
    <col min="51" max="51" width="21.2857142857143" customWidth="1"/>
    <col min="52" max="52" width="21.1428571428571" customWidth="1"/>
    <col min="53" max="53" width="20" customWidth="1"/>
    <col min="54" max="54" width="19.7142857142857" customWidth="1"/>
    <col min="55" max="55" width="19.8571428571429" customWidth="1"/>
    <col min="56" max="56" width="13" customWidth="1"/>
    <col min="57" max="57" width="16.5714285714286" customWidth="1"/>
    <col min="58" max="58" width="41.2857142857143" customWidth="1"/>
    <col min="59" max="59" width="5.71428571428571" customWidth="1"/>
    <col min="60" max="60" width="12.8571428571429" customWidth="1"/>
    <col min="61" max="61" width="13.5714285714286" customWidth="1"/>
    <col min="62" max="62" width="13.7142857142857" customWidth="1"/>
    <col min="63" max="63" width="28" customWidth="1"/>
    <col min="64" max="64" width="17.7142857142857" customWidth="1"/>
    <col min="65" max="65" width="19.1428571428571" customWidth="1"/>
    <col min="66" max="66" width="16.2857142857143" customWidth="1"/>
    <col min="67" max="67" width="19.1428571428571" customWidth="1"/>
    <col min="68" max="68" width="19.4285714285714" customWidth="1"/>
    <col min="69" max="69" width="19.1428571428571" customWidth="1"/>
    <col min="70" max="70" width="19.7142857142857" customWidth="1"/>
    <col min="71" max="71" width="18.7142857142857" customWidth="1"/>
    <col min="72" max="72" width="19.2857142857143" customWidth="1"/>
    <col min="73" max="73" width="18.2857142857143" customWidth="1"/>
    <col min="74" max="74" width="15.4285714285714" customWidth="1"/>
    <col min="75" max="75" width="15.8571428571429" customWidth="1"/>
    <col min="76" max="77" width="16.7142857142857" customWidth="1"/>
    <col min="78" max="78" width="17.2857142857143" customWidth="1"/>
    <col min="79" max="79" width="17.7142857142857" customWidth="1"/>
    <col min="80" max="80" width="18.7142857142857" customWidth="1"/>
    <col min="81" max="81" width="18.5714285714286" customWidth="1"/>
    <col min="82" max="82" width="17.7142857142857" customWidth="1"/>
    <col min="83" max="83" width="17.8571428571429" customWidth="1"/>
    <col min="84" max="84" width="18.7142857142857" customWidth="1"/>
    <col min="85" max="85" width="15" customWidth="1"/>
    <col min="86" max="86" width="15.1428571428571" customWidth="1"/>
    <col min="87" max="87" width="17.1428571428571" customWidth="1"/>
    <col min="88" max="88" width="15.5714285714286" customWidth="1"/>
    <col min="89" max="89" width="16.1428571428571" customWidth="1"/>
    <col min="90" max="90" width="16.7142857142857" customWidth="1"/>
  </cols>
  <sheetData>
    <row r="1" spans="1:58" s="30" customFormat="1" ht="219" customHeight="1">
      <c r="A1" s="5" t="s">
        <v>522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</row>
    <row r="2" spans="1:58" s="41" customFormat="1" ht="50.1" customHeight="1">
      <c r="A2" s="183" t="s">
        <v>7</v>
      </c>
      <c r="B2" s="183"/>
      <c r="C2" s="183"/>
      <c r="D2" s="184"/>
      <c r="E2" s="184"/>
      <c r="F2" s="184"/>
      <c r="G2" s="184"/>
      <c r="H2" s="184" t="s">
        <v>118</v>
      </c>
      <c r="I2" s="184"/>
      <c r="J2" s="184"/>
      <c r="K2" s="184"/>
      <c r="L2" s="184"/>
      <c r="M2" s="3" t="str">
        <f>Data!BF5</f>
        <v>Leurs, Nigel</v>
      </c>
      <c r="N2" s="3"/>
      <c r="O2" s="3"/>
      <c r="P2" s="3"/>
      <c r="Q2" s="3"/>
      <c r="R2" s="3"/>
      <c r="S2" s="3"/>
      <c r="T2" s="3"/>
      <c r="U2" s="3"/>
      <c r="V2" s="4" t="s">
        <v>4</v>
      </c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</row>
    <row r="3" spans="1:58" s="41" customFormat="1" ht="50.1" customHeight="1">
      <c r="A3" s="2" t="s">
        <v>143</v>
      </c>
      <c r="B3" s="2"/>
      <c r="C3" s="2"/>
      <c r="D3" s="182" t="str">
        <f>Data!BC5</f>
        <v>12201</v>
      </c>
      <c r="E3" s="182"/>
      <c r="F3" s="182"/>
      <c r="G3" s="182"/>
      <c r="H3" s="187" t="s">
        <v>8</v>
      </c>
      <c r="I3" s="187"/>
      <c r="J3" s="187"/>
      <c r="K3" s="187"/>
      <c r="L3" s="187"/>
      <c r="M3" s="3" t="str">
        <f>TRIM(Data!AX5)</f>
        <v>Barrier Doors</v>
      </c>
      <c r="N3" s="3"/>
      <c r="O3" s="3"/>
      <c r="P3" s="3"/>
      <c r="Q3" s="3"/>
      <c r="R3" s="3"/>
      <c r="S3" s="3"/>
      <c r="T3" s="3"/>
      <c r="U3" s="3"/>
      <c r="V3" s="3" t="str">
        <f>TRIM(Data!BG5)</f>
        <v/>
      </c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</row>
    <row r="4" spans="1:58" s="42" customFormat="1" ht="50.1" customHeight="1">
      <c r="A4" s="186" t="s">
        <v>15</v>
      </c>
      <c r="B4" s="186"/>
      <c r="C4" s="186"/>
      <c r="D4" s="182" t="str">
        <f>Data!BD5</f>
        <v>A</v>
      </c>
      <c r="E4" s="182"/>
      <c r="F4" s="182"/>
      <c r="G4" s="182"/>
      <c r="H4" s="187" t="s">
        <v>137</v>
      </c>
      <c r="I4" s="187"/>
      <c r="J4" s="187"/>
      <c r="K4" s="187"/>
      <c r="L4" s="187"/>
      <c r="M4" s="3" t="str">
        <f>LEFT(Data!BA5,10)</f>
        <v>22/09/2026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</row>
    <row r="5" spans="1:58" s="42" customFormat="1" ht="50.1" customHeight="1">
      <c r="A5" s="185" t="s">
        <v>9</v>
      </c>
      <c r="B5" s="185"/>
      <c r="C5" s="185"/>
      <c r="D5" s="1" t="str">
        <f>Data!AY5</f>
        <v>26/08/2026 12:00:00 AM</v>
      </c>
      <c r="E5" s="1"/>
      <c r="F5" s="1"/>
      <c r="G5" s="1"/>
      <c r="H5" s="182" t="s">
        <v>12</v>
      </c>
      <c r="I5" s="182"/>
      <c r="J5" s="182"/>
      <c r="K5" s="182"/>
      <c r="L5" s="182"/>
      <c r="M5" s="3" t="str">
        <f>TRIM(Data!BF5)</f>
        <v>Leurs, Nigel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</row>
    <row r="6" spans="1:58" s="42" customFormat="1" ht="50.1" customHeight="1">
      <c r="A6" s="188" t="str">
        <f>Data!CZ5</f>
        <v>Retail Customer</v>
      </c>
      <c r="B6" s="188"/>
      <c r="C6" s="188"/>
      <c r="D6" s="188"/>
      <c r="E6" s="188"/>
      <c r="F6" s="188"/>
      <c r="G6" s="188"/>
      <c r="H6" s="182"/>
      <c r="I6" s="182"/>
      <c r="J6" s="182"/>
      <c r="K6" s="182"/>
      <c r="L6" s="182"/>
      <c r="M6" s="3" t="str">
        <f>CONCATENATE(Data!BH5," ",Data!BI5," ",Data!BJ5," ",Data!BK5," ",Data!BL5)</f>
        <v xml:space="preserve"> 30  Timbertop Drive </v>
      </c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</row>
    <row r="7" spans="1:58" s="42" customFormat="1" ht="50.1" customHeight="1">
      <c r="A7" s="188"/>
      <c r="B7" s="188"/>
      <c r="C7" s="188"/>
      <c r="D7" s="188"/>
      <c r="E7" s="188"/>
      <c r="F7" s="188"/>
      <c r="G7" s="188"/>
      <c r="H7" s="182"/>
      <c r="I7" s="182"/>
      <c r="J7" s="182"/>
      <c r="K7" s="182"/>
      <c r="L7" s="182"/>
      <c r="M7" s="3" t="str">
        <f>CONCATENATE(Data!BM5," ",Data!BN5," ",Data!BO5," ",Data!BP5)</f>
        <v>Mount Helen VIC 3350 Australia</v>
      </c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</row>
    <row r="8" spans="1:90" s="49" customFormat="1" ht="50.1" customHeight="1">
      <c r="A8" s="9" t="s">
        <v>142</v>
      </c>
      <c r="B8" s="13" t="s">
        <v>156</v>
      </c>
      <c r="C8" s="12" t="s">
        <v>120</v>
      </c>
      <c r="D8" s="11" t="s">
        <v>150</v>
      </c>
      <c r="E8" s="11" t="s">
        <v>175</v>
      </c>
      <c r="F8" s="10" t="s">
        <v>145</v>
      </c>
      <c r="G8" s="11" t="s">
        <v>11</v>
      </c>
      <c r="H8" s="11" t="s">
        <v>168</v>
      </c>
      <c r="I8" s="13" t="s">
        <v>215</v>
      </c>
      <c r="J8" s="13" t="s">
        <v>167</v>
      </c>
      <c r="K8" s="13" t="s">
        <v>503</v>
      </c>
      <c r="L8" s="13" t="s">
        <v>181</v>
      </c>
      <c r="M8" s="13" t="s">
        <v>159</v>
      </c>
      <c r="N8" s="13" t="s">
        <v>158</v>
      </c>
      <c r="O8" s="13" t="s">
        <v>157</v>
      </c>
      <c r="P8" s="13" t="s">
        <v>177</v>
      </c>
      <c r="Q8" s="13" t="s">
        <v>210</v>
      </c>
      <c r="R8" s="13" t="s">
        <v>458</v>
      </c>
      <c r="S8" s="13" t="s">
        <v>508</v>
      </c>
      <c r="T8" s="13" t="s">
        <v>507</v>
      </c>
      <c r="U8" s="13" t="s">
        <v>211</v>
      </c>
      <c r="V8" s="13" t="s">
        <v>462</v>
      </c>
      <c r="W8" s="13" t="s">
        <v>463</v>
      </c>
      <c r="X8" s="13" t="s">
        <v>464</v>
      </c>
      <c r="Y8" s="13" t="s">
        <v>465</v>
      </c>
      <c r="Z8" s="13" t="s">
        <v>451</v>
      </c>
      <c r="AA8" s="13" t="s">
        <v>407</v>
      </c>
      <c r="AB8" s="13" t="s">
        <v>452</v>
      </c>
      <c r="AC8" s="13" t="s">
        <v>454</v>
      </c>
      <c r="AD8" s="13" t="s">
        <v>450</v>
      </c>
      <c r="AE8" s="13" t="s">
        <v>381</v>
      </c>
      <c r="AF8" s="13" t="s">
        <v>186</v>
      </c>
      <c r="AG8" s="13" t="s">
        <v>453</v>
      </c>
      <c r="AH8" s="13" t="s">
        <v>510</v>
      </c>
      <c r="AI8" s="13" t="s">
        <v>183</v>
      </c>
      <c r="AJ8" s="13" t="s">
        <v>184</v>
      </c>
      <c r="AK8" s="13" t="s">
        <v>664</v>
      </c>
      <c r="AL8" s="13" t="s">
        <v>222</v>
      </c>
      <c r="AM8" s="13" t="s">
        <v>404</v>
      </c>
      <c r="AN8" s="13" t="s">
        <v>663</v>
      </c>
      <c r="AO8" s="13" t="s">
        <v>348</v>
      </c>
      <c r="AP8" s="13" t="s">
        <v>346</v>
      </c>
      <c r="AQ8" s="13" t="s">
        <v>461</v>
      </c>
      <c r="AR8" s="13" t="s">
        <v>393</v>
      </c>
      <c r="AS8" s="13" t="s">
        <v>405</v>
      </c>
      <c r="AT8" s="13" t="s">
        <v>212</v>
      </c>
      <c r="AU8" s="13" t="s">
        <v>185</v>
      </c>
      <c r="AV8" s="12" t="s">
        <v>161</v>
      </c>
      <c r="AW8" s="12" t="s">
        <v>162</v>
      </c>
      <c r="AX8" s="12" t="s">
        <v>163</v>
      </c>
      <c r="AY8" s="13" t="s">
        <v>164</v>
      </c>
      <c r="AZ8" s="10" t="s">
        <v>151</v>
      </c>
      <c r="BA8" s="10" t="s">
        <v>418</v>
      </c>
      <c r="BB8" s="13" t="s">
        <v>148</v>
      </c>
      <c r="BC8" s="13" t="s">
        <v>466</v>
      </c>
      <c r="BD8" s="13" t="s">
        <v>467</v>
      </c>
      <c r="BE8" s="13" t="s">
        <v>468</v>
      </c>
      <c r="BF8" s="13" t="s">
        <v>5</v>
      </c>
      <c r="BG8" s="124"/>
      <c r="BH8" s="13" t="s">
        <v>154</v>
      </c>
      <c r="BI8" s="13" t="s">
        <v>155</v>
      </c>
      <c r="BJ8" s="13" t="s">
        <v>506</v>
      </c>
      <c r="BK8" s="13" t="s">
        <v>334</v>
      </c>
      <c r="BL8" s="13" t="s">
        <v>332</v>
      </c>
      <c r="BM8" s="13" t="s">
        <v>333</v>
      </c>
      <c r="BN8" s="13" t="s">
        <v>673</v>
      </c>
      <c r="BO8" s="8" t="s">
        <v>675</v>
      </c>
      <c r="BP8" s="8" t="s">
        <v>677</v>
      </c>
      <c r="BQ8" s="8" t="s">
        <v>676</v>
      </c>
      <c r="BR8" s="13" t="s">
        <v>337</v>
      </c>
      <c r="BS8" s="13" t="s">
        <v>338</v>
      </c>
      <c r="BT8" s="13" t="s">
        <v>338</v>
      </c>
      <c r="BU8" s="13" t="s">
        <v>313</v>
      </c>
      <c r="BV8" s="13" t="s">
        <v>307</v>
      </c>
      <c r="BW8" s="13" t="s">
        <v>349</v>
      </c>
      <c r="BX8" s="13" t="s">
        <v>266</v>
      </c>
      <c r="BY8" s="13" t="s">
        <v>353</v>
      </c>
      <c r="BZ8" s="13" t="s">
        <v>354</v>
      </c>
      <c r="CA8" s="13" t="s">
        <v>365</v>
      </c>
      <c r="CB8" s="13" t="s">
        <v>366</v>
      </c>
      <c r="CC8" s="13" t="s">
        <v>360</v>
      </c>
      <c r="CD8" s="13" t="s">
        <v>362</v>
      </c>
      <c r="CE8" s="13" t="s">
        <v>368</v>
      </c>
      <c r="CF8" s="13" t="s">
        <v>369</v>
      </c>
      <c r="CG8" s="13" t="s">
        <v>361</v>
      </c>
      <c r="CH8" s="13" t="s">
        <v>363</v>
      </c>
      <c r="CI8" s="13" t="s">
        <v>370</v>
      </c>
      <c r="CJ8" s="13" t="s">
        <v>371</v>
      </c>
      <c r="CK8" s="13" t="s">
        <v>364</v>
      </c>
      <c r="CL8" s="13" t="s">
        <v>409</v>
      </c>
    </row>
    <row r="9" spans="1:90" s="49" customFormat="1" ht="14.25" customHeight="1" hidden="1">
      <c r="A9" s="9"/>
      <c r="B9" s="13"/>
      <c r="C9" s="12"/>
      <c r="D9" s="11"/>
      <c r="E9" s="11"/>
      <c r="F9" s="10"/>
      <c r="G9" s="11"/>
      <c r="H9" s="11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2"/>
      <c r="AW9" s="12"/>
      <c r="AX9" s="12"/>
      <c r="AY9" s="13"/>
      <c r="AZ9" s="10"/>
      <c r="BA9" s="10"/>
      <c r="BB9" s="13"/>
      <c r="BC9" s="13"/>
      <c r="BD9" s="13"/>
      <c r="BE9" s="13"/>
      <c r="BF9" s="13"/>
      <c r="BG9" s="124"/>
      <c r="BH9" s="13"/>
      <c r="BI9" s="13"/>
      <c r="BJ9" s="13"/>
      <c r="BK9" s="13"/>
      <c r="BL9" s="13"/>
      <c r="BM9" s="13"/>
      <c r="BN9" s="13"/>
      <c r="BO9" s="7"/>
      <c r="BP9" s="7"/>
      <c r="BQ9" s="7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</row>
    <row r="10" spans="1:90" s="50" customFormat="1" ht="90" customHeight="1">
      <c r="A10" s="9"/>
      <c r="B10" s="13"/>
      <c r="C10" s="12"/>
      <c r="D10" s="11"/>
      <c r="E10" s="11"/>
      <c r="F10" s="10"/>
      <c r="G10" s="11"/>
      <c r="H10" s="11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2"/>
      <c r="AW10" s="12"/>
      <c r="AX10" s="12"/>
      <c r="AY10" s="13"/>
      <c r="AZ10" s="10"/>
      <c r="BA10" s="10"/>
      <c r="BB10" s="13"/>
      <c r="BC10" s="13"/>
      <c r="BD10" s="13"/>
      <c r="BE10" s="13"/>
      <c r="BF10" s="13"/>
      <c r="BG10" s="124"/>
      <c r="BH10" s="13"/>
      <c r="BI10" s="13"/>
      <c r="BJ10" s="13"/>
      <c r="BK10" s="13"/>
      <c r="BL10" s="13"/>
      <c r="BM10" s="13"/>
      <c r="BN10" s="13"/>
      <c r="BO10" s="6"/>
      <c r="BP10" s="6"/>
      <c r="BQ10" s="6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</row>
    <row r="11" spans="1:90" s="75" customFormat="1" ht="69.75">
      <c r="A11" s="69">
        <f>Data!AW11</f>
        <v>1</v>
      </c>
      <c r="B11" s="55" t="str">
        <f>IF(Data!BE11="","",MID(Data!BE11,6,80))</f>
        <v>Barrier Door Alu-Gard Perforated Aluminium Paperbark</v>
      </c>
      <c r="C11" s="56" t="str">
        <f>Data!AY11</f>
        <v>Rumpus</v>
      </c>
      <c r="D11" s="76">
        <f>SUM(Data!BA11)</f>
        <v>940</v>
      </c>
      <c r="E11" s="76">
        <f>SUM(Data!BB11)</f>
        <v>2046</v>
      </c>
      <c r="F11" s="77" t="str">
        <f t="array" ref="F11">bpLOOKUP(Data!$AV11,"Size",CustOrdOpt,6,FALSE)</f>
        <v>Opening</v>
      </c>
      <c r="G11" s="77" t="str">
        <f t="array" ref="G11">bpLOOKUP(Data!$AV11,"FIT",CustOrdOpt,6,FALSE)</f>
        <v>Inside</v>
      </c>
      <c r="H11" s="77" t="str">
        <f t="array" ref="H11">bpLOOKUP(Data!$AV11,"FIXING",CustOrdOpt,6,FALSE)</f>
        <v>Aluminium</v>
      </c>
      <c r="I11" s="55" t="str">
        <f t="array" ref="I11">bpLOOKUP(Data!$AV11,"SINGLE",CustOrdOpt,6,FALSE)</f>
        <v>Single</v>
      </c>
      <c r="J11" s="55" t="str">
        <f t="array" ref="J11">bpLOOKUP(Data!$AV11,"OPENTYPE",CustOrdOpt,6,FALSE)</f>
        <v>Sliding</v>
      </c>
      <c r="K11" s="55" t="str">
        <f t="array" ref="K11">IF(OR(J11="Hinged",J11="Sliding"),"None",bpLOOKUP(Data!$AV11,"STACKEROL",CustOrdOpt,6,FALSE))</f>
        <v>None</v>
      </c>
      <c r="L11" s="55" t="str">
        <f t="array" ref="L11">bpLOOKUP(Data!$AV11,"HINGEATTACHED",CustOrdOpt,6,FALSE)</f>
        <v/>
      </c>
      <c r="M11" s="55" t="str">
        <f t="array" ref="M11">bpLOOKUP(Data!$AV11,"LOCKS",CustOrdOpt,6,FALSE)</f>
        <v>Single Lock</v>
      </c>
      <c r="N11" s="55" t="str">
        <f t="array" ref="N11">bpLOOKUP(Data!$AV11,"HANDLECODE",CustOrdOpt,6,FALSE)</f>
        <v>BOL - Bottom of Lock</v>
      </c>
      <c r="O11" s="55" t="str">
        <f t="array" ref="O11">IF(OR(Data!BA11="",N11="Not Required"),"",bpLOOKUP(Data!$AV11,"HANDLEHEIGHT",CustOrdOpt,6,FALSE))</f>
        <v>1120</v>
      </c>
      <c r="P11" s="55" t="str">
        <f t="array" ref="P11">bpLOOKUP(Data!$AV11,"LOCKSIDE",CustOrdOpt,6,FALSE)</f>
        <v>Left</v>
      </c>
      <c r="Q11" s="55" t="str">
        <f t="array" ref="Q11">bpLOOKUP(Data!$AV11,"LOCKCOLOUR",CustOrdOpt,6,FALSE)</f>
        <v>Paperbark</v>
      </c>
      <c r="R11" s="55" t="str">
        <f t="array" ref="R11">+bpLOOKUP(Data!$AV11,"STRIKER",CustOrdOpt,6,FALSE)</f>
        <v/>
      </c>
      <c r="S11" s="55" t="str">
        <f t="array" ref="S11">bpLOOKUP(Data!$AV11,"BLOCK",CustOrdOpt,6,FALSE)</f>
        <v/>
      </c>
      <c r="T11" s="55" t="str">
        <f t="array" ref="T11">bpLOOKUP(Data!$AV11,"TLOCK",CustOrdOpt,6,FALSE)</f>
        <v/>
      </c>
      <c r="U11" s="55" t="str">
        <f t="array" ref="U11">bpLOOKUP(Data!$AV11,"CLOSERCOLOUR",CustOrdOpt,6,FALSE)</f>
        <v>Not Required</v>
      </c>
      <c r="V11" s="55" t="str">
        <f t="array" ref="V11">bpLOOKUP(Data!$AV11,"DLOCKS",CustOrdOpt,6,FALSE)</f>
        <v/>
      </c>
      <c r="W11" s="55" t="str">
        <f t="array" ref="W11">bpLOOKUP(Data!$AV11,"DHANDLECODE",CustOrdOpt,6,FALSE)</f>
        <v/>
      </c>
      <c r="X11" s="55" t="str">
        <f t="array" ref="X11">IF(OR(Data!BH11="",W11="Not Required"),"",bpLOOKUP(Data!$AV11,"DHANDLEHEIGHT",CustOrdOpt,6,FALSE))</f>
        <v/>
      </c>
      <c r="Y11" s="55" t="str">
        <f t="array" ref="Y11">bpLOOKUP(Data!$AV11,"DHINGESIDE",CustOrdOpt,6,FALSE)</f>
        <v/>
      </c>
      <c r="Z11" s="55" t="str">
        <f t="array" ref="Z11">bpLOOKUP(Data!$AV11,"COLOURTYPE",CustOrdOpt,6,FALSE)</f>
        <v/>
      </c>
      <c r="AA11" s="55" t="str">
        <f t="array" ref="AA11">bpLOOKUP(Data!$AV11,"COLOUR",CustOrdOpt,6,FALSE)</f>
        <v/>
      </c>
      <c r="AB11" s="55" t="str">
        <f t="array" ref="AB11">bpLOOKUP(Data!$AV11,"DGRILCOLOUR",CustOrdOpt,6,FALSE)</f>
        <v/>
      </c>
      <c r="AC11" s="55" t="str">
        <f t="array" ref="AC11">bpLOOKUP(Data!$AV11,"DGPCCOLOUR",CustOrdOpt,6,FALSE)</f>
        <v/>
      </c>
      <c r="AD11" s="55" t="str">
        <f t="array" ref="AD11">bpLOOKUP(Data!$AV11,"CCASTD",CustOrdOpt,6,FALSE)</f>
        <v/>
      </c>
      <c r="AE11" s="55" t="str">
        <f t="array" ref="AE11">bpLOOKUP(Data!$AV11,"MESH",CustOrdOpt,6,FALSE)</f>
        <v/>
      </c>
      <c r="AF11" s="55" t="str">
        <f t="array" ref="AF11">bpLOOKUP(Data!$AV11,"DVACOLOUR",CustOrdOpt,6,FALSE)</f>
        <v/>
      </c>
      <c r="AG11" s="55" t="str">
        <f t="array" ref="AG11">bpLOOKUP(Data!$AV11,"DVAPCCOLOUR",CustOrdOpt,6,FALSE)</f>
        <v/>
      </c>
      <c r="AH11" s="55" t="str">
        <f t="array" ref="AH11">bpLOOKUP(Data!$AV11,"KEYALIKE",CustOrdOpt,6,FALSE)</f>
        <v>Standard</v>
      </c>
      <c r="AI11" s="55" t="str">
        <f t="array" ref="AI11">bpLOOKUP(Data!$AV11,"MIDRAIL",CustOrdOpt,6,FALSE)</f>
        <v>No</v>
      </c>
      <c r="AJ11" s="68" t="str">
        <f t="array" ref="AJ11">IF(AI11="Yes - Centre",BI11/2,bpLOOKUP(Data!$AV11,"MIDRAILHEIGHT",CustOrdOpt,6,FALSE))</f>
        <v/>
      </c>
      <c r="AK11" s="68" t="str">
        <f t="array" ref="AK11">bpLOOKUP(Data!$AV11,"MIDRAILCOLOUR",CustOrdOpt,6,FALSE)</f>
        <v/>
      </c>
      <c r="AL11" s="55" t="str">
        <f t="array" ref="AL11">bpLOOKUP(Data!$AV11,"FZ",CustOrdOpt,6,FALSE)</f>
        <v>F &amp; Z Frames</v>
      </c>
      <c r="AM11" s="55" t="str">
        <f t="array" ref="AM11">bpLOOKUP(Data!$AV11,"LONGLEG",CustOrdOpt,6,FALSE)</f>
        <v/>
      </c>
      <c r="AN11" s="55" t="str">
        <f t="array" ref="AN11">bpLOOKUP(Data!$AV11,"LONGLEGCOLOUR",CustOrdOpt,6,FALSE)</f>
        <v/>
      </c>
      <c r="AO11" s="54" t="str">
        <f t="array" ref="AO11">bpLOOKUP(Data!$AV11,"DOUBLE",CustOrdOpt,6,FALSE)</f>
        <v/>
      </c>
      <c r="AP11" s="54" t="str">
        <f t="array" ref="AP11">bpLOOKUP(Data!$AV11,"DOUBLEWIDTH",CustOrdOpt,6,FALSE)</f>
        <v/>
      </c>
      <c r="AQ11" s="55" t="str">
        <f t="array" ref="AQ11">bpLOOKUP(Data!$AV11,"DDPARTS",CustOrdOpt,6,FALSE)</f>
        <v/>
      </c>
      <c r="AR11" s="55" t="str">
        <f t="array" ref="AR11">bpLOOKUP(Data!$AV11,"INTERLOCKS",CustOrdOpt,6,FALSE)</f>
        <v>U Receiving Channel</v>
      </c>
      <c r="AS11" s="55" t="str">
        <f t="array" ref="AS11">bpLOOKUP(Data!$AV11,"SLIDINGTRACK",CustOrdOpt,6,FALSE)</f>
        <v>Existing Track</v>
      </c>
      <c r="AT11" s="68" t="str">
        <f t="array" ref="AT11">IF(bpLOOKUP(Data!$AV11,"SLIDINGTRACKMM",CustOrdOpt,6,FALSE)="","",VALUE(bpLOOKUP(Data!$AV11,"SLIDINGTRACKMM",CustOrdOpt,6,FALSE)))</f>
        <v/>
      </c>
      <c r="AU11" s="55" t="str">
        <f t="array" ref="AU11">bpLOOKUP(Data!$AV11,"GUIDEBLOCKS",CustOrdOpt,6,FALSE)</f>
        <v>No</v>
      </c>
      <c r="AV11" s="55" t="str">
        <f t="array" ref="AV11">(bpLOOKUP(Data!$AV11,"DOGDOOR",CustOrdOpt,6,FALSE))</f>
        <v>No</v>
      </c>
      <c r="AW11" s="55" t="str">
        <f t="array" ref="AW11">(bpLOOKUP(Data!$AV11,"DOGDOORSIZE",CustOrdOpt,6,FALSE))</f>
        <v/>
      </c>
      <c r="AX11" s="55" t="str">
        <f t="array" ref="AX11">(bpLOOKUP(Data!$AV11,"DOGDOORCOLOUR",CustOrdOpt,6,FALSE))</f>
        <v/>
      </c>
      <c r="AY11" s="55" t="str">
        <f t="array" ref="AY11">(bpLOOKUP(Data!$AV11,"DOGDOORPOSITION",CustOrdOpt,6,FALSE))</f>
        <v/>
      </c>
      <c r="AZ11" s="77" t="str">
        <f t="array" ref="AZ11">bpLOOKUP(Data!$AV11,"SIDEBYSIDE",CustOrdOpt,6,FALSE)</f>
        <v>No</v>
      </c>
      <c r="BA11" s="77" t="str">
        <f t="array" ref="BA11">bpLOOKUP(Data!$AV11,"SIDEBYSIDE2",CustOrdOpt,6,FALSE)</f>
        <v>No</v>
      </c>
      <c r="BB11" s="55" t="str">
        <f t="array" ref="BB11">bpLOOKUP(Data!$AV11,"INSTALLATION",CustOrdOpt,6,FALSE)</f>
        <v>Installation</v>
      </c>
      <c r="BC11" s="55" t="str">
        <f t="array" ref="BC11">bpLOOKUP(Data!$AV11,"INSTALLG",CustOrdOpt,6,FALSE)</f>
        <v>Square Opening</v>
      </c>
      <c r="BD11" s="55" t="str">
        <f t="array" ref="BD11">bpLOOKUP(Data!$AV11,"TAKEDOWN",CustOrdOpt,6,FALSE)</f>
        <v>Yes</v>
      </c>
      <c r="BE11" s="55" t="str">
        <f t="array" ref="BE11">bpLOOKUP(Data!$AV11,"CHECKM",CustOrdOpt,6,FALSE)</f>
        <v>No</v>
      </c>
      <c r="BF11" s="55" t="str">
        <f t="array" ref="BF11">bpLOOKUP(Data!$AV11,"Notes",CustOrdOpt,6,FALSE)</f>
        <v/>
      </c>
      <c r="BG11" s="125"/>
      <c r="BH11" s="40">
        <f>IF(Data!BA11="","",IF(F11="Making",Data!BA11,IF(AND(OR(V11="N/A (Sliding/Stacker)",M11="Bass Latch"),OR(F11="Opening",F11="Pip to Pip")),Data!BA11-VLOOKUP(CONCATENATE(I11,J11,H11,AM11),FixDeduct,2,FALSE)-VLOOKUP(AZ11,SideDeduct,2,FALSE)-VLOOKUP(BA11,SideDeduct,2,FALSE)+VLOOKUP(K11,STACKEROL,2,FALSE)+4,IF(OR(F11="Opening",F11="Pip to Pip"),Data!BA11-VLOOKUP(CONCATENATE(I11,J11,H11,AM11),FixDeduct,2,FALSE)-VLOOKUP(AZ11,SideDeduct,2,FALSE)-VLOOKUP(BA11,SideDeduct,2,FALSE)+VLOOKUP(K11,STACKEROL,2,FALSE)))))</f>
        <v>936</v>
      </c>
      <c r="BI11" s="40">
        <f>IF(Data!BB11="","",IF(OR(F11="Opening",F11="Pip to Pip"),Data!BB11-VLOOKUP(CONCATENATE(I11,J11,H11,AM11),FixDeduct,3,FALSE)-VLOOKUP(AZ11,SideDeduct,3,FALSE)-VLOOKUP(BA11,SideDeduct,3,FALSE)-VLOOKUP(AS11,Track,3,FALSE),IF(F11="Making",Data!BB11)))</f>
        <v>2036</v>
      </c>
      <c r="BJ11" s="69">
        <f>IF(Data!AV11="","",IF(J11="Hinged",BH11-2,BH11-5))</f>
        <v>931</v>
      </c>
      <c r="BK11" s="55" t="str">
        <f>Data!BO11</f>
        <v>Alu-Gard Perforated Aluminium</v>
      </c>
      <c r="BL11" s="55" t="str">
        <f>IF(Data!AV11="","",IF(OR(BK11="Flyscreen",BK11="Alu-Screen",BK11="Pet Mesh",BK11="Stainless Steel"),"",IF(OR(BK11="Woven Stainless Steel",BK11="Invisi-Gard Woven Stainless Steel"),(INDEX(WSSGrid,MATCH(BN11,WSSDrop,1),MATCH(BM11,WSSWidth,1))),IF(BK11="Standard Diamond",(INDEX(SDGGrid,MATCH(BN11,SDGDrop,1),MATCH(BM11,SDGWidth,1))),IF(BK11="Decorative Diamond",(INDEX(DDGGrid,MATCH(BN11,DDGDrop,1),MATCH(BM11,DDGWidth,1))),IF(BK11="Privacy-Gard",(INDEX(PGGrid,MATCH(BN11,PGDrop,1),MATCH(BM11,PGWidth,1))),IF(BK11="Woven Galvanised Steel",(INDEX(WGSGRID,MATCH(BN11,WGSDROP,1),MATCH(BM11,WGSWIDTH,1))),IF(BK11="Alu-Gard Perforated Aluminium",(INDEX(AGGrid,MATCH(BN11,AGDrop,1),MATCH(BM11,AGWidth,1)))))))))))</f>
        <v>900 x 2000</v>
      </c>
      <c r="BM11" s="55">
        <f>IF(BK11="Flyscreen","",IF(BK11="Invisi-Gard Woven Stainless Steel",BH11-105,IF(Data!BA11="","",BH11-114)))</f>
        <v>822</v>
      </c>
      <c r="BN11" s="55">
        <f>IF(OR(BK11="Flyscreen",Data!BA11=""),"",IF(AND(AI11&lt;&gt;"No",BK11="Invisi-Gard Woven Stainless Steel"),BI11-120,IF(AI11&lt;&gt;"No",BI11-119,IF(BK11="Invisi-Gard Woven Stainless Steel",BI11-105,BI11-114))))</f>
        <v>1922</v>
      </c>
      <c r="BO11" s="55" t="b">
        <f>IF(Data!AW11="","",IF('Mitred Cutting'!C11="Invisi-Gard",BH11-149))</f>
        <v>0</v>
      </c>
      <c r="BP11" s="55" t="str">
        <f>IF(Data!AW11="","",IF(AND('Mitred Cutting'!C11="Invisi-Gard",OR(AI11="Yes",AI11="Yes - Centre")),ROUNDDOWN(AJ11-117,0),IF('Mitred Cutting'!C11="Invisi-Gard",BI11-160,"")))</f>
        <v/>
      </c>
      <c r="BQ11" s="55" t="str">
        <f>IF(OR(AI11="No",Data!AW11=""),"",IF('Mitred Cutting'!C11="Invisi-Gard",BI11-BP11-235,""))</f>
        <v/>
      </c>
      <c r="BR11" s="55" t="str">
        <f>IF(OR(AE11="",AE11="Flyscreen",AE11="Fibreglass Mesh",AE11="Pet Mesh"),"",IF(OR(AE11="Woven Stainless Steel",AE11="Invisi-Gard Woven Stainless Steel"),(INDEX(WSSGrid,MATCH(BT11,WSSDrop,1),MATCH(BS11,WSSWidth,1))),IF(AE11="Standard Diamond",(INDEX(SDGGrid,MATCH(BT11,SDGDrop,1),MATCH(BS11,SDGWidth,1))),IF(AE11="DVA Mesh",(INDEX(DVAGrid,MATCH(BT11,DVADrop,1),MATCH(BS11,DVAWidth,1))),IF(AE11="Decorative Diamond",(INDEX(DDGGrid,MATCH(BT11,DDGDrop,1),MATCH(BS11,DDGWidth,1))),IF(AE11="Privacy-Gard",(INDEX(PGGrid,MATCH(BT11,PGDrop,1),MATCH(BS11,PGWidth,1))),IF(AE11="Woven Galvanised Steel",(INDEX(WGSGRID,MATCH(BT11,WGSDROP,1),MATCH(BS11,WGSWIDTH,1))),IF(AE11="Perforated Aluminium",(INDEX(AGGrid,MATCH(BT11,AGDrop,1),MATCH(BS11,AGWidth,1)))))))))))</f>
        <v/>
      </c>
      <c r="BS11" s="55" t="str">
        <f t="shared" si="0" ref="BS11:BS20">IF(OR(AE11="",AE11="Fibreglass Mesh",AE11="Pet Mesh",AE11="Tuff Mesh"),"",IF(OR(AE11="",AE11="Woven Stainless Steel",AE11="Perforated Aluminium",AE11="DVA Mesh",AE11="Privacy Plus"),BH11-114))</f>
        <v/>
      </c>
      <c r="BT11" s="55" t="str">
        <f t="shared" si="1" ref="BT11:BT20">IF(OR(AE11="",AE11="Fibreglass Mesh",AE11="Pet Mesh",AE11="Tuff Mesh"),"",IF(OR(AE11="",AE11="Woven Stainless Steel",AE11="Perforated Aluminium",AE11="Privacy Plus",AE11="DVA Mesh"),BI11-114))</f>
        <v/>
      </c>
      <c r="BU11" s="55" t="str">
        <f t="shared" si="2" ref="BU11:BU20">IF(CK11="","",IF(OR(CK11="Hinged Adjustable Low",CK11="Hinged Adjustable High",CK11="Hinged Adjustable Both Ends"),"Hinged Adjustable",IF(OR(CK11="Sliding Adjustable Low",CK11="Stacker Adjustable Low",CK11="Sliding Adjustable High",CK11="Stacker Adjustable High",CK11="Stacker Adjustable Both Ends",CK11="Sliding Adjustable Both Ends"),"Sliding Adjustable",CK11)))</f>
        <v/>
      </c>
      <c r="BV11" s="68" t="str">
        <f>IF(Data!AV11="","",IF(AND(J11="Hinged",M11="Not Required"),BI11/2,IF(OR(M11="Push 2 Go Triple Lock",M11="Triple Lock",M11="Ultra Secua Digital Triple Lock"),BI11/2,"")))</f>
        <v/>
      </c>
      <c r="BW11" s="68" t="str">
        <f>IF(BV11="","",IF(BV11&lt;BX11,"Yes","No"))</f>
        <v/>
      </c>
      <c r="BX11" s="55">
        <f>IF(OR(Data!BA11="",V11="N/A (Sliding/Stacker)",AND(OR(J11="Sliding",J11="Stacker"),M11="Not Required"),M11="Bass Latch"),"",IF(AND(J11="Hinged",M11="Not Required"),(X11-5)-VLOOKUP(W11,LockCode,2,FALSE),IF(AND(O11&lt;&gt;"",OR(F11="Opening",F11="Pip to Pip")),(O11-5)-VLOOKUP(N11,LockCode,2,FALSE),IF(AND(X11&lt;&gt;"",OR(F11="Opening",F11="Pip to Pip")),(X11-5)-VLOOKUP(W11,LockCode,2,FALSE),IF(AND(O11&lt;&gt;"",F11="Making"),(O11)-VLOOKUP(N11,LockCode,2,FALSE),IF(AND(X11&lt;&gt;"",F11="Making"),(X11)-VLOOKUP(W11,LockCode,2,FALSE)))))))</f>
        <v>1205</v>
      </c>
      <c r="BY11" s="55" t="str">
        <f>IF(OR(Data!BA11="",BV11=""),"",IF(O11&lt;&gt;"",BX11-VLOOKUP(CONCATENATE(J11,M11),LockAccess,3,FALSE),BX11-VLOOKUP(CONCATENATE(J11,V11),LockAccess,3,FALSE)))</f>
        <v/>
      </c>
      <c r="BZ11" s="55" t="str">
        <f>IF(OR(Data!BA11="",BV11=""),"",IF(O11&lt;&gt;"",BX11+VLOOKUP(CONCATENATE(J11,M11),LockAccess,4,FALSE),BX11+VLOOKUP(CONCATENATE(J11,V11),LockAccess,4,FALSE)))</f>
        <v/>
      </c>
      <c r="CA11" s="68" t="str">
        <f>IF(OR(Data!BE11="",BV11=""),"",IF(BY11&lt;150,"Yes","No"))</f>
        <v/>
      </c>
      <c r="CB11" s="68" t="str">
        <f>IF(OR(Data!BA11="",BV11=""),"",IF(BI11-BZ11&lt;150,"Yes","No"))</f>
        <v/>
      </c>
      <c r="CC11" s="68" t="str">
        <f>IF(OR(Data!BA11="",BV11=""),"",IF(O11&lt;&gt;"",BX11-VLOOKUP(CONCATENATE(J11,M11),LockAccess,5,FALSE),IF(X11&lt;&gt;"",BX11-VLOOKUP(CONCATENATE(J11,V11),LockAccess,5,FALSE))))</f>
        <v/>
      </c>
      <c r="CD11" s="68" t="str">
        <f>IF(OR(Data!BA11="",BV11=""),"",IF(O11&lt;&gt;"",BX11+VLOOKUP(CONCATENATE(J11,M11),LockAccess,6,FALSE),IF(X11&lt;&gt;"",BX11+VLOOKUP(CONCATENATE(J11,V11),LockAccess,6,FALSE))))</f>
        <v/>
      </c>
      <c r="CE11" s="68" t="str">
        <f>IF(OR(Data!BE11="",BV11=""),"",IF(CC11&lt;150,"Yes","No"))</f>
        <v/>
      </c>
      <c r="CF11" s="68" t="str">
        <f>IF(OR(Data!BA11="",BV11=""),"",IF(BI11-CD11&lt;150,"Yes","No"))</f>
        <v/>
      </c>
      <c r="CG11" s="68" t="str">
        <f>IF(OR(Data!BA11="",BV11=""),"",IF(O11&lt;&gt;"",BX11-VLOOKUP(CONCATENATE(J11,M11),LockAccess,7,FALSE),IF(X11&lt;&gt;"",BX11-VLOOKUP(CONCATENATE(J11,V11),LockAccess,7,FALSE))))</f>
        <v/>
      </c>
      <c r="CH11" s="68" t="str">
        <f>IF(OR(Data!BA11="",BV11=""),"",IF(O11&lt;&gt;"",BX11+VLOOKUP(CONCATENATE(J11,M11),LockAccess,8,FALSE),IF(X11&lt;&gt;"",BX11+VLOOKUP(CONCATENATE(J11,V11),LockAccess,8,FALSE))))</f>
        <v/>
      </c>
      <c r="CI11" s="68" t="str">
        <f>IF(OR(Data!BE11="",BV11=""),"",IF(CG11&lt;150,"Yes","No"))</f>
        <v/>
      </c>
      <c r="CJ11" s="68" t="str">
        <f>IF(OR(Data!BA11="",BV11=""),"",IF(BI11-CH11&lt;150,"Yes","No"))</f>
        <v/>
      </c>
      <c r="CK11" s="55" t="str">
        <f>IF(OR(Data!AV11="",M11="Single Lock",M11="Push 2 Go Single Lock",M11="Bass Latch",V11="N/A (Sliding/Stacker)",V11="Single Lock"),"",IF(OR(S11&lt;&gt;"",T11&lt;&gt;"",M11="Ultra Secua Digital Triple Lock"),J11&amp;" Adjustable",IF(VLOOKUP(CA11&amp;CB11,HighTripleLockKits,2,FALSE)="High",J11&amp;" High",IF(VLOOKUP(CE11&amp;CF11,LowTripleLockKits,2,FALSE)="Low",J11&amp;" Low",IF(VLOOKUP(CI11&amp;CJ11,PoolTripleLockKits,2,FALSE)="Pool",J11&amp;" Pool",IF(J11="Hinged","Hinged Adjustable",IF(OR(J11="Sliding",J11="Stacker"),"Sliding Adjustable","")))))))</f>
        <v/>
      </c>
      <c r="CL11" s="55" t="e">
        <f>IF(Data!AV11="","",VLOOKUP(CONCATENATE(J11,Data!BO11,M11,AI11,AV11),ChecklistCodes,2,FALSE))</f>
        <v>#N/A</v>
      </c>
    </row>
    <row r="12" spans="1:90" s="75" customFormat="1" ht="69.75">
      <c r="A12" s="69">
        <f>Data!AW12</f>
        <v>2</v>
      </c>
      <c r="B12" s="55" t="str">
        <f>IF(Data!BE12="","",MID(Data!BE12,6,80))</f>
        <v>Barrier Door Alu-Gard Perforated Aluminium Paperbark</v>
      </c>
      <c r="C12" s="56" t="str">
        <f>Data!AY12</f>
        <v>Laundry</v>
      </c>
      <c r="D12" s="76">
        <f>SUM(Data!BA12)</f>
        <v>821</v>
      </c>
      <c r="E12" s="76">
        <f>SUM(Data!BB12)</f>
        <v>2054</v>
      </c>
      <c r="F12" s="77" t="str">
        <f t="array" ref="F12">bpLOOKUP(Data!$AV12,"Size",CustOrdOpt,6,FALSE)</f>
        <v>Opening</v>
      </c>
      <c r="G12" s="77" t="str">
        <f t="array" ref="G12">bpLOOKUP(Data!$AV12,"FIT",CustOrdOpt,6,FALSE)</f>
        <v>Inside</v>
      </c>
      <c r="H12" s="77" t="str">
        <f t="array" ref="H12">bpLOOKUP(Data!$AV12,"FIXING",CustOrdOpt,6,FALSE)</f>
        <v>Timber</v>
      </c>
      <c r="I12" s="55" t="str">
        <f t="array" ref="I12">bpLOOKUP(Data!$AV12,"SINGLE",CustOrdOpt,6,FALSE)</f>
        <v>Single</v>
      </c>
      <c r="J12" s="55" t="str">
        <f t="array" ref="J12">bpLOOKUP(Data!$AV12,"OPENTYPE",CustOrdOpt,6,FALSE)</f>
        <v>Hinged</v>
      </c>
      <c r="K12" s="55" t="str">
        <f t="array" ref="K12">IF(OR(J12="Hinged",J12="Sliding"),"None",bpLOOKUP(Data!$AV12,"STACKEROL",CustOrdOpt,6,FALSE))</f>
        <v>None</v>
      </c>
      <c r="L12" s="55" t="str">
        <f t="array" ref="L12">bpLOOKUP(Data!$AV12,"HINGEATTACHED",CustOrdOpt,6,FALSE)</f>
        <v>Yes</v>
      </c>
      <c r="M12" s="55" t="str">
        <f t="array" ref="M12">bpLOOKUP(Data!$AV12,"LOCKS",CustOrdOpt,6,FALSE)</f>
        <v>Single Lock</v>
      </c>
      <c r="N12" s="55" t="str">
        <f t="array" ref="N12">bpLOOKUP(Data!$AV12,"HANDLECODE",CustOrdOpt,6,FALSE)</f>
        <v>MOT - Middle of Tongue</v>
      </c>
      <c r="O12" s="55" t="str">
        <f t="array" ref="O12">IF(OR(Data!BA12="",N12="Not Required"),"",bpLOOKUP(Data!$AV12,"HANDLEHEIGHT",CustOrdOpt,6,FALSE))</f>
        <v>1100</v>
      </c>
      <c r="P12" s="55" t="str">
        <f t="array" ref="P12">bpLOOKUP(Data!$AV12,"LOCKSIDE",CustOrdOpt,6,FALSE)</f>
        <v>Right</v>
      </c>
      <c r="Q12" s="55" t="str">
        <f t="array" ref="Q12">bpLOOKUP(Data!$AV12,"LOCKCOLOUR",CustOrdOpt,6,FALSE)</f>
        <v>Paperbark</v>
      </c>
      <c r="R12" s="55" t="str">
        <f t="array" ref="R12">+bpLOOKUP(Data!$AV12,"STRIKER",CustOrdOpt,6,FALSE)</f>
        <v>Standard</v>
      </c>
      <c r="S12" s="55" t="str">
        <f t="array" ref="S12">bpLOOKUP(Data!$AV12,"BLOCK",CustOrdOpt,6,FALSE)</f>
        <v/>
      </c>
      <c r="T12" s="55" t="str">
        <f t="array" ref="T12">bpLOOKUP(Data!$AV12,"TLOCK",CustOrdOpt,6,FALSE)</f>
        <v/>
      </c>
      <c r="U12" s="55" t="str">
        <f t="array" ref="U12">bpLOOKUP(Data!$AV12,"CLOSERCOLOUR",CustOrdOpt,6,FALSE)</f>
        <v>Paperbark</v>
      </c>
      <c r="V12" s="55" t="str">
        <f t="array" ref="V12">bpLOOKUP(Data!$AV12,"DLOCKS",CustOrdOpt,6,FALSE)</f>
        <v/>
      </c>
      <c r="W12" s="55" t="str">
        <f t="array" ref="W12">bpLOOKUP(Data!$AV12,"DHANDLECODE",CustOrdOpt,6,FALSE)</f>
        <v/>
      </c>
      <c r="X12" s="55" t="str">
        <f t="array" ref="X12">IF(OR(Data!BH12="",W12="Not Required"),"",bpLOOKUP(Data!$AV12,"DHANDLEHEIGHT",CustOrdOpt,6,FALSE))</f>
        <v/>
      </c>
      <c r="Y12" s="55" t="str">
        <f t="array" ref="Y12">bpLOOKUP(Data!$AV12,"DHINGESIDE",CustOrdOpt,6,FALSE)</f>
        <v/>
      </c>
      <c r="Z12" s="55" t="str">
        <f t="array" ref="Z12">bpLOOKUP(Data!$AV12,"COLOURTYPE",CustOrdOpt,6,FALSE)</f>
        <v/>
      </c>
      <c r="AA12" s="55" t="str">
        <f t="array" ref="AA12">bpLOOKUP(Data!$AV12,"COLOUR",CustOrdOpt,6,FALSE)</f>
        <v/>
      </c>
      <c r="AB12" s="55" t="str">
        <f t="array" ref="AB12">bpLOOKUP(Data!$AV12,"DGRILCOLOUR",CustOrdOpt,6,FALSE)</f>
        <v/>
      </c>
      <c r="AC12" s="55" t="str">
        <f t="array" ref="AC12">bpLOOKUP(Data!$AV12,"DGPCCOLOUR",CustOrdOpt,6,FALSE)</f>
        <v/>
      </c>
      <c r="AD12" s="55" t="str">
        <f t="array" ref="AD12">bpLOOKUP(Data!$AV12,"CCASTD",CustOrdOpt,6,FALSE)</f>
        <v/>
      </c>
      <c r="AE12" s="55" t="str">
        <f t="array" ref="AE12">bpLOOKUP(Data!$AV12,"MESH",CustOrdOpt,6,FALSE)</f>
        <v/>
      </c>
      <c r="AF12" s="55" t="str">
        <f t="array" ref="AF12">bpLOOKUP(Data!$AV12,"DVACOLOUR",CustOrdOpt,6,FALSE)</f>
        <v/>
      </c>
      <c r="AG12" s="55" t="str">
        <f t="array" ref="AG12">bpLOOKUP(Data!$AV12,"DVAPCCOLOUR",CustOrdOpt,6,FALSE)</f>
        <v/>
      </c>
      <c r="AH12" s="55" t="str">
        <f t="array" ref="AH12">bpLOOKUP(Data!$AV12,"KEYALIKE",CustOrdOpt,6,FALSE)</f>
        <v>Standard</v>
      </c>
      <c r="AI12" s="55" t="str">
        <f t="array" ref="AI12">bpLOOKUP(Data!$AV12,"MIDRAIL",CustOrdOpt,6,FALSE)</f>
        <v>No</v>
      </c>
      <c r="AJ12" s="68" t="str">
        <f t="array" ref="AJ12">IF(AI12="Yes - Centre",BI12/2,bpLOOKUP(Data!$AV12,"MIDRAILHEIGHT",CustOrdOpt,6,FALSE))</f>
        <v/>
      </c>
      <c r="AK12" s="68" t="str">
        <f t="array" ref="AK12">bpLOOKUP(Data!$AV12,"MIDRAILCOLOUR",CustOrdOpt,6,FALSE)</f>
        <v/>
      </c>
      <c r="AL12" s="55" t="str">
        <f t="array" ref="AL12">bpLOOKUP(Data!$AV12,"FZ",CustOrdOpt,6,FALSE)</f>
        <v/>
      </c>
      <c r="AM12" s="55" t="str">
        <f t="array" ref="AM12">bpLOOKUP(Data!$AV12,"LONGLEG",CustOrdOpt,6,FALSE)</f>
        <v/>
      </c>
      <c r="AN12" s="55" t="str">
        <f t="array" ref="AN12">bpLOOKUP(Data!$AV12,"LONGLEGCOLOUR",CustOrdOpt,6,FALSE)</f>
        <v/>
      </c>
      <c r="AO12" s="54" t="str">
        <f t="array" ref="AO12">bpLOOKUP(Data!$AV12,"DOUBLE",CustOrdOpt,6,FALSE)</f>
        <v/>
      </c>
      <c r="AP12" s="54" t="str">
        <f t="array" ref="AP12">bpLOOKUP(Data!$AV12,"DOUBLEWIDTH",CustOrdOpt,6,FALSE)</f>
        <v/>
      </c>
      <c r="AQ12" s="55" t="str">
        <f t="array" ref="AQ12">bpLOOKUP(Data!$AV12,"DDPARTS",CustOrdOpt,6,FALSE)</f>
        <v/>
      </c>
      <c r="AR12" s="55" t="str">
        <f t="array" ref="AR12">bpLOOKUP(Data!$AV12,"INTERLOCKS",CustOrdOpt,6,FALSE)</f>
        <v>No</v>
      </c>
      <c r="AS12" s="55" t="str">
        <f t="array" ref="AS12">bpLOOKUP(Data!$AV12,"SLIDINGTRACK",CustOrdOpt,6,FALSE)</f>
        <v>No</v>
      </c>
      <c r="AT12" s="68" t="str">
        <f t="array" ref="AT12">IF(bpLOOKUP(Data!$AV12,"SLIDINGTRACKMM",CustOrdOpt,6,FALSE)="","",VALUE(bpLOOKUP(Data!$AV12,"SLIDINGTRACKMM",CustOrdOpt,6,FALSE)))</f>
        <v/>
      </c>
      <c r="AU12" s="55" t="str">
        <f t="array" ref="AU12">bpLOOKUP(Data!$AV12,"GUIDEBLOCKS",CustOrdOpt,6,FALSE)</f>
        <v/>
      </c>
      <c r="AV12" s="55" t="str">
        <f t="array" ref="AV12">(bpLOOKUP(Data!$AV12,"DOGDOOR",CustOrdOpt,6,FALSE))</f>
        <v>No</v>
      </c>
      <c r="AW12" s="55" t="str">
        <f t="array" ref="AW12">(bpLOOKUP(Data!$AV12,"DOGDOORSIZE",CustOrdOpt,6,FALSE))</f>
        <v/>
      </c>
      <c r="AX12" s="55" t="str">
        <f t="array" ref="AX12">(bpLOOKUP(Data!$AV12,"DOGDOORCOLOUR",CustOrdOpt,6,FALSE))</f>
        <v/>
      </c>
      <c r="AY12" s="55" t="str">
        <f t="array" ref="AY12">(bpLOOKUP(Data!$AV12,"DOGDOORPOSITION",CustOrdOpt,6,FALSE))</f>
        <v/>
      </c>
      <c r="AZ12" s="77" t="str">
        <f t="array" ref="AZ12">bpLOOKUP(Data!$AV12,"SIDEBYSIDE",CustOrdOpt,6,FALSE)</f>
        <v>5mm off Drop Only</v>
      </c>
      <c r="BA12" s="77" t="str">
        <f t="array" ref="BA12">bpLOOKUP(Data!$AV12,"SIDEBYSIDE2",CustOrdOpt,6,FALSE)</f>
        <v>No</v>
      </c>
      <c r="BB12" s="55" t="str">
        <f t="array" ref="BB12">bpLOOKUP(Data!$AV12,"INSTALLATION",CustOrdOpt,6,FALSE)</f>
        <v>Installation</v>
      </c>
      <c r="BC12" s="55" t="str">
        <f t="array" ref="BC12">bpLOOKUP(Data!$AV12,"INSTALLG",CustOrdOpt,6,FALSE)</f>
        <v>Slightly Out of Square Opening</v>
      </c>
      <c r="BD12" s="55" t="str">
        <f t="array" ref="BD12">bpLOOKUP(Data!$AV12,"TAKEDOWN",CustOrdOpt,6,FALSE)</f>
        <v>No</v>
      </c>
      <c r="BE12" s="55" t="str">
        <f t="array" ref="BE12">bpLOOKUP(Data!$AV12,"CHECKM",CustOrdOpt,6,FALSE)</f>
        <v>No</v>
      </c>
      <c r="BF12" s="55" t="str">
        <f t="array" ref="BF12">bpLOOKUP(Data!$AV12,"Notes",CustOrdOpt,6,FALSE)</f>
        <v/>
      </c>
      <c r="BG12" s="125"/>
      <c r="BH12" s="40">
        <f>IF(Data!BA12="","",IF(F12="Making",Data!BA12,IF(AND(OR(V12="N/A (Sliding/Stacker)",M12="Bass Latch"),OR(F12="Opening",F12="Pip to Pip")),Data!BA12-VLOOKUP(CONCATENATE(I12,J12,H12,AM12),FixDeduct,2,FALSE)-VLOOKUP(AZ12,SideDeduct,2,FALSE)-VLOOKUP(BA12,SideDeduct,2,FALSE)+VLOOKUP(K12,STACKEROL,2,FALSE)+4,IF(OR(F12="Opening",F12="Pip to Pip"),Data!BA12-VLOOKUP(CONCATENATE(I12,J12,H12,AM12),FixDeduct,2,FALSE)-VLOOKUP(AZ12,SideDeduct,2,FALSE)-VLOOKUP(BA12,SideDeduct,2,FALSE)+VLOOKUP(K12,STACKEROL,2,FALSE)))))</f>
        <v>814</v>
      </c>
      <c r="BI12" s="40">
        <f>IF(Data!BB12="","",IF(OR(F12="Opening",F12="Pip to Pip"),Data!BB12-VLOOKUP(CONCATENATE(I12,J12,H12,AM12),FixDeduct,3,FALSE)-VLOOKUP(AZ12,SideDeduct,3,FALSE)-VLOOKUP(BA12,SideDeduct,3,FALSE)-VLOOKUP(AS12,Track,3,FALSE),IF(F12="Making",Data!BB12)))</f>
        <v>2039</v>
      </c>
      <c r="BJ12" s="69">
        <f>IF(Data!AV12="","",IF(J12="Hinged",BH12-2,BH12-5))</f>
        <v>812</v>
      </c>
      <c r="BK12" s="55" t="str">
        <f>Data!BO12</f>
        <v>Alu-Gard Perforated Aluminium</v>
      </c>
      <c r="BL12" s="55" t="str">
        <f>IF(Data!AV12="","",IF(OR(BK12="Flyscreen",BK12="Alu-Screen",BK12="Pet Mesh",BK12="Stainless Steel"),"",IF(OR(BK12="Woven Stainless Steel",BK12="Invisi-Gard Woven Stainless Steel"),(INDEX(WSSGrid,MATCH(BN12,WSSDrop,1),MATCH(BM12,WSSWidth,1))),IF(BK12="Standard Diamond",(INDEX(SDGGrid,MATCH(BN12,SDGDrop,1),MATCH(BM12,SDGWidth,1))),IF(BK12="Decorative Diamond",(INDEX(DDGGrid,MATCH(BN12,DDGDrop,1),MATCH(BM12,DDGWidth,1))),IF(BK12="Privacy-Gard",(INDEX(PGGrid,MATCH(BN12,PGDrop,1),MATCH(BM12,PGWidth,1))),IF(BK12="Woven Galvanised Steel",(INDEX(WGSGRID,MATCH(BN12,WGSDROP,1),MATCH(BM12,WGSWIDTH,1))),IF(BK12="Alu-Gard Perforated Aluminium",(INDEX(AGGrid,MATCH(BN12,AGDrop,1),MATCH(BM12,AGWidth,1)))))))))))</f>
        <v>750 x 2000</v>
      </c>
      <c r="BM12" s="55">
        <f>IF(BK12="Flyscreen","",IF(BK12="Invisi-Gard Woven Stainless Steel",BH12-105,IF(Data!BA12="","",BH12-114)))</f>
        <v>700</v>
      </c>
      <c r="BN12" s="55">
        <f>IF(OR(BK12="Flyscreen",Data!BA12=""),"",IF(AND(AI12&lt;&gt;"No",BK12="Invisi-Gard Woven Stainless Steel"),BI12-120,IF(AI12&lt;&gt;"No",BI12-119,IF(BK12="Invisi-Gard Woven Stainless Steel",BI12-105,BI12-114))))</f>
        <v>1925</v>
      </c>
      <c r="BO12" s="55" t="b">
        <f>IF(Data!AW12="","",IF('Mitred Cutting'!C12="Invisi-Gard",BH12-149))</f>
        <v>0</v>
      </c>
      <c r="BP12" s="55" t="str">
        <f>IF(Data!AW12="","",IF(AND('Mitred Cutting'!C12="Invisi-Gard",OR(AI12="Yes",AI12="Yes - Centre")),ROUNDDOWN(AJ12-117,0),IF('Mitred Cutting'!C12="Invisi-Gard",BI12-160,"")))</f>
        <v/>
      </c>
      <c r="BQ12" s="55" t="str">
        <f>IF(OR(AI12="No",Data!AW12=""),"",IF('Mitred Cutting'!C12="Invisi-Gard",BI12-BP12-235,""))</f>
        <v/>
      </c>
      <c r="BR12" s="55" t="str">
        <f>IF(OR(AE12="",AE12="Flyscreen",AE12="Fibreglass Mesh",AE12="Pet Mesh"),"",IF(OR(AE12="Woven Stainless Steel",AE12="Invisi-Gard Woven Stainless Steel"),(INDEX(WSSGrid,MATCH(BT12,WSSDrop,1),MATCH(BS12,WSSWidth,1))),IF(AE12="Standard Diamond",(INDEX(SDGGrid,MATCH(BT12,SDGDrop,1),MATCH(BS12,SDGWidth,1))),IF(AE12="DVA Mesh",(INDEX(DVAGrid,MATCH(BT12,DVADrop,1),MATCH(BS12,DVAWidth,1))),IF(AE12="Decorative Diamond",(INDEX(DDGGrid,MATCH(BT12,DDGDrop,1),MATCH(BS12,DDGWidth,1))),IF(AE12="Privacy-Gard",(INDEX(PGGrid,MATCH(BT12,PGDrop,1),MATCH(BS12,PGWidth,1))),IF(AE12="Woven Galvanised Steel",(INDEX(WGSGRID,MATCH(BT12,WGSDROP,1),MATCH(BS12,WGSWIDTH,1))),IF(AE12="Perforated Aluminium",(INDEX(AGGrid,MATCH(BT12,AGDrop,1),MATCH(BS12,AGWidth,1)))))))))))</f>
        <v/>
      </c>
      <c r="BS12" s="55" t="str">
        <f t="shared" si="0"/>
        <v/>
      </c>
      <c r="BT12" s="55" t="str">
        <f t="shared" si="1"/>
        <v/>
      </c>
      <c r="BU12" s="55" t="str">
        <f t="shared" si="2"/>
        <v/>
      </c>
      <c r="BV12" s="68" t="str">
        <f>IF(Data!AV12="","",IF(AND(J12="Hinged",M12="Not Required"),BI12/2,IF(OR(M12="Push 2 Go Triple Lock",M12="Triple Lock",M12="Ultra Secua Digital Triple Lock"),BI12/2,"")))</f>
        <v/>
      </c>
      <c r="BW12" s="68" t="str">
        <f t="shared" si="3" ref="BW12:BW20">IF(BV12="","",IF(BV12&lt;BX12,"Yes","No"))</f>
        <v/>
      </c>
      <c r="BX12" s="55">
        <f>IF(OR(Data!BA12="",V12="N/A (Sliding/Stacker)",AND(OR(J12="Sliding",J12="Stacker"),M12="Not Required"),M12="Bass Latch"),"",IF(AND(J12="Hinged",M12="Not Required"),(X12-5)-VLOOKUP(W12,LockCode,2,FALSE),IF(AND(O12&lt;&gt;"",OR(F12="Opening",F12="Pip to Pip")),(O12-5)-VLOOKUP(N12,LockCode,2,FALSE),IF(AND(X12&lt;&gt;"",OR(F12="Opening",F12="Pip to Pip")),(X12-5)-VLOOKUP(W12,LockCode,2,FALSE),IF(AND(O12&lt;&gt;"",F12="Making"),(O12)-VLOOKUP(N12,LockCode,2,FALSE),IF(AND(X12&lt;&gt;"",F12="Making"),(X12)-VLOOKUP(W12,LockCode,2,FALSE)))))))</f>
        <v>1068</v>
      </c>
      <c r="BY12" s="55" t="str">
        <f>IF(OR(Data!BA12="",BV12=""),"",IF(O12&lt;&gt;"",BX12-VLOOKUP(CONCATENATE(J12,M12),LockAccess,3,FALSE),BX12-VLOOKUP(CONCATENATE(J12,V12),LockAccess,3,FALSE)))</f>
        <v/>
      </c>
      <c r="BZ12" s="55" t="str">
        <f>IF(OR(Data!BA12="",BV12=""),"",IF(O12&lt;&gt;"",BX12+VLOOKUP(CONCATENATE(J12,M12),LockAccess,4,FALSE),BX12+VLOOKUP(CONCATENATE(J12,V12),LockAccess,4,FALSE)))</f>
        <v/>
      </c>
      <c r="CA12" s="68" t="str">
        <f>IF(OR(Data!BE12="",BV12=""),"",IF(BY12&lt;150,"Yes","No"))</f>
        <v/>
      </c>
      <c r="CB12" s="68" t="str">
        <f>IF(OR(Data!BA12="",BV12=""),"",IF(BI12-BZ12&lt;150,"Yes","No"))</f>
        <v/>
      </c>
      <c r="CC12" s="68" t="str">
        <f>IF(OR(Data!BA12="",BV12=""),"",IF(O12&lt;&gt;"",BX12-VLOOKUP(CONCATENATE(J12,M12),LockAccess,5,FALSE),IF(X12&lt;&gt;"",BX12-VLOOKUP(CONCATENATE(J12,V12),LockAccess,5,FALSE))))</f>
        <v/>
      </c>
      <c r="CD12" s="68" t="str">
        <f>IF(OR(Data!BA12="",BV12=""),"",IF(O12&lt;&gt;"",BX12+VLOOKUP(CONCATENATE(J12,M12),LockAccess,6,FALSE),IF(X12&lt;&gt;"",BX12+VLOOKUP(CONCATENATE(J12,V12),LockAccess,6,FALSE))))</f>
        <v/>
      </c>
      <c r="CE12" s="68" t="str">
        <f>IF(OR(Data!BE12="",BV12=""),"",IF(CC12&lt;150,"Yes","No"))</f>
        <v/>
      </c>
      <c r="CF12" s="68" t="str">
        <f>IF(OR(Data!BA12="",BV12=""),"",IF(BI12-CD12&lt;150,"Yes","No"))</f>
        <v/>
      </c>
      <c r="CG12" s="68" t="str">
        <f>IF(OR(Data!BA12="",BV12=""),"",IF(O12&lt;&gt;"",BX12-VLOOKUP(CONCATENATE(J12,M12),LockAccess,7,FALSE),IF(X12&lt;&gt;"",BX12-VLOOKUP(CONCATENATE(J12,V12),LockAccess,7,FALSE))))</f>
        <v/>
      </c>
      <c r="CH12" s="68" t="str">
        <f>IF(OR(Data!BA12="",BV12=""),"",IF(O12&lt;&gt;"",BX12+VLOOKUP(CONCATENATE(J12,M12),LockAccess,8,FALSE),IF(X12&lt;&gt;"",BX12+VLOOKUP(CONCATENATE(J12,V12),LockAccess,8,FALSE))))</f>
        <v/>
      </c>
      <c r="CI12" s="68" t="str">
        <f>IF(OR(Data!BE12="",BV12=""),"",IF(CG12&lt;150,"Yes","No"))</f>
        <v/>
      </c>
      <c r="CJ12" s="68" t="str">
        <f>IF(OR(Data!BA12="",BV12=""),"",IF(BI12-CH12&lt;150,"Yes","No"))</f>
        <v/>
      </c>
      <c r="CK12" s="55" t="str">
        <f>IF(OR(Data!AV12="",M12="Single Lock",M12="Push 2 Go Single Lock",M12="Bass Latch",V12="N/A (Sliding/Stacker)",V12="Single Lock"),"",IF(OR(S12&lt;&gt;"",T12&lt;&gt;"",M12="Ultra Secua Digital Triple Lock"),J12&amp;" Adjustable",IF(VLOOKUP(CA12&amp;CB12,HighTripleLockKits,2,FALSE)="High",J12&amp;" High",IF(VLOOKUP(CE12&amp;CF12,LowTripleLockKits,2,FALSE)="Low",J12&amp;" Low",IF(VLOOKUP(CI12&amp;CJ12,PoolTripleLockKits,2,FALSE)="Pool",J12&amp;" Pool",IF(J12="Hinged","Hinged Adjustable",IF(OR(J12="Sliding",J12="Stacker"),"Sliding Adjustable","")))))))</f>
        <v/>
      </c>
      <c r="CL12" s="55" t="e">
        <f>IF(Data!AV12="","",VLOOKUP(CONCATENATE(J12,Data!BO12,M12,AI12,AV12),ChecklistCodes,2,FALSE))</f>
        <v>#N/A</v>
      </c>
    </row>
    <row r="13" spans="1:90" s="75" customFormat="1" ht="69.75">
      <c r="A13" s="69">
        <f>Data!AW13</f>
        <v>3</v>
      </c>
      <c r="B13" s="55" t="str">
        <f>IF(Data!BE13="","",MID(Data!BE13,6,80))</f>
        <v>Barrier Door Alu-Gard Perforated Aluminium Paperbark</v>
      </c>
      <c r="C13" s="56" t="str">
        <f>Data!AY13</f>
        <v>Kitchen</v>
      </c>
      <c r="D13" s="76">
        <f>SUM(Data!BA13)</f>
        <v>908</v>
      </c>
      <c r="E13" s="76">
        <f>SUM(Data!BB13)</f>
        <v>2078</v>
      </c>
      <c r="F13" s="77" t="str">
        <f t="array" ref="F13">bpLOOKUP(Data!$AV13,"Size",CustOrdOpt,6,FALSE)</f>
        <v>Opening</v>
      </c>
      <c r="G13" s="77" t="str">
        <f t="array" ref="G13">bpLOOKUP(Data!$AV13,"FIT",CustOrdOpt,6,FALSE)</f>
        <v>Inside</v>
      </c>
      <c r="H13" s="77" t="str">
        <f t="array" ref="H13">bpLOOKUP(Data!$AV13,"FIXING",CustOrdOpt,6,FALSE)</f>
        <v>Aluminium</v>
      </c>
      <c r="I13" s="55" t="str">
        <f t="array" ref="I13">bpLOOKUP(Data!$AV13,"SINGLE",CustOrdOpt,6,FALSE)</f>
        <v>Single</v>
      </c>
      <c r="J13" s="55" t="str">
        <f t="array" ref="J13">bpLOOKUP(Data!$AV13,"OPENTYPE",CustOrdOpt,6,FALSE)</f>
        <v>Sliding</v>
      </c>
      <c r="K13" s="55" t="str">
        <f t="array" ref="K13">IF(OR(J13="Hinged",J13="Sliding"),"None",bpLOOKUP(Data!$AV13,"STACKEROL",CustOrdOpt,6,FALSE))</f>
        <v>None</v>
      </c>
      <c r="L13" s="55" t="str">
        <f t="array" ref="L13">bpLOOKUP(Data!$AV13,"HINGEATTACHED",CustOrdOpt,6,FALSE)</f>
        <v/>
      </c>
      <c r="M13" s="55" t="str">
        <f t="array" ref="M13">bpLOOKUP(Data!$AV13,"LOCKS",CustOrdOpt,6,FALSE)</f>
        <v>Single Lock</v>
      </c>
      <c r="N13" s="55" t="str">
        <f t="array" ref="N13">bpLOOKUP(Data!$AV13,"HANDLECODE",CustOrdOpt,6,FALSE)</f>
        <v>BOL - Bottom of Lock</v>
      </c>
      <c r="O13" s="55" t="str">
        <f t="array" ref="O13">IF(OR(Data!BA13="",N13="Not Required"),"",bpLOOKUP(Data!$AV13,"HANDLEHEIGHT",CustOrdOpt,6,FALSE))</f>
        <v>1160</v>
      </c>
      <c r="P13" s="55" t="str">
        <f t="array" ref="P13">bpLOOKUP(Data!$AV13,"LOCKSIDE",CustOrdOpt,6,FALSE)</f>
        <v>Right</v>
      </c>
      <c r="Q13" s="55" t="str">
        <f t="array" ref="Q13">bpLOOKUP(Data!$AV13,"LOCKCOLOUR",CustOrdOpt,6,FALSE)</f>
        <v>Paperbark</v>
      </c>
      <c r="R13" s="55" t="str">
        <f t="array" ref="R13">+bpLOOKUP(Data!$AV13,"STRIKER",CustOrdOpt,6,FALSE)</f>
        <v/>
      </c>
      <c r="S13" s="55" t="str">
        <f t="array" ref="S13">bpLOOKUP(Data!$AV13,"BLOCK",CustOrdOpt,6,FALSE)</f>
        <v/>
      </c>
      <c r="T13" s="55" t="str">
        <f t="array" ref="T13">bpLOOKUP(Data!$AV13,"TLOCK",CustOrdOpt,6,FALSE)</f>
        <v/>
      </c>
      <c r="U13" s="55" t="str">
        <f t="array" ref="U13">bpLOOKUP(Data!$AV13,"CLOSERCOLOUR",CustOrdOpt,6,FALSE)</f>
        <v>Not Required</v>
      </c>
      <c r="V13" s="55" t="str">
        <f t="array" ref="V13">bpLOOKUP(Data!$AV13,"DLOCKS",CustOrdOpt,6,FALSE)</f>
        <v/>
      </c>
      <c r="W13" s="55" t="str">
        <f t="array" ref="W13">bpLOOKUP(Data!$AV13,"DHANDLECODE",CustOrdOpt,6,FALSE)</f>
        <v/>
      </c>
      <c r="X13" s="55" t="str">
        <f t="array" ref="X13">IF(OR(Data!BH13="",W13="Not Required"),"",bpLOOKUP(Data!$AV13,"DHANDLEHEIGHT",CustOrdOpt,6,FALSE))</f>
        <v/>
      </c>
      <c r="Y13" s="55" t="str">
        <f t="array" ref="Y13">bpLOOKUP(Data!$AV13,"DHINGESIDE",CustOrdOpt,6,FALSE)</f>
        <v/>
      </c>
      <c r="Z13" s="55" t="str">
        <f t="array" ref="Z13">bpLOOKUP(Data!$AV13,"COLOURTYPE",CustOrdOpt,6,FALSE)</f>
        <v/>
      </c>
      <c r="AA13" s="55" t="str">
        <f t="array" ref="AA13">bpLOOKUP(Data!$AV13,"COLOUR",CustOrdOpt,6,FALSE)</f>
        <v/>
      </c>
      <c r="AB13" s="55" t="str">
        <f t="array" ref="AB13">bpLOOKUP(Data!$AV13,"DGRILCOLOUR",CustOrdOpt,6,FALSE)</f>
        <v/>
      </c>
      <c r="AC13" s="55" t="str">
        <f t="array" ref="AC13">bpLOOKUP(Data!$AV13,"DGPCCOLOUR",CustOrdOpt,6,FALSE)</f>
        <v/>
      </c>
      <c r="AD13" s="55" t="str">
        <f t="array" ref="AD13">bpLOOKUP(Data!$AV13,"CCASTD",CustOrdOpt,6,FALSE)</f>
        <v/>
      </c>
      <c r="AE13" s="55" t="str">
        <f t="array" ref="AE13">bpLOOKUP(Data!$AV13,"MESH",CustOrdOpt,6,FALSE)</f>
        <v/>
      </c>
      <c r="AF13" s="55" t="str">
        <f t="array" ref="AF13">bpLOOKUP(Data!$AV13,"DVACOLOUR",CustOrdOpt,6,FALSE)</f>
        <v/>
      </c>
      <c r="AG13" s="55" t="str">
        <f t="array" ref="AG13">bpLOOKUP(Data!$AV13,"DVAPCCOLOUR",CustOrdOpt,6,FALSE)</f>
        <v/>
      </c>
      <c r="AH13" s="55" t="str">
        <f t="array" ref="AH13">bpLOOKUP(Data!$AV13,"KEYALIKE",CustOrdOpt,6,FALSE)</f>
        <v>Standard</v>
      </c>
      <c r="AI13" s="55" t="str">
        <f t="array" ref="AI13">bpLOOKUP(Data!$AV13,"MIDRAIL",CustOrdOpt,6,FALSE)</f>
        <v>No</v>
      </c>
      <c r="AJ13" s="68" t="str">
        <f t="array" ref="AJ13">IF(AI13="Yes - Centre",BI13/2,bpLOOKUP(Data!$AV13,"MIDRAILHEIGHT",CustOrdOpt,6,FALSE))</f>
        <v/>
      </c>
      <c r="AK13" s="68" t="str">
        <f t="array" ref="AK13">bpLOOKUP(Data!$AV13,"MIDRAILCOLOUR",CustOrdOpt,6,FALSE)</f>
        <v/>
      </c>
      <c r="AL13" s="55" t="str">
        <f t="array" ref="AL13">bpLOOKUP(Data!$AV13,"FZ",CustOrdOpt,6,FALSE)</f>
        <v>F &amp; Z Frames</v>
      </c>
      <c r="AM13" s="55" t="str">
        <f t="array" ref="AM13">bpLOOKUP(Data!$AV13,"LONGLEG",CustOrdOpt,6,FALSE)</f>
        <v/>
      </c>
      <c r="AN13" s="55" t="str">
        <f t="array" ref="AN13">bpLOOKUP(Data!$AV13,"LONGLEGCOLOUR",CustOrdOpt,6,FALSE)</f>
        <v/>
      </c>
      <c r="AO13" s="54" t="str">
        <f t="array" ref="AO13">bpLOOKUP(Data!$AV13,"DOUBLE",CustOrdOpt,6,FALSE)</f>
        <v/>
      </c>
      <c r="AP13" s="54" t="str">
        <f t="array" ref="AP13">bpLOOKUP(Data!$AV13,"DOUBLEWIDTH",CustOrdOpt,6,FALSE)</f>
        <v/>
      </c>
      <c r="AQ13" s="55" t="str">
        <f t="array" ref="AQ13">bpLOOKUP(Data!$AV13,"DDPARTS",CustOrdOpt,6,FALSE)</f>
        <v/>
      </c>
      <c r="AR13" s="55" t="str">
        <f t="array" ref="AR13">bpLOOKUP(Data!$AV13,"INTERLOCKS",CustOrdOpt,6,FALSE)</f>
        <v>No</v>
      </c>
      <c r="AS13" s="55" t="str">
        <f t="array" ref="AS13">bpLOOKUP(Data!$AV13,"SLIDINGTRACK",CustOrdOpt,6,FALSE)</f>
        <v>Existing Track</v>
      </c>
      <c r="AT13" s="68" t="str">
        <f t="array" ref="AT13">IF(bpLOOKUP(Data!$AV13,"SLIDINGTRACKMM",CustOrdOpt,6,FALSE)="","",VALUE(bpLOOKUP(Data!$AV13,"SLIDINGTRACKMM",CustOrdOpt,6,FALSE)))</f>
        <v/>
      </c>
      <c r="AU13" s="55" t="str">
        <f t="array" ref="AU13">bpLOOKUP(Data!$AV13,"GUIDEBLOCKS",CustOrdOpt,6,FALSE)</f>
        <v>Yes</v>
      </c>
      <c r="AV13" s="55" t="str">
        <f t="array" ref="AV13">(bpLOOKUP(Data!$AV13,"DOGDOOR",CustOrdOpt,6,FALSE))</f>
        <v>No</v>
      </c>
      <c r="AW13" s="55" t="str">
        <f t="array" ref="AW13">(bpLOOKUP(Data!$AV13,"DOGDOORSIZE",CustOrdOpt,6,FALSE))</f>
        <v/>
      </c>
      <c r="AX13" s="55" t="str">
        <f t="array" ref="AX13">(bpLOOKUP(Data!$AV13,"DOGDOORCOLOUR",CustOrdOpt,6,FALSE))</f>
        <v/>
      </c>
      <c r="AY13" s="55" t="str">
        <f t="array" ref="AY13">(bpLOOKUP(Data!$AV13,"DOGDOORPOSITION",CustOrdOpt,6,FALSE))</f>
        <v/>
      </c>
      <c r="AZ13" s="77" t="str">
        <f t="array" ref="AZ13">bpLOOKUP(Data!$AV13,"SIDEBYSIDE",CustOrdOpt,6,FALSE)</f>
        <v>No</v>
      </c>
      <c r="BA13" s="77" t="str">
        <f t="array" ref="BA13">bpLOOKUP(Data!$AV13,"SIDEBYSIDE2",CustOrdOpt,6,FALSE)</f>
        <v>No</v>
      </c>
      <c r="BB13" s="55" t="str">
        <f t="array" ref="BB13">bpLOOKUP(Data!$AV13,"INSTALLATION",CustOrdOpt,6,FALSE)</f>
        <v>Installation</v>
      </c>
      <c r="BC13" s="55" t="str">
        <f t="array" ref="BC13">bpLOOKUP(Data!$AV13,"INSTALLG",CustOrdOpt,6,FALSE)</f>
        <v>Square Opening</v>
      </c>
      <c r="BD13" s="55" t="str">
        <f t="array" ref="BD13">bpLOOKUP(Data!$AV13,"TAKEDOWN",CustOrdOpt,6,FALSE)</f>
        <v>Yes</v>
      </c>
      <c r="BE13" s="55" t="str">
        <f t="array" ref="BE13">bpLOOKUP(Data!$AV13,"CHECKM",CustOrdOpt,6,FALSE)</f>
        <v>No</v>
      </c>
      <c r="BF13" s="55" t="str">
        <f t="array" ref="BF13">bpLOOKUP(Data!$AV13,"Notes",CustOrdOpt,6,FALSE)</f>
        <v/>
      </c>
      <c r="BG13" s="125"/>
      <c r="BH13" s="40">
        <f>IF(Data!BA13="","",IF(F13="Making",Data!BA13,IF(AND(OR(V13="N/A (Sliding/Stacker)",M13="Bass Latch"),OR(F13="Opening",F13="Pip to Pip")),Data!BA13-VLOOKUP(CONCATENATE(I13,J13,H13,AM13),FixDeduct,2,FALSE)-VLOOKUP(AZ13,SideDeduct,2,FALSE)-VLOOKUP(BA13,SideDeduct,2,FALSE)+VLOOKUP(K13,STACKEROL,2,FALSE)+4,IF(OR(F13="Opening",F13="Pip to Pip"),Data!BA13-VLOOKUP(CONCATENATE(I13,J13,H13,AM13),FixDeduct,2,FALSE)-VLOOKUP(AZ13,SideDeduct,2,FALSE)-VLOOKUP(BA13,SideDeduct,2,FALSE)+VLOOKUP(K13,STACKEROL,2,FALSE)))))</f>
        <v>904</v>
      </c>
      <c r="BI13" s="40">
        <f>IF(Data!BB13="","",IF(OR(F13="Opening",F13="Pip to Pip"),Data!BB13-VLOOKUP(CONCATENATE(I13,J13,H13,AM13),FixDeduct,3,FALSE)-VLOOKUP(AZ13,SideDeduct,3,FALSE)-VLOOKUP(BA13,SideDeduct,3,FALSE)-VLOOKUP(AS13,Track,3,FALSE),IF(F13="Making",Data!BB13)))</f>
        <v>2068</v>
      </c>
      <c r="BJ13" s="69">
        <f>IF(Data!AV13="","",IF(J13="Hinged",BH13-2,BH13-5))</f>
        <v>899</v>
      </c>
      <c r="BK13" s="55" t="str">
        <f>Data!BO13</f>
        <v>Alu-Gard Perforated Aluminium</v>
      </c>
      <c r="BL13" s="55" t="str">
        <f>IF(Data!AV13="","",IF(OR(BK13="Flyscreen",BK13="Alu-Screen",BK13="Pet Mesh",BK13="Stainless Steel"),"",IF(OR(BK13="Woven Stainless Steel",BK13="Invisi-Gard Woven Stainless Steel"),(INDEX(WSSGrid,MATCH(BN13,WSSDrop,1),MATCH(BM13,WSSWidth,1))),IF(BK13="Standard Diamond",(INDEX(SDGGrid,MATCH(BN13,SDGDrop,1),MATCH(BM13,SDGWidth,1))),IF(BK13="Decorative Diamond",(INDEX(DDGGrid,MATCH(BN13,DDGDrop,1),MATCH(BM13,DDGWidth,1))),IF(BK13="Privacy-Gard",(INDEX(PGGrid,MATCH(BN13,PGDrop,1),MATCH(BM13,PGWidth,1))),IF(BK13="Woven Galvanised Steel",(INDEX(WGSGRID,MATCH(BN13,WGSDROP,1),MATCH(BM13,WGSWIDTH,1))),IF(BK13="Alu-Gard Perforated Aluminium",(INDEX(AGGrid,MATCH(BN13,AGDrop,1),MATCH(BM13,AGWidth,1)))))))))))</f>
        <v>900 x 2000</v>
      </c>
      <c r="BM13" s="55">
        <f>IF(BK13="Flyscreen","",IF(BK13="Invisi-Gard Woven Stainless Steel",BH13-105,IF(Data!BA13="","",BH13-114)))</f>
        <v>790</v>
      </c>
      <c r="BN13" s="55">
        <f>IF(OR(BK13="Flyscreen",Data!BA13=""),"",IF(AND(AI13&lt;&gt;"No",BK13="Invisi-Gard Woven Stainless Steel"),BI13-120,IF(AI13&lt;&gt;"No",BI13-119,IF(BK13="Invisi-Gard Woven Stainless Steel",BI13-105,BI13-114))))</f>
        <v>1954</v>
      </c>
      <c r="BO13" s="55" t="b">
        <f>IF(Data!AW13="","",IF('Mitred Cutting'!C13="Invisi-Gard",BH13-149))</f>
        <v>0</v>
      </c>
      <c r="BP13" s="55" t="str">
        <f>IF(Data!AW13="","",IF(AND('Mitred Cutting'!C13="Invisi-Gard",OR(AI13="Yes",AI13="Yes - Centre")),ROUNDDOWN(AJ13-117,0),IF('Mitred Cutting'!C13="Invisi-Gard",BI13-160,"")))</f>
        <v/>
      </c>
      <c r="BQ13" s="55" t="str">
        <f>IF(OR(AI13="No",Data!AW13=""),"",IF('Mitred Cutting'!C13="Invisi-Gard",BI13-BP13-235,""))</f>
        <v/>
      </c>
      <c r="BR13" s="55" t="str">
        <f>IF(OR(AE13="",AE13="Flyscreen",AE13="Fibreglass Mesh",AE13="Pet Mesh"),"",IF(OR(AE13="Woven Stainless Steel",AE13="Invisi-Gard Woven Stainless Steel"),(INDEX(WSSGrid,MATCH(BT13,WSSDrop,1),MATCH(BS13,WSSWidth,1))),IF(AE13="Standard Diamond",(INDEX(SDGGrid,MATCH(BT13,SDGDrop,1),MATCH(BS13,SDGWidth,1))),IF(AE13="DVA Mesh",(INDEX(DVAGrid,MATCH(BT13,DVADrop,1),MATCH(BS13,DVAWidth,1))),IF(AE13="Decorative Diamond",(INDEX(DDGGrid,MATCH(BT13,DDGDrop,1),MATCH(BS13,DDGWidth,1))),IF(AE13="Privacy-Gard",(INDEX(PGGrid,MATCH(BT13,PGDrop,1),MATCH(BS13,PGWidth,1))),IF(AE13="Woven Galvanised Steel",(INDEX(WGSGRID,MATCH(BT13,WGSDROP,1),MATCH(BS13,WGSWIDTH,1))),IF(AE13="Perforated Aluminium",(INDEX(AGGrid,MATCH(BT13,AGDrop,1),MATCH(BS13,AGWidth,1)))))))))))</f>
        <v/>
      </c>
      <c r="BS13" s="55" t="str">
        <f t="shared" si="0"/>
        <v/>
      </c>
      <c r="BT13" s="55" t="str">
        <f t="shared" si="1"/>
        <v/>
      </c>
      <c r="BU13" s="55" t="str">
        <f t="shared" si="2"/>
        <v/>
      </c>
      <c r="BV13" s="68" t="str">
        <f>IF(Data!AV13="","",IF(AND(J13="Hinged",M13="Not Required"),BI13/2,IF(OR(M13="Push 2 Go Triple Lock",M13="Triple Lock",M13="Ultra Secua Digital Triple Lock"),BI13/2,"")))</f>
        <v/>
      </c>
      <c r="BW13" s="68" t="str">
        <f t="shared" si="3"/>
        <v/>
      </c>
      <c r="BX13" s="55">
        <f>IF(OR(Data!BA13="",V13="N/A (Sliding/Stacker)",AND(OR(J13="Sliding",J13="Stacker"),M13="Not Required"),M13="Bass Latch"),"",IF(AND(J13="Hinged",M13="Not Required"),(X13-5)-VLOOKUP(W13,LockCode,2,FALSE),IF(AND(O13&lt;&gt;"",OR(F13="Opening",F13="Pip to Pip")),(O13-5)-VLOOKUP(N13,LockCode,2,FALSE),IF(AND(X13&lt;&gt;"",OR(F13="Opening",F13="Pip to Pip")),(X13-5)-VLOOKUP(W13,LockCode,2,FALSE),IF(AND(O13&lt;&gt;"",F13="Making"),(O13)-VLOOKUP(N13,LockCode,2,FALSE),IF(AND(X13&lt;&gt;"",F13="Making"),(X13)-VLOOKUP(W13,LockCode,2,FALSE)))))))</f>
        <v>1245</v>
      </c>
      <c r="BY13" s="55" t="str">
        <f>IF(OR(Data!BA13="",BV13=""),"",IF(O13&lt;&gt;"",BX13-VLOOKUP(CONCATENATE(J13,M13),LockAccess,3,FALSE),BX13-VLOOKUP(CONCATENATE(J13,V13),LockAccess,3,FALSE)))</f>
        <v/>
      </c>
      <c r="BZ13" s="55" t="str">
        <f>IF(OR(Data!BA13="",BV13=""),"",IF(O13&lt;&gt;"",BX13+VLOOKUP(CONCATENATE(J13,M13),LockAccess,4,FALSE),BX13+VLOOKUP(CONCATENATE(J13,V13),LockAccess,4,FALSE)))</f>
        <v/>
      </c>
      <c r="CA13" s="68" t="str">
        <f>IF(OR(Data!BE13="",BV13=""),"",IF(BY13&lt;150,"Yes","No"))</f>
        <v/>
      </c>
      <c r="CB13" s="68" t="str">
        <f>IF(OR(Data!BA13="",BV13=""),"",IF(BI13-BZ13&lt;150,"Yes","No"))</f>
        <v/>
      </c>
      <c r="CC13" s="68" t="str">
        <f>IF(OR(Data!BA13="",BV13=""),"",IF(O13&lt;&gt;"",BX13-VLOOKUP(CONCATENATE(J13,M13),LockAccess,5,FALSE),IF(X13&lt;&gt;"",BX13-VLOOKUP(CONCATENATE(J13,V13),LockAccess,5,FALSE))))</f>
        <v/>
      </c>
      <c r="CD13" s="68" t="str">
        <f>IF(OR(Data!BA13="",BV13=""),"",IF(O13&lt;&gt;"",BX13+VLOOKUP(CONCATENATE(J13,M13),LockAccess,6,FALSE),IF(X13&lt;&gt;"",BX13+VLOOKUP(CONCATENATE(J13,V13),LockAccess,6,FALSE))))</f>
        <v/>
      </c>
      <c r="CE13" s="68" t="str">
        <f>IF(OR(Data!BE13="",BV13=""),"",IF(CC13&lt;150,"Yes","No"))</f>
        <v/>
      </c>
      <c r="CF13" s="68" t="str">
        <f>IF(OR(Data!BA13="",BV13=""),"",IF(BI13-CD13&lt;150,"Yes","No"))</f>
        <v/>
      </c>
      <c r="CG13" s="68" t="str">
        <f>IF(OR(Data!BA13="",BV13=""),"",IF(O13&lt;&gt;"",BX13-VLOOKUP(CONCATENATE(J13,M13),LockAccess,7,FALSE),IF(X13&lt;&gt;"",BX13-VLOOKUP(CONCATENATE(J13,V13),LockAccess,7,FALSE))))</f>
        <v/>
      </c>
      <c r="CH13" s="68" t="str">
        <f>IF(OR(Data!BA13="",BV13=""),"",IF(O13&lt;&gt;"",BX13+VLOOKUP(CONCATENATE(J13,M13),LockAccess,8,FALSE),IF(X13&lt;&gt;"",BX13+VLOOKUP(CONCATENATE(J13,V13),LockAccess,8,FALSE))))</f>
        <v/>
      </c>
      <c r="CI13" s="68" t="str">
        <f>IF(OR(Data!BE13="",BV13=""),"",IF(CG13&lt;150,"Yes","No"))</f>
        <v/>
      </c>
      <c r="CJ13" s="68" t="str">
        <f>IF(OR(Data!BA13="",BV13=""),"",IF(BI13-CH13&lt;150,"Yes","No"))</f>
        <v/>
      </c>
      <c r="CK13" s="55" t="str">
        <f>IF(OR(Data!AV13="",M13="Single Lock",M13="Push 2 Go Single Lock",M13="Bass Latch",V13="N/A (Sliding/Stacker)",V13="Single Lock"),"",IF(OR(S13&lt;&gt;"",T13&lt;&gt;"",M13="Ultra Secua Digital Triple Lock"),J13&amp;" Adjustable",IF(VLOOKUP(CA13&amp;CB13,HighTripleLockKits,2,FALSE)="High",J13&amp;" High",IF(VLOOKUP(CE13&amp;CF13,LowTripleLockKits,2,FALSE)="Low",J13&amp;" Low",IF(VLOOKUP(CI13&amp;CJ13,PoolTripleLockKits,2,FALSE)="Pool",J13&amp;" Pool",IF(J13="Hinged","Hinged Adjustable",IF(OR(J13="Sliding",J13="Stacker"),"Sliding Adjustable","")))))))</f>
        <v/>
      </c>
      <c r="CL13" s="55" t="e">
        <f>IF(Data!AV13="","",VLOOKUP(CONCATENATE(J13,Data!BO13,M13,AI13,AV13),ChecklistCodes,2,FALSE))</f>
        <v>#N/A</v>
      </c>
    </row>
    <row r="14" spans="1:90" s="75" customFormat="1" ht="60" customHeight="1">
      <c r="A14" s="69">
        <f>Data!AW14</f>
        <v>0</v>
      </c>
      <c r="B14" s="55" t="str">
        <f>IF(Data!BE14="","",MID(Data!BE14,6,80))</f>
        <v/>
      </c>
      <c r="C14" s="56">
        <f>Data!AY14</f>
        <v>0</v>
      </c>
      <c r="D14" s="76">
        <f>SUM(Data!BA14)</f>
        <v>0</v>
      </c>
      <c r="E14" s="76">
        <f>SUM(Data!BB14)</f>
        <v>0</v>
      </c>
      <c r="F14" s="77" t="str">
        <f t="array" ref="F14">bpLOOKUP(Data!$AV14,"Size",CustOrdOpt,6,FALSE)</f>
        <v/>
      </c>
      <c r="G14" s="77" t="str">
        <f t="array" ref="G14">bpLOOKUP(Data!$AV14,"FIT",CustOrdOpt,6,FALSE)</f>
        <v/>
      </c>
      <c r="H14" s="77" t="str">
        <f t="array" ref="H14">bpLOOKUP(Data!$AV14,"FIXING",CustOrdOpt,6,FALSE)</f>
        <v/>
      </c>
      <c r="I14" s="55" t="str">
        <f t="array" ref="I14">bpLOOKUP(Data!$AV14,"SINGLE",CustOrdOpt,6,FALSE)</f>
        <v/>
      </c>
      <c r="J14" s="55" t="str">
        <f t="array" ref="J14">bpLOOKUP(Data!$AV14,"OPENTYPE",CustOrdOpt,6,FALSE)</f>
        <v/>
      </c>
      <c r="K14" s="55" t="str">
        <f t="array" ref="K14">IF(OR(J14="Hinged",J14="Sliding"),"None",bpLOOKUP(Data!$AV14,"STACKEROL",CustOrdOpt,6,FALSE))</f>
        <v/>
      </c>
      <c r="L14" s="55" t="str">
        <f t="array" ref="L14">bpLOOKUP(Data!$AV14,"HINGEATTACHED",CustOrdOpt,6,FALSE)</f>
        <v/>
      </c>
      <c r="M14" s="55" t="str">
        <f t="array" ref="M14">bpLOOKUP(Data!$AV14,"LOCKS",CustOrdOpt,6,FALSE)</f>
        <v/>
      </c>
      <c r="N14" s="55" t="str">
        <f t="array" ref="N14">bpLOOKUP(Data!$AV14,"HANDLECODE",CustOrdOpt,6,FALSE)</f>
        <v/>
      </c>
      <c r="O14" s="55" t="str">
        <f t="array" ref="O14">IF(OR(Data!BA14="",N14="Not Required"),"",bpLOOKUP(Data!$AV14,"HANDLEHEIGHT",CustOrdOpt,6,FALSE))</f>
        <v/>
      </c>
      <c r="P14" s="55" t="str">
        <f t="array" ref="P14">bpLOOKUP(Data!$AV14,"LOCKSIDE",CustOrdOpt,6,FALSE)</f>
        <v/>
      </c>
      <c r="Q14" s="55" t="str">
        <f t="array" ref="Q14">bpLOOKUP(Data!$AV14,"LOCKCOLOUR",CustOrdOpt,6,FALSE)</f>
        <v/>
      </c>
      <c r="R14" s="55" t="str">
        <f t="array" ref="R14">+bpLOOKUP(Data!$AV14,"STRIKER",CustOrdOpt,6,FALSE)</f>
        <v/>
      </c>
      <c r="S14" s="55" t="str">
        <f t="array" ref="S14">bpLOOKUP(Data!$AV14,"BLOCK",CustOrdOpt,6,FALSE)</f>
        <v/>
      </c>
      <c r="T14" s="55" t="str">
        <f t="array" ref="T14">bpLOOKUP(Data!$AV14,"TLOCK",CustOrdOpt,6,FALSE)</f>
        <v/>
      </c>
      <c r="U14" s="55" t="str">
        <f t="array" ref="U14">bpLOOKUP(Data!$AV14,"CLOSERCOLOUR",CustOrdOpt,6,FALSE)</f>
        <v/>
      </c>
      <c r="V14" s="55" t="str">
        <f t="array" ref="V14">bpLOOKUP(Data!$AV14,"DLOCKS",CustOrdOpt,6,FALSE)</f>
        <v/>
      </c>
      <c r="W14" s="55" t="str">
        <f t="array" ref="W14">bpLOOKUP(Data!$AV14,"DHANDLECODE",CustOrdOpt,6,FALSE)</f>
        <v/>
      </c>
      <c r="X14" s="55" t="str">
        <f t="array" ref="X14">IF(OR(Data!BH14="",W14="Not Required"),"",bpLOOKUP(Data!$AV14,"DHANDLEHEIGHT",CustOrdOpt,6,FALSE))</f>
        <v/>
      </c>
      <c r="Y14" s="55" t="str">
        <f t="array" ref="Y14">bpLOOKUP(Data!$AV14,"DHINGESIDE",CustOrdOpt,6,FALSE)</f>
        <v/>
      </c>
      <c r="Z14" s="55" t="str">
        <f t="array" ref="Z14">bpLOOKUP(Data!$AV14,"COLOURTYPE",CustOrdOpt,6,FALSE)</f>
        <v/>
      </c>
      <c r="AA14" s="55" t="str">
        <f t="array" ref="AA14">bpLOOKUP(Data!$AV14,"COLOUR",CustOrdOpt,6,FALSE)</f>
        <v/>
      </c>
      <c r="AB14" s="55" t="str">
        <f t="array" ref="AB14">bpLOOKUP(Data!$AV14,"DGRILCOLOUR",CustOrdOpt,6,FALSE)</f>
        <v/>
      </c>
      <c r="AC14" s="55" t="str">
        <f t="array" ref="AC14">bpLOOKUP(Data!$AV14,"DGPCCOLOUR",CustOrdOpt,6,FALSE)</f>
        <v/>
      </c>
      <c r="AD14" s="55" t="str">
        <f t="array" ref="AD14">bpLOOKUP(Data!$AV14,"CCASTD",CustOrdOpt,6,FALSE)</f>
        <v/>
      </c>
      <c r="AE14" s="55" t="str">
        <f t="array" ref="AE14">bpLOOKUP(Data!$AV14,"MESH",CustOrdOpt,6,FALSE)</f>
        <v/>
      </c>
      <c r="AF14" s="55" t="str">
        <f t="array" ref="AF14">bpLOOKUP(Data!$AV14,"DVACOLOUR",CustOrdOpt,6,FALSE)</f>
        <v/>
      </c>
      <c r="AG14" s="55" t="str">
        <f t="array" ref="AG14">bpLOOKUP(Data!$AV14,"DVAPCCOLOUR",CustOrdOpt,6,FALSE)</f>
        <v/>
      </c>
      <c r="AH14" s="55" t="str">
        <f t="array" ref="AH14">bpLOOKUP(Data!$AV14,"KEYALIKE",CustOrdOpt,6,FALSE)</f>
        <v/>
      </c>
      <c r="AI14" s="55" t="str">
        <f t="array" ref="AI14">bpLOOKUP(Data!$AV14,"MIDRAIL",CustOrdOpt,6,FALSE)</f>
        <v/>
      </c>
      <c r="AJ14" s="68" t="str">
        <f t="array" ref="AJ14">IF(AI14="Yes - Centre",BI14/2,bpLOOKUP(Data!$AV14,"MIDRAILHEIGHT",CustOrdOpt,6,FALSE))</f>
        <v/>
      </c>
      <c r="AK14" s="68" t="str">
        <f t="array" ref="AK14">bpLOOKUP(Data!$AV14,"MIDRAILCOLOUR",CustOrdOpt,6,FALSE)</f>
        <v/>
      </c>
      <c r="AL14" s="55" t="str">
        <f t="array" ref="AL14">bpLOOKUP(Data!$AV14,"FZ",CustOrdOpt,6,FALSE)</f>
        <v/>
      </c>
      <c r="AM14" s="55" t="str">
        <f t="array" ref="AM14">bpLOOKUP(Data!$AV14,"LONGLEG",CustOrdOpt,6,FALSE)</f>
        <v/>
      </c>
      <c r="AN14" s="55" t="str">
        <f t="array" ref="AN14">bpLOOKUP(Data!$AV14,"LONGLEGCOLOUR",CustOrdOpt,6,FALSE)</f>
        <v/>
      </c>
      <c r="AO14" s="54" t="str">
        <f t="array" ref="AO14">bpLOOKUP(Data!$AV14,"DOUBLE",CustOrdOpt,6,FALSE)</f>
        <v/>
      </c>
      <c r="AP14" s="54" t="str">
        <f t="array" ref="AP14">bpLOOKUP(Data!$AV14,"DOUBLEWIDTH",CustOrdOpt,6,FALSE)</f>
        <v/>
      </c>
      <c r="AQ14" s="55" t="str">
        <f t="array" ref="AQ14">bpLOOKUP(Data!$AV14,"DDPARTS",CustOrdOpt,6,FALSE)</f>
        <v/>
      </c>
      <c r="AR14" s="55" t="str">
        <f t="array" ref="AR14">bpLOOKUP(Data!$AV14,"INTERLOCKS",CustOrdOpt,6,FALSE)</f>
        <v/>
      </c>
      <c r="AS14" s="55" t="str">
        <f t="array" ref="AS14">bpLOOKUP(Data!$AV14,"SLIDINGTRACK",CustOrdOpt,6,FALSE)</f>
        <v/>
      </c>
      <c r="AT14" s="68" t="str">
        <f t="array" ref="AT14">IF(bpLOOKUP(Data!$AV14,"SLIDINGTRACKMM",CustOrdOpt,6,FALSE)="","",VALUE(bpLOOKUP(Data!$AV14,"SLIDINGTRACKMM",CustOrdOpt,6,FALSE)))</f>
        <v/>
      </c>
      <c r="AU14" s="55" t="str">
        <f t="array" ref="AU14">bpLOOKUP(Data!$AV14,"GUIDEBLOCKS",CustOrdOpt,6,FALSE)</f>
        <v/>
      </c>
      <c r="AV14" s="55" t="str">
        <f t="array" ref="AV14">(bpLOOKUP(Data!$AV14,"DOGDOOR",CustOrdOpt,6,FALSE))</f>
        <v/>
      </c>
      <c r="AW14" s="55" t="str">
        <f t="array" ref="AW14">(bpLOOKUP(Data!$AV14,"DOGDOORSIZE",CustOrdOpt,6,FALSE))</f>
        <v/>
      </c>
      <c r="AX14" s="55" t="str">
        <f t="array" ref="AX14">(bpLOOKUP(Data!$AV14,"DOGDOORCOLOUR",CustOrdOpt,6,FALSE))</f>
        <v/>
      </c>
      <c r="AY14" s="55" t="str">
        <f t="array" ref="AY14">(bpLOOKUP(Data!$AV14,"DOGDOORPOSITION",CustOrdOpt,6,FALSE))</f>
        <v/>
      </c>
      <c r="AZ14" s="77" t="str">
        <f t="array" ref="AZ14">bpLOOKUP(Data!$AV14,"SIDEBYSIDE",CustOrdOpt,6,FALSE)</f>
        <v/>
      </c>
      <c r="BA14" s="77" t="str">
        <f t="array" ref="BA14">bpLOOKUP(Data!$AV14,"SIDEBYSIDE2",CustOrdOpt,6,FALSE)</f>
        <v/>
      </c>
      <c r="BB14" s="55" t="str">
        <f t="array" ref="BB14">bpLOOKUP(Data!$AV14,"INSTALLATION",CustOrdOpt,6,FALSE)</f>
        <v/>
      </c>
      <c r="BC14" s="55" t="str">
        <f t="array" ref="BC14">bpLOOKUP(Data!$AV14,"INSTALLG",CustOrdOpt,6,FALSE)</f>
        <v/>
      </c>
      <c r="BD14" s="55" t="str">
        <f t="array" ref="BD14">bpLOOKUP(Data!$AV14,"TAKEDOWN",CustOrdOpt,6,FALSE)</f>
        <v/>
      </c>
      <c r="BE14" s="55" t="str">
        <f t="array" ref="BE14">bpLOOKUP(Data!$AV14,"CHECKM",CustOrdOpt,6,FALSE)</f>
        <v/>
      </c>
      <c r="BF14" s="55" t="str">
        <f t="array" ref="BF14">bpLOOKUP(Data!$AV14,"Notes",CustOrdOpt,6,FALSE)</f>
        <v/>
      </c>
      <c r="BG14" s="125"/>
      <c r="BH14" s="40" t="str">
        <f>IF(Data!BA14="","",IF(F14="Making",Data!BA14,IF(AND(OR(V14="N/A (Sliding/Stacker)",M14="Bass Latch"),OR(F14="Opening",F14="Pip to Pip")),Data!BA14-VLOOKUP(CONCATENATE(I14,J14,H14,AM14),FixDeduct,2,FALSE)-VLOOKUP(AZ14,SideDeduct,2,FALSE)-VLOOKUP(BA14,SideDeduct,2,FALSE)+VLOOKUP(K14,STACKEROL,2,FALSE)+4,IF(OR(F14="Opening",F14="Pip to Pip"),Data!BA14-VLOOKUP(CONCATENATE(I14,J14,H14,AM14),FixDeduct,2,FALSE)-VLOOKUP(AZ14,SideDeduct,2,FALSE)-VLOOKUP(BA14,SideDeduct,2,FALSE)+VLOOKUP(K14,STACKEROL,2,FALSE)))))</f>
        <v/>
      </c>
      <c r="BI14" s="40" t="str">
        <f>IF(Data!BB14="","",IF(OR(F14="Opening",F14="Pip to Pip"),Data!BB14-VLOOKUP(CONCATENATE(I14,J14,H14,AM14),FixDeduct,3,FALSE)-VLOOKUP(AZ14,SideDeduct,3,FALSE)-VLOOKUP(BA14,SideDeduct,3,FALSE)-VLOOKUP(AS14,Track,3,FALSE),IF(F14="Making",Data!BB14)))</f>
        <v/>
      </c>
      <c r="BJ14" s="69" t="str">
        <f>IF(Data!AV14="","",IF(J14="Hinged",BH14-2,BH14-5))</f>
        <v/>
      </c>
      <c r="BK14" s="55">
        <f>Data!BO14</f>
        <v>0</v>
      </c>
      <c r="BL14" s="55" t="str">
        <f>IF(Data!AV14="","",IF(OR(BK14="Flyscreen",BK14="Alu-Screen",BK14="Pet Mesh",BK14="Stainless Steel"),"",IF(OR(BK14="Woven Stainless Steel",BK14="Invisi-Gard Woven Stainless Steel"),(INDEX(WSSGrid,MATCH(BN14,WSSDrop,1),MATCH(BM14,WSSWidth,1))),IF(BK14="Standard Diamond",(INDEX(SDGGrid,MATCH(BN14,SDGDrop,1),MATCH(BM14,SDGWidth,1))),IF(BK14="Decorative Diamond",(INDEX(DDGGrid,MATCH(BN14,DDGDrop,1),MATCH(BM14,DDGWidth,1))),IF(BK14="Privacy-Gard",(INDEX(PGGrid,MATCH(BN14,PGDrop,1),MATCH(BM14,PGWidth,1))),IF(BK14="Woven Galvanised Steel",(INDEX(WGSGRID,MATCH(BN14,WGSDROP,1),MATCH(BM14,WGSWIDTH,1))),IF(BK14="Alu-Gard Perforated Aluminium",(INDEX(AGGrid,MATCH(BN14,AGDrop,1),MATCH(BM14,AGWidth,1)))))))))))</f>
        <v/>
      </c>
      <c r="BM14" s="55" t="str">
        <f>IF(BK14="Flyscreen","",IF(BK14="Invisi-Gard Woven Stainless Steel",BH14-105,IF(Data!BA14="","",BH14-114)))</f>
        <v/>
      </c>
      <c r="BN14" s="55" t="str">
        <f>IF(OR(BK14="Flyscreen",Data!BA14=""),"",IF(AND(AI14&lt;&gt;"No",BK14="Invisi-Gard Woven Stainless Steel"),BI14-120,IF(AI14&lt;&gt;"No",BI14-119,IF(BK14="Invisi-Gard Woven Stainless Steel",BI14-105,BI14-114))))</f>
        <v/>
      </c>
      <c r="BO14" s="55" t="str">
        <f>IF(Data!AW14="","",IF('Mitred Cutting'!C14="Invisi-Gard",BH14-149))</f>
        <v/>
      </c>
      <c r="BP14" s="55" t="str">
        <f>IF(Data!AW14="","",IF(AND('Mitred Cutting'!C14="Invisi-Gard",OR(AI14="Yes",AI14="Yes - Centre")),ROUNDDOWN(AJ14-117,0),IF('Mitred Cutting'!C14="Invisi-Gard",BI14-160,"")))</f>
        <v/>
      </c>
      <c r="BQ14" s="55" t="str">
        <f>IF(OR(AI14="No",Data!AW14=""),"",IF('Mitred Cutting'!C14="Invisi-Gard",BI14-BP14-235,""))</f>
        <v/>
      </c>
      <c r="BR14" s="55" t="str">
        <f>IF(OR(AE14="",AE14="Flyscreen",AE14="Fibreglass Mesh",AE14="Pet Mesh"),"",IF(OR(AE14="Woven Stainless Steel",AE14="Invisi-Gard Woven Stainless Steel"),(INDEX(WSSGrid,MATCH(BT14,WSSDrop,1),MATCH(BS14,WSSWidth,1))),IF(AE14="Standard Diamond",(INDEX(SDGGrid,MATCH(BT14,SDGDrop,1),MATCH(BS14,SDGWidth,1))),IF(AE14="DVA Mesh",(INDEX(DVAGrid,MATCH(BT14,DVADrop,1),MATCH(BS14,DVAWidth,1))),IF(AE14="Decorative Diamond",(INDEX(DDGGrid,MATCH(BT14,DDGDrop,1),MATCH(BS14,DDGWidth,1))),IF(AE14="Privacy-Gard",(INDEX(PGGrid,MATCH(BT14,PGDrop,1),MATCH(BS14,PGWidth,1))),IF(AE14="Woven Galvanised Steel",(INDEX(WGSGRID,MATCH(BT14,WGSDROP,1),MATCH(BS14,WGSWIDTH,1))),IF(AE14="Perforated Aluminium",(INDEX(AGGrid,MATCH(BT14,AGDrop,1),MATCH(BS14,AGWidth,1)))))))))))</f>
        <v/>
      </c>
      <c r="BS14" s="55" t="str">
        <f t="shared" si="0"/>
        <v/>
      </c>
      <c r="BT14" s="55" t="str">
        <f t="shared" si="1"/>
        <v/>
      </c>
      <c r="BU14" s="55" t="str">
        <f t="shared" si="2"/>
        <v/>
      </c>
      <c r="BV14" s="68" t="str">
        <f>IF(Data!AV14="","",IF(AND(J14="Hinged",M14="Not Required"),BI14/2,IF(OR(M14="Push 2 Go Triple Lock",M14="Triple Lock",M14="Ultra Secua Digital Triple Lock"),BI14/2,"")))</f>
        <v/>
      </c>
      <c r="BW14" s="68" t="str">
        <f t="shared" si="3"/>
        <v/>
      </c>
      <c r="BX14" s="55" t="str">
        <f>IF(OR(Data!BA14="",V14="N/A (Sliding/Stacker)",AND(OR(J14="Sliding",J14="Stacker"),M14="Not Required"),M14="Bass Latch"),"",IF(AND(J14="Hinged",M14="Not Required"),(X14-5)-VLOOKUP(W14,LockCode,2,FALSE),IF(AND(O14&lt;&gt;"",OR(F14="Opening",F14="Pip to Pip")),(O14-5)-VLOOKUP(N14,LockCode,2,FALSE),IF(AND(X14&lt;&gt;"",OR(F14="Opening",F14="Pip to Pip")),(X14-5)-VLOOKUP(W14,LockCode,2,FALSE),IF(AND(O14&lt;&gt;"",F14="Making"),(O14)-VLOOKUP(N14,LockCode,2,FALSE),IF(AND(X14&lt;&gt;"",F14="Making"),(X14)-VLOOKUP(W14,LockCode,2,FALSE)))))))</f>
        <v/>
      </c>
      <c r="BY14" s="55" t="str">
        <f>IF(OR(Data!BA14="",BV14=""),"",IF(O14&lt;&gt;"",BX14-VLOOKUP(CONCATENATE(J14,M14),LockAccess,3,FALSE),BX14-VLOOKUP(CONCATENATE(J14,V14),LockAccess,3,FALSE)))</f>
        <v/>
      </c>
      <c r="BZ14" s="55" t="str">
        <f>IF(OR(Data!BA14="",BV14=""),"",IF(O14&lt;&gt;"",BX14+VLOOKUP(CONCATENATE(J14,M14),LockAccess,4,FALSE),BX14+VLOOKUP(CONCATENATE(J14,V14),LockAccess,4,FALSE)))</f>
        <v/>
      </c>
      <c r="CA14" s="68" t="str">
        <f>IF(OR(Data!BE14="",BV14=""),"",IF(BY14&lt;150,"Yes","No"))</f>
        <v/>
      </c>
      <c r="CB14" s="68" t="str">
        <f>IF(OR(Data!BA14="",BV14=""),"",IF(BI14-BZ14&lt;150,"Yes","No"))</f>
        <v/>
      </c>
      <c r="CC14" s="68" t="str">
        <f>IF(OR(Data!BA14="",BV14=""),"",IF(O14&lt;&gt;"",BX14-VLOOKUP(CONCATENATE(J14,M14),LockAccess,5,FALSE),IF(X14&lt;&gt;"",BX14-VLOOKUP(CONCATENATE(J14,V14),LockAccess,5,FALSE))))</f>
        <v/>
      </c>
      <c r="CD14" s="68" t="str">
        <f>IF(OR(Data!BA14="",BV14=""),"",IF(O14&lt;&gt;"",BX14+VLOOKUP(CONCATENATE(J14,M14),LockAccess,6,FALSE),IF(X14&lt;&gt;"",BX14+VLOOKUP(CONCATENATE(J14,V14),LockAccess,6,FALSE))))</f>
        <v/>
      </c>
      <c r="CE14" s="68" t="str">
        <f>IF(OR(Data!BE14="",BV14=""),"",IF(CC14&lt;150,"Yes","No"))</f>
        <v/>
      </c>
      <c r="CF14" s="68" t="str">
        <f>IF(OR(Data!BA14="",BV14=""),"",IF(BI14-CD14&lt;150,"Yes","No"))</f>
        <v/>
      </c>
      <c r="CG14" s="68" t="str">
        <f>IF(OR(Data!BA14="",BV14=""),"",IF(O14&lt;&gt;"",BX14-VLOOKUP(CONCATENATE(J14,M14),LockAccess,7,FALSE),IF(X14&lt;&gt;"",BX14-VLOOKUP(CONCATENATE(J14,V14),LockAccess,7,FALSE))))</f>
        <v/>
      </c>
      <c r="CH14" s="68" t="str">
        <f>IF(OR(Data!BA14="",BV14=""),"",IF(O14&lt;&gt;"",BX14+VLOOKUP(CONCATENATE(J14,M14),LockAccess,8,FALSE),IF(X14&lt;&gt;"",BX14+VLOOKUP(CONCATENATE(J14,V14),LockAccess,8,FALSE))))</f>
        <v/>
      </c>
      <c r="CI14" s="68" t="str">
        <f>IF(OR(Data!BE14="",BV14=""),"",IF(CG14&lt;150,"Yes","No"))</f>
        <v/>
      </c>
      <c r="CJ14" s="68" t="str">
        <f>IF(OR(Data!BA14="",BV14=""),"",IF(BI14-CH14&lt;150,"Yes","No"))</f>
        <v/>
      </c>
      <c r="CK14" s="55" t="str">
        <f>IF(OR(Data!AV14="",M14="Single Lock",M14="Push 2 Go Single Lock",M14="Bass Latch",V14="N/A (Sliding/Stacker)",V14="Single Lock"),"",IF(OR(S14&lt;&gt;"",T14&lt;&gt;"",M14="Ultra Secua Digital Triple Lock"),J14&amp;" Adjustable",IF(VLOOKUP(CA14&amp;CB14,HighTripleLockKits,2,FALSE)="High",J14&amp;" High",IF(VLOOKUP(CE14&amp;CF14,LowTripleLockKits,2,FALSE)="Low",J14&amp;" Low",IF(VLOOKUP(CI14&amp;CJ14,PoolTripleLockKits,2,FALSE)="Pool",J14&amp;" Pool",IF(J14="Hinged","Hinged Adjustable",IF(OR(J14="Sliding",J14="Stacker"),"Sliding Adjustable","")))))))</f>
        <v/>
      </c>
      <c r="CL14" s="55" t="str">
        <f>IF(Data!AV14="","",VLOOKUP(CONCATENATE(J14,Data!BO14,M14,AI14,AV14),ChecklistCodes,2,FALSE))</f>
        <v/>
      </c>
    </row>
    <row r="15" spans="1:90" s="75" customFormat="1" ht="60" customHeight="1">
      <c r="A15" s="69">
        <f>Data!AW15</f>
        <v>0</v>
      </c>
      <c r="B15" s="55" t="str">
        <f>IF(Data!BE15="","",MID(Data!BE15,6,80))</f>
        <v/>
      </c>
      <c r="C15" s="56">
        <f>Data!AY15</f>
        <v>0</v>
      </c>
      <c r="D15" s="76">
        <f>SUM(Data!BA15)</f>
        <v>0</v>
      </c>
      <c r="E15" s="76">
        <f>SUM(Data!BB15)</f>
        <v>0</v>
      </c>
      <c r="F15" s="77" t="str">
        <f t="array" ref="F15">bpLOOKUP(Data!$AV15,"Size",CustOrdOpt,6,FALSE)</f>
        <v/>
      </c>
      <c r="G15" s="77" t="str">
        <f t="array" ref="G15">bpLOOKUP(Data!$AV15,"FIT",CustOrdOpt,6,FALSE)</f>
        <v/>
      </c>
      <c r="H15" s="77" t="str">
        <f t="array" ref="H15">bpLOOKUP(Data!$AV15,"FIXING",CustOrdOpt,6,FALSE)</f>
        <v/>
      </c>
      <c r="I15" s="55" t="str">
        <f t="array" ref="I15">bpLOOKUP(Data!$AV15,"SINGLE",CustOrdOpt,6,FALSE)</f>
        <v/>
      </c>
      <c r="J15" s="55" t="str">
        <f t="array" ref="J15">bpLOOKUP(Data!$AV15,"OPENTYPE",CustOrdOpt,6,FALSE)</f>
        <v/>
      </c>
      <c r="K15" s="55" t="str">
        <f t="array" ref="K15">IF(OR(J15="Hinged",J15="Sliding"),"None",bpLOOKUP(Data!$AV15,"STACKEROL",CustOrdOpt,6,FALSE))</f>
        <v/>
      </c>
      <c r="L15" s="55" t="str">
        <f t="array" ref="L15">bpLOOKUP(Data!$AV15,"HINGEATTACHED",CustOrdOpt,6,FALSE)</f>
        <v/>
      </c>
      <c r="M15" s="55" t="str">
        <f t="array" ref="M15">bpLOOKUP(Data!$AV15,"LOCKS",CustOrdOpt,6,FALSE)</f>
        <v/>
      </c>
      <c r="N15" s="55" t="str">
        <f t="array" ref="N15">bpLOOKUP(Data!$AV15,"HANDLECODE",CustOrdOpt,6,FALSE)</f>
        <v/>
      </c>
      <c r="O15" s="55" t="str">
        <f t="array" ref="O15">IF(OR(Data!BA15="",N15="Not Required"),"",bpLOOKUP(Data!$AV15,"HANDLEHEIGHT",CustOrdOpt,6,FALSE))</f>
        <v/>
      </c>
      <c r="P15" s="55" t="str">
        <f t="array" ref="P15">bpLOOKUP(Data!$AV15,"LOCKSIDE",CustOrdOpt,6,FALSE)</f>
        <v/>
      </c>
      <c r="Q15" s="55" t="str">
        <f t="array" ref="Q15">bpLOOKUP(Data!$AV15,"LOCKCOLOUR",CustOrdOpt,6,FALSE)</f>
        <v/>
      </c>
      <c r="R15" s="55" t="str">
        <f t="array" ref="R15">+bpLOOKUP(Data!$AV15,"STRIKER",CustOrdOpt,6,FALSE)</f>
        <v/>
      </c>
      <c r="S15" s="55" t="str">
        <f t="array" ref="S15">bpLOOKUP(Data!$AV15,"BLOCK",CustOrdOpt,6,FALSE)</f>
        <v/>
      </c>
      <c r="T15" s="55" t="str">
        <f t="array" ref="T15">bpLOOKUP(Data!$AV15,"TLOCK",CustOrdOpt,6,FALSE)</f>
        <v/>
      </c>
      <c r="U15" s="55" t="str">
        <f t="array" ref="U15">bpLOOKUP(Data!$AV15,"CLOSERCOLOUR",CustOrdOpt,6,FALSE)</f>
        <v/>
      </c>
      <c r="V15" s="55" t="str">
        <f t="array" ref="V15">bpLOOKUP(Data!$AV15,"DLOCKS",CustOrdOpt,6,FALSE)</f>
        <v/>
      </c>
      <c r="W15" s="55" t="str">
        <f t="array" ref="W15">bpLOOKUP(Data!$AV15,"DHANDLECODE",CustOrdOpt,6,FALSE)</f>
        <v/>
      </c>
      <c r="X15" s="55" t="str">
        <f t="array" ref="X15">IF(OR(Data!BH15="",W15="Not Required"),"",bpLOOKUP(Data!$AV15,"DHANDLEHEIGHT",CustOrdOpt,6,FALSE))</f>
        <v/>
      </c>
      <c r="Y15" s="55" t="str">
        <f t="array" ref="Y15">bpLOOKUP(Data!$AV15,"DHINGESIDE",CustOrdOpt,6,FALSE)</f>
        <v/>
      </c>
      <c r="Z15" s="55" t="str">
        <f t="array" ref="Z15">bpLOOKUP(Data!$AV15,"COLOURTYPE",CustOrdOpt,6,FALSE)</f>
        <v/>
      </c>
      <c r="AA15" s="55" t="str">
        <f t="array" ref="AA15">bpLOOKUP(Data!$AV15,"COLOUR",CustOrdOpt,6,FALSE)</f>
        <v/>
      </c>
      <c r="AB15" s="55" t="str">
        <f t="array" ref="AB15">bpLOOKUP(Data!$AV15,"DGRILCOLOUR",CustOrdOpt,6,FALSE)</f>
        <v/>
      </c>
      <c r="AC15" s="55" t="str">
        <f t="array" ref="AC15">bpLOOKUP(Data!$AV15,"DGPCCOLOUR",CustOrdOpt,6,FALSE)</f>
        <v/>
      </c>
      <c r="AD15" s="55" t="str">
        <f t="array" ref="AD15">bpLOOKUP(Data!$AV15,"CCASTD",CustOrdOpt,6,FALSE)</f>
        <v/>
      </c>
      <c r="AE15" s="55" t="str">
        <f t="array" ref="AE15">bpLOOKUP(Data!$AV15,"MESH",CustOrdOpt,6,FALSE)</f>
        <v/>
      </c>
      <c r="AF15" s="55" t="str">
        <f t="array" ref="AF15">bpLOOKUP(Data!$AV15,"DVACOLOUR",CustOrdOpt,6,FALSE)</f>
        <v/>
      </c>
      <c r="AG15" s="55" t="str">
        <f t="array" ref="AG15">bpLOOKUP(Data!$AV15,"DVAPCCOLOUR",CustOrdOpt,6,FALSE)</f>
        <v/>
      </c>
      <c r="AH15" s="55" t="str">
        <f t="array" ref="AH15">bpLOOKUP(Data!$AV15,"KEYALIKE",CustOrdOpt,6,FALSE)</f>
        <v/>
      </c>
      <c r="AI15" s="55" t="str">
        <f t="array" ref="AI15">bpLOOKUP(Data!$AV15,"MIDRAIL",CustOrdOpt,6,FALSE)</f>
        <v/>
      </c>
      <c r="AJ15" s="68" t="str">
        <f t="array" ref="AJ15">IF(AI15="Yes - Centre",BI15/2,bpLOOKUP(Data!$AV15,"MIDRAILHEIGHT",CustOrdOpt,6,FALSE))</f>
        <v/>
      </c>
      <c r="AK15" s="68" t="str">
        <f t="array" ref="AK15">bpLOOKUP(Data!$AV15,"MIDRAILCOLOUR",CustOrdOpt,6,FALSE)</f>
        <v/>
      </c>
      <c r="AL15" s="55" t="str">
        <f t="array" ref="AL15">bpLOOKUP(Data!$AV15,"FZ",CustOrdOpt,6,FALSE)</f>
        <v/>
      </c>
      <c r="AM15" s="55" t="str">
        <f t="array" ref="AM15">bpLOOKUP(Data!$AV15,"LONGLEG",CustOrdOpt,6,FALSE)</f>
        <v/>
      </c>
      <c r="AN15" s="55" t="str">
        <f t="array" ref="AN15">bpLOOKUP(Data!$AV15,"LONGLEGCOLOUR",CustOrdOpt,6,FALSE)</f>
        <v/>
      </c>
      <c r="AO15" s="54" t="str">
        <f t="array" ref="AO15">bpLOOKUP(Data!$AV15,"DOUBLE",CustOrdOpt,6,FALSE)</f>
        <v/>
      </c>
      <c r="AP15" s="54" t="str">
        <f t="array" ref="AP15">bpLOOKUP(Data!$AV15,"DOUBLEWIDTH",CustOrdOpt,6,FALSE)</f>
        <v/>
      </c>
      <c r="AQ15" s="55" t="str">
        <f t="array" ref="AQ15">bpLOOKUP(Data!$AV15,"DDPARTS",CustOrdOpt,6,FALSE)</f>
        <v/>
      </c>
      <c r="AR15" s="55" t="str">
        <f t="array" ref="AR15">bpLOOKUP(Data!$AV15,"INTERLOCKS",CustOrdOpt,6,FALSE)</f>
        <v/>
      </c>
      <c r="AS15" s="55" t="str">
        <f t="array" ref="AS15">bpLOOKUP(Data!$AV15,"SLIDINGTRACK",CustOrdOpt,6,FALSE)</f>
        <v/>
      </c>
      <c r="AT15" s="68" t="str">
        <f t="array" ref="AT15">IF(bpLOOKUP(Data!$AV15,"SLIDINGTRACKMM",CustOrdOpt,6,FALSE)="","",VALUE(bpLOOKUP(Data!$AV15,"SLIDINGTRACKMM",CustOrdOpt,6,FALSE)))</f>
        <v/>
      </c>
      <c r="AU15" s="55" t="str">
        <f t="array" ref="AU15">bpLOOKUP(Data!$AV15,"GUIDEBLOCKS",CustOrdOpt,6,FALSE)</f>
        <v/>
      </c>
      <c r="AV15" s="55" t="str">
        <f t="array" ref="AV15">(bpLOOKUP(Data!$AV15,"DOGDOOR",CustOrdOpt,6,FALSE))</f>
        <v/>
      </c>
      <c r="AW15" s="55" t="str">
        <f t="array" ref="AW15">(bpLOOKUP(Data!$AV15,"DOGDOORSIZE",CustOrdOpt,6,FALSE))</f>
        <v/>
      </c>
      <c r="AX15" s="55" t="str">
        <f t="array" ref="AX15">(bpLOOKUP(Data!$AV15,"DOGDOORCOLOUR",CustOrdOpt,6,FALSE))</f>
        <v/>
      </c>
      <c r="AY15" s="55" t="str">
        <f t="array" ref="AY15">(bpLOOKUP(Data!$AV15,"DOGDOORPOSITION",CustOrdOpt,6,FALSE))</f>
        <v/>
      </c>
      <c r="AZ15" s="77" t="str">
        <f t="array" ref="AZ15">bpLOOKUP(Data!$AV15,"SIDEBYSIDE",CustOrdOpt,6,FALSE)</f>
        <v/>
      </c>
      <c r="BA15" s="77" t="str">
        <f t="array" ref="BA15">bpLOOKUP(Data!$AV15,"SIDEBYSIDE2",CustOrdOpt,6,FALSE)</f>
        <v/>
      </c>
      <c r="BB15" s="55" t="str">
        <f t="array" ref="BB15">bpLOOKUP(Data!$AV15,"INSTALLATION",CustOrdOpt,6,FALSE)</f>
        <v/>
      </c>
      <c r="BC15" s="55" t="str">
        <f t="array" ref="BC15">bpLOOKUP(Data!$AV15,"INSTALLG",CustOrdOpt,6,FALSE)</f>
        <v/>
      </c>
      <c r="BD15" s="55" t="str">
        <f t="array" ref="BD15">bpLOOKUP(Data!$AV15,"TAKEDOWN",CustOrdOpt,6,FALSE)</f>
        <v/>
      </c>
      <c r="BE15" s="55" t="str">
        <f t="array" ref="BE15">bpLOOKUP(Data!$AV15,"CHECKM",CustOrdOpt,6,FALSE)</f>
        <v/>
      </c>
      <c r="BF15" s="55" t="str">
        <f t="array" ref="BF15">bpLOOKUP(Data!$AV15,"Notes",CustOrdOpt,6,FALSE)</f>
        <v/>
      </c>
      <c r="BG15" s="125"/>
      <c r="BH15" s="40" t="str">
        <f>IF(Data!BA15="","",IF(F15="Making",Data!BA15,IF(AND(OR(V15="N/A (Sliding/Stacker)",M15="Bass Latch"),OR(F15="Opening",F15="Pip to Pip")),Data!BA15-VLOOKUP(CONCATENATE(I15,J15,H15,AM15),FixDeduct,2,FALSE)-VLOOKUP(AZ15,SideDeduct,2,FALSE)-VLOOKUP(BA15,SideDeduct,2,FALSE)+VLOOKUP(K15,STACKEROL,2,FALSE)+4,IF(OR(F15="Opening",F15="Pip to Pip"),Data!BA15-VLOOKUP(CONCATENATE(I15,J15,H15,AM15),FixDeduct,2,FALSE)-VLOOKUP(AZ15,SideDeduct,2,FALSE)-VLOOKUP(BA15,SideDeduct,2,FALSE)+VLOOKUP(K15,STACKEROL,2,FALSE)))))</f>
        <v/>
      </c>
      <c r="BI15" s="40" t="str">
        <f>IF(Data!BB15="","",IF(OR(F15="Opening",F15="Pip to Pip"),Data!BB15-VLOOKUP(CONCATENATE(I15,J15,H15,AM15),FixDeduct,3,FALSE)-VLOOKUP(AZ15,SideDeduct,3,FALSE)-VLOOKUP(BA15,SideDeduct,3,FALSE)-VLOOKUP(AS15,Track,3,FALSE),IF(F15="Making",Data!BB15)))</f>
        <v/>
      </c>
      <c r="BJ15" s="69" t="str">
        <f>IF(Data!AV15="","",IF(J15="Hinged",BH15-2,BH15-5))</f>
        <v/>
      </c>
      <c r="BK15" s="55">
        <f>Data!BO15</f>
        <v>0</v>
      </c>
      <c r="BL15" s="55" t="str">
        <f>IF(Data!AV15="","",IF(OR(BK15="Flyscreen",BK15="Alu-Screen",BK15="Pet Mesh",BK15="Stainless Steel"),"",IF(OR(BK15="Woven Stainless Steel",BK15="Invisi-Gard Woven Stainless Steel"),(INDEX(WSSGrid,MATCH(BN15,WSSDrop,1),MATCH(BM15,WSSWidth,1))),IF(BK15="Standard Diamond",(INDEX(SDGGrid,MATCH(BN15,SDGDrop,1),MATCH(BM15,SDGWidth,1))),IF(BK15="Decorative Diamond",(INDEX(DDGGrid,MATCH(BN15,DDGDrop,1),MATCH(BM15,DDGWidth,1))),IF(BK15="Privacy-Gard",(INDEX(PGGrid,MATCH(BN15,PGDrop,1),MATCH(BM15,PGWidth,1))),IF(BK15="Woven Galvanised Steel",(INDEX(WGSGRID,MATCH(BN15,WGSDROP,1),MATCH(BM15,WGSWIDTH,1))),IF(BK15="Alu-Gard Perforated Aluminium",(INDEX(AGGrid,MATCH(BN15,AGDrop,1),MATCH(BM15,AGWidth,1)))))))))))</f>
        <v/>
      </c>
      <c r="BM15" s="55" t="str">
        <f>IF(BK15="Flyscreen","",IF(BK15="Invisi-Gard Woven Stainless Steel",BH15-105,IF(Data!BA15="","",BH15-114)))</f>
        <v/>
      </c>
      <c r="BN15" s="55" t="str">
        <f>IF(OR(BK15="Flyscreen",Data!BA15=""),"",IF(AND(AI15&lt;&gt;"No",BK15="Invisi-Gard Woven Stainless Steel"),BI15-120,IF(AI15&lt;&gt;"No",BI15-119,IF(BK15="Invisi-Gard Woven Stainless Steel",BI15-105,BI15-114))))</f>
        <v/>
      </c>
      <c r="BO15" s="55" t="str">
        <f>IF(Data!AW15="","",IF('Mitred Cutting'!C15="Invisi-Gard",BH15-149))</f>
        <v/>
      </c>
      <c r="BP15" s="55" t="str">
        <f>IF(Data!AW15="","",IF(AND('Mitred Cutting'!C15="Invisi-Gard",OR(AI15="Yes",AI15="Yes - Centre")),ROUNDDOWN(AJ15-117,0),IF('Mitred Cutting'!C15="Invisi-Gard",BI15-160,"")))</f>
        <v/>
      </c>
      <c r="BQ15" s="55" t="str">
        <f>IF(OR(AI15="No",Data!AW15=""),"",IF('Mitred Cutting'!C15="Invisi-Gard",BI15-BP15-235,""))</f>
        <v/>
      </c>
      <c r="BR15" s="55" t="str">
        <f>IF(OR(AE15="",AE15="Flyscreen",AE15="Fibreglass Mesh",AE15="Pet Mesh"),"",IF(OR(AE15="Woven Stainless Steel",AE15="Invisi-Gard Woven Stainless Steel"),(INDEX(WSSGrid,MATCH(BT15,WSSDrop,1),MATCH(BS15,WSSWidth,1))),IF(AE15="Standard Diamond",(INDEX(SDGGrid,MATCH(BT15,SDGDrop,1),MATCH(BS15,SDGWidth,1))),IF(AE15="DVA Mesh",(INDEX(DVAGrid,MATCH(BT15,DVADrop,1),MATCH(BS15,DVAWidth,1))),IF(AE15="Decorative Diamond",(INDEX(DDGGrid,MATCH(BT15,DDGDrop,1),MATCH(BS15,DDGWidth,1))),IF(AE15="Privacy-Gard",(INDEX(PGGrid,MATCH(BT15,PGDrop,1),MATCH(BS15,PGWidth,1))),IF(AE15="Woven Galvanised Steel",(INDEX(WGSGRID,MATCH(BT15,WGSDROP,1),MATCH(BS15,WGSWIDTH,1))),IF(AE15="Perforated Aluminium",(INDEX(AGGrid,MATCH(BT15,AGDrop,1),MATCH(BS15,AGWidth,1)))))))))))</f>
        <v/>
      </c>
      <c r="BS15" s="55" t="str">
        <f t="shared" si="0"/>
        <v/>
      </c>
      <c r="BT15" s="55" t="str">
        <f t="shared" si="1"/>
        <v/>
      </c>
      <c r="BU15" s="55" t="str">
        <f t="shared" si="2"/>
        <v/>
      </c>
      <c r="BV15" s="68" t="str">
        <f>IF(Data!AV15="","",IF(AND(J15="Hinged",M15="Not Required"),BI15/2,IF(OR(M15="Push 2 Go Triple Lock",M15="Triple Lock",M15="Ultra Secua Digital Triple Lock"),BI15/2,"")))</f>
        <v/>
      </c>
      <c r="BW15" s="68" t="str">
        <f t="shared" si="3"/>
        <v/>
      </c>
      <c r="BX15" s="55" t="str">
        <f>IF(OR(Data!BA15="",V15="N/A (Sliding/Stacker)",AND(OR(J15="Sliding",J15="Stacker"),M15="Not Required"),M15="Bass Latch"),"",IF(AND(J15="Hinged",M15="Not Required"),(X15-5)-VLOOKUP(W15,LockCode,2,FALSE),IF(AND(O15&lt;&gt;"",OR(F15="Opening",F15="Pip to Pip")),(O15-5)-VLOOKUP(N15,LockCode,2,FALSE),IF(AND(X15&lt;&gt;"",OR(F15="Opening",F15="Pip to Pip")),(X15-5)-VLOOKUP(W15,LockCode,2,FALSE),IF(AND(O15&lt;&gt;"",F15="Making"),(O15)-VLOOKUP(N15,LockCode,2,FALSE),IF(AND(X15&lt;&gt;"",F15="Making"),(X15)-VLOOKUP(W15,LockCode,2,FALSE)))))))</f>
        <v/>
      </c>
      <c r="BY15" s="55" t="str">
        <f>IF(OR(Data!BA15="",BV15=""),"",IF(O15&lt;&gt;"",BX15-VLOOKUP(CONCATENATE(J15,M15),LockAccess,3,FALSE),BX15-VLOOKUP(CONCATENATE(J15,V15),LockAccess,3,FALSE)))</f>
        <v/>
      </c>
      <c r="BZ15" s="55" t="str">
        <f>IF(OR(Data!BA15="",BV15=""),"",IF(O15&lt;&gt;"",BX15+VLOOKUP(CONCATENATE(J15,M15),LockAccess,4,FALSE),BX15+VLOOKUP(CONCATENATE(J15,V15),LockAccess,4,FALSE)))</f>
        <v/>
      </c>
      <c r="CA15" s="68" t="str">
        <f>IF(OR(Data!BE15="",BV15=""),"",IF(BY15&lt;150,"Yes","No"))</f>
        <v/>
      </c>
      <c r="CB15" s="68" t="str">
        <f>IF(OR(Data!BA15="",BV15=""),"",IF(BI15-BZ15&lt;150,"Yes","No"))</f>
        <v/>
      </c>
      <c r="CC15" s="68" t="str">
        <f>IF(OR(Data!BA15="",BV15=""),"",IF(O15&lt;&gt;"",BX15-VLOOKUP(CONCATENATE(J15,M15),LockAccess,5,FALSE),IF(X15&lt;&gt;"",BX15-VLOOKUP(CONCATENATE(J15,V15),LockAccess,5,FALSE))))</f>
        <v/>
      </c>
      <c r="CD15" s="68" t="str">
        <f>IF(OR(Data!BA15="",BV15=""),"",IF(O15&lt;&gt;"",BX15+VLOOKUP(CONCATENATE(J15,M15),LockAccess,6,FALSE),IF(X15&lt;&gt;"",BX15+VLOOKUP(CONCATENATE(J15,V15),LockAccess,6,FALSE))))</f>
        <v/>
      </c>
      <c r="CE15" s="68" t="str">
        <f>IF(OR(Data!BE15="",BV15=""),"",IF(CC15&lt;150,"Yes","No"))</f>
        <v/>
      </c>
      <c r="CF15" s="68" t="str">
        <f>IF(OR(Data!BA15="",BV15=""),"",IF(BI15-CD15&lt;150,"Yes","No"))</f>
        <v/>
      </c>
      <c r="CG15" s="68" t="str">
        <f>IF(OR(Data!BA15="",BV15=""),"",IF(O15&lt;&gt;"",BX15-VLOOKUP(CONCATENATE(J15,M15),LockAccess,7,FALSE),IF(X15&lt;&gt;"",BX15-VLOOKUP(CONCATENATE(J15,V15),LockAccess,7,FALSE))))</f>
        <v/>
      </c>
      <c r="CH15" s="68" t="str">
        <f>IF(OR(Data!BA15="",BV15=""),"",IF(O15&lt;&gt;"",BX15+VLOOKUP(CONCATENATE(J15,M15),LockAccess,8,FALSE),IF(X15&lt;&gt;"",BX15+VLOOKUP(CONCATENATE(J15,V15),LockAccess,8,FALSE))))</f>
        <v/>
      </c>
      <c r="CI15" s="68" t="str">
        <f>IF(OR(Data!BE15="",BV15=""),"",IF(CG15&lt;150,"Yes","No"))</f>
        <v/>
      </c>
      <c r="CJ15" s="68" t="str">
        <f>IF(OR(Data!BA15="",BV15=""),"",IF(BI15-CH15&lt;150,"Yes","No"))</f>
        <v/>
      </c>
      <c r="CK15" s="55" t="str">
        <f>IF(OR(Data!AV15="",M15="Single Lock",M15="Push 2 Go Single Lock",M15="Bass Latch",V15="N/A (Sliding/Stacker)",V15="Single Lock"),"",IF(OR(S15&lt;&gt;"",T15&lt;&gt;"",M15="Ultra Secua Digital Triple Lock"),J15&amp;" Adjustable",IF(VLOOKUP(CA15&amp;CB15,HighTripleLockKits,2,FALSE)="High",J15&amp;" High",IF(VLOOKUP(CE15&amp;CF15,LowTripleLockKits,2,FALSE)="Low",J15&amp;" Low",IF(VLOOKUP(CI15&amp;CJ15,PoolTripleLockKits,2,FALSE)="Pool",J15&amp;" Pool",IF(J15="Hinged","Hinged Adjustable",IF(OR(J15="Sliding",J15="Stacker"),"Sliding Adjustable","")))))))</f>
        <v/>
      </c>
      <c r="CL15" s="55" t="str">
        <f>IF(Data!AV15="","",VLOOKUP(CONCATENATE(J15,Data!BO15,M15,AI15,AV15),ChecklistCodes,2,FALSE))</f>
        <v/>
      </c>
    </row>
    <row r="16" spans="1:90" s="75" customFormat="1" ht="60" customHeight="1">
      <c r="A16" s="69">
        <f>Data!AW16</f>
        <v>0</v>
      </c>
      <c r="B16" s="55" t="str">
        <f>IF(Data!BE16="","",MID(Data!BE16,6,80))</f>
        <v/>
      </c>
      <c r="C16" s="56">
        <f>Data!AY16</f>
        <v>0</v>
      </c>
      <c r="D16" s="76">
        <f>SUM(Data!BA16)</f>
        <v>0</v>
      </c>
      <c r="E16" s="76">
        <f>SUM(Data!BB16)</f>
        <v>0</v>
      </c>
      <c r="F16" s="77" t="str">
        <f t="array" ref="F16">bpLOOKUP(Data!$AV16,"Size",CustOrdOpt,6,FALSE)</f>
        <v/>
      </c>
      <c r="G16" s="77" t="str">
        <f t="array" ref="G16">bpLOOKUP(Data!$AV16,"FIT",CustOrdOpt,6,FALSE)</f>
        <v/>
      </c>
      <c r="H16" s="77" t="str">
        <f t="array" ref="H16">bpLOOKUP(Data!$AV16,"FIXING",CustOrdOpt,6,FALSE)</f>
        <v/>
      </c>
      <c r="I16" s="55" t="str">
        <f t="array" ref="I16">bpLOOKUP(Data!$AV16,"SINGLE",CustOrdOpt,6,FALSE)</f>
        <v/>
      </c>
      <c r="J16" s="55" t="str">
        <f t="array" ref="J16">bpLOOKUP(Data!$AV16,"OPENTYPE",CustOrdOpt,6,FALSE)</f>
        <v/>
      </c>
      <c r="K16" s="55" t="str">
        <f t="array" ref="K16">IF(OR(J16="Hinged",J16="Sliding"),"None",bpLOOKUP(Data!$AV16,"STACKEROL",CustOrdOpt,6,FALSE))</f>
        <v/>
      </c>
      <c r="L16" s="55" t="str">
        <f t="array" ref="L16">bpLOOKUP(Data!$AV16,"HINGEATTACHED",CustOrdOpt,6,FALSE)</f>
        <v/>
      </c>
      <c r="M16" s="55" t="str">
        <f t="array" ref="M16">bpLOOKUP(Data!$AV16,"LOCKS",CustOrdOpt,6,FALSE)</f>
        <v/>
      </c>
      <c r="N16" s="55" t="str">
        <f t="array" ref="N16">bpLOOKUP(Data!$AV16,"HANDLECODE",CustOrdOpt,6,FALSE)</f>
        <v/>
      </c>
      <c r="O16" s="55" t="str">
        <f t="array" ref="O16">IF(OR(Data!BA16="",N16="Not Required"),"",bpLOOKUP(Data!$AV16,"HANDLEHEIGHT",CustOrdOpt,6,FALSE))</f>
        <v/>
      </c>
      <c r="P16" s="55" t="str">
        <f t="array" ref="P16">bpLOOKUP(Data!$AV16,"LOCKSIDE",CustOrdOpt,6,FALSE)</f>
        <v/>
      </c>
      <c r="Q16" s="55" t="str">
        <f t="array" ref="Q16">bpLOOKUP(Data!$AV16,"LOCKCOLOUR",CustOrdOpt,6,FALSE)</f>
        <v/>
      </c>
      <c r="R16" s="55" t="str">
        <f t="array" ref="R16">+bpLOOKUP(Data!$AV16,"STRIKER",CustOrdOpt,6,FALSE)</f>
        <v/>
      </c>
      <c r="S16" s="55" t="str">
        <f t="array" ref="S16">bpLOOKUP(Data!$AV16,"BLOCK",CustOrdOpt,6,FALSE)</f>
        <v/>
      </c>
      <c r="T16" s="55" t="str">
        <f t="array" ref="T16">bpLOOKUP(Data!$AV16,"TLOCK",CustOrdOpt,6,FALSE)</f>
        <v/>
      </c>
      <c r="U16" s="55" t="str">
        <f t="array" ref="U16">bpLOOKUP(Data!$AV16,"CLOSERCOLOUR",CustOrdOpt,6,FALSE)</f>
        <v/>
      </c>
      <c r="V16" s="55" t="str">
        <f t="array" ref="V16">bpLOOKUP(Data!$AV16,"DLOCKS",CustOrdOpt,6,FALSE)</f>
        <v/>
      </c>
      <c r="W16" s="55" t="str">
        <f t="array" ref="W16">bpLOOKUP(Data!$AV16,"DHANDLECODE",CustOrdOpt,6,FALSE)</f>
        <v/>
      </c>
      <c r="X16" s="55" t="str">
        <f t="array" ref="X16">IF(OR(Data!BH16="",W16="Not Required"),"",bpLOOKUP(Data!$AV16,"DHANDLEHEIGHT",CustOrdOpt,6,FALSE))</f>
        <v/>
      </c>
      <c r="Y16" s="55" t="str">
        <f t="array" ref="Y16">bpLOOKUP(Data!$AV16,"DHINGESIDE",CustOrdOpt,6,FALSE)</f>
        <v/>
      </c>
      <c r="Z16" s="55" t="str">
        <f t="array" ref="Z16">bpLOOKUP(Data!$AV16,"COLOURTYPE",CustOrdOpt,6,FALSE)</f>
        <v/>
      </c>
      <c r="AA16" s="55" t="str">
        <f t="array" ref="AA16">bpLOOKUP(Data!$AV16,"COLOUR",CustOrdOpt,6,FALSE)</f>
        <v/>
      </c>
      <c r="AB16" s="55" t="str">
        <f t="array" ref="AB16">bpLOOKUP(Data!$AV16,"DGRILCOLOUR",CustOrdOpt,6,FALSE)</f>
        <v/>
      </c>
      <c r="AC16" s="55" t="str">
        <f t="array" ref="AC16">bpLOOKUP(Data!$AV16,"DGPCCOLOUR",CustOrdOpt,6,FALSE)</f>
        <v/>
      </c>
      <c r="AD16" s="55" t="str">
        <f t="array" ref="AD16">bpLOOKUP(Data!$AV16,"CCASTD",CustOrdOpt,6,FALSE)</f>
        <v/>
      </c>
      <c r="AE16" s="55" t="str">
        <f t="array" ref="AE16">bpLOOKUP(Data!$AV16,"MESH",CustOrdOpt,6,FALSE)</f>
        <v/>
      </c>
      <c r="AF16" s="55" t="str">
        <f t="array" ref="AF16">bpLOOKUP(Data!$AV16,"DVACOLOUR",CustOrdOpt,6,FALSE)</f>
        <v/>
      </c>
      <c r="AG16" s="55" t="str">
        <f t="array" ref="AG16">bpLOOKUP(Data!$AV16,"DVAPCCOLOUR",CustOrdOpt,6,FALSE)</f>
        <v/>
      </c>
      <c r="AH16" s="55" t="str">
        <f t="array" ref="AH16">bpLOOKUP(Data!$AV16,"KEYALIKE",CustOrdOpt,6,FALSE)</f>
        <v/>
      </c>
      <c r="AI16" s="55" t="str">
        <f t="array" ref="AI16">bpLOOKUP(Data!$AV16,"MIDRAIL",CustOrdOpt,6,FALSE)</f>
        <v/>
      </c>
      <c r="AJ16" s="68" t="str">
        <f t="array" ref="AJ16">IF(AI16="Yes - Centre",BI16/2,bpLOOKUP(Data!$AV16,"MIDRAILHEIGHT",CustOrdOpt,6,FALSE))</f>
        <v/>
      </c>
      <c r="AK16" s="68" t="str">
        <f t="array" ref="AK16">bpLOOKUP(Data!$AV16,"MIDRAILCOLOUR",CustOrdOpt,6,FALSE)</f>
        <v/>
      </c>
      <c r="AL16" s="55" t="str">
        <f t="array" ref="AL16">bpLOOKUP(Data!$AV16,"FZ",CustOrdOpt,6,FALSE)</f>
        <v/>
      </c>
      <c r="AM16" s="55" t="str">
        <f t="array" ref="AM16">bpLOOKUP(Data!$AV16,"LONGLEG",CustOrdOpt,6,FALSE)</f>
        <v/>
      </c>
      <c r="AN16" s="55" t="str">
        <f t="array" ref="AN16">bpLOOKUP(Data!$AV16,"LONGLEGCOLOUR",CustOrdOpt,6,FALSE)</f>
        <v/>
      </c>
      <c r="AO16" s="54" t="str">
        <f t="array" ref="AO16">bpLOOKUP(Data!$AV16,"DOUBLE",CustOrdOpt,6,FALSE)</f>
        <v/>
      </c>
      <c r="AP16" s="54" t="str">
        <f t="array" ref="AP16">bpLOOKUP(Data!$AV16,"DOUBLEWIDTH",CustOrdOpt,6,FALSE)</f>
        <v/>
      </c>
      <c r="AQ16" s="55" t="str">
        <f t="array" ref="AQ16">bpLOOKUP(Data!$AV16,"DDPARTS",CustOrdOpt,6,FALSE)</f>
        <v/>
      </c>
      <c r="AR16" s="55" t="str">
        <f t="array" ref="AR16">bpLOOKUP(Data!$AV16,"INTERLOCKS",CustOrdOpt,6,FALSE)</f>
        <v/>
      </c>
      <c r="AS16" s="55" t="str">
        <f t="array" ref="AS16">bpLOOKUP(Data!$AV16,"SLIDINGTRACK",CustOrdOpt,6,FALSE)</f>
        <v/>
      </c>
      <c r="AT16" s="68" t="str">
        <f t="array" ref="AT16">IF(bpLOOKUP(Data!$AV16,"SLIDINGTRACKMM",CustOrdOpt,6,FALSE)="","",VALUE(bpLOOKUP(Data!$AV16,"SLIDINGTRACKMM",CustOrdOpt,6,FALSE)))</f>
        <v/>
      </c>
      <c r="AU16" s="55" t="str">
        <f t="array" ref="AU16">bpLOOKUP(Data!$AV16,"GUIDEBLOCKS",CustOrdOpt,6,FALSE)</f>
        <v/>
      </c>
      <c r="AV16" s="55" t="str">
        <f t="array" ref="AV16">(bpLOOKUP(Data!$AV16,"DOGDOOR",CustOrdOpt,6,FALSE))</f>
        <v/>
      </c>
      <c r="AW16" s="55" t="str">
        <f t="array" ref="AW16">(bpLOOKUP(Data!$AV16,"DOGDOORSIZE",CustOrdOpt,6,FALSE))</f>
        <v/>
      </c>
      <c r="AX16" s="55" t="str">
        <f t="array" ref="AX16">(bpLOOKUP(Data!$AV16,"DOGDOORCOLOUR",CustOrdOpt,6,FALSE))</f>
        <v/>
      </c>
      <c r="AY16" s="55" t="str">
        <f t="array" ref="AY16">(bpLOOKUP(Data!$AV16,"DOGDOORPOSITION",CustOrdOpt,6,FALSE))</f>
        <v/>
      </c>
      <c r="AZ16" s="77" t="str">
        <f t="array" ref="AZ16">bpLOOKUP(Data!$AV16,"SIDEBYSIDE",CustOrdOpt,6,FALSE)</f>
        <v/>
      </c>
      <c r="BA16" s="77" t="str">
        <f t="array" ref="BA16">bpLOOKUP(Data!$AV16,"SIDEBYSIDE2",CustOrdOpt,6,FALSE)</f>
        <v/>
      </c>
      <c r="BB16" s="55" t="str">
        <f t="array" ref="BB16">bpLOOKUP(Data!$AV16,"INSTALLATION",CustOrdOpt,6,FALSE)</f>
        <v/>
      </c>
      <c r="BC16" s="55" t="str">
        <f t="array" ref="BC16">bpLOOKUP(Data!$AV16,"INSTALLG",CustOrdOpt,6,FALSE)</f>
        <v/>
      </c>
      <c r="BD16" s="55" t="str">
        <f t="array" ref="BD16">bpLOOKUP(Data!$AV16,"TAKEDOWN",CustOrdOpt,6,FALSE)</f>
        <v/>
      </c>
      <c r="BE16" s="55" t="str">
        <f t="array" ref="BE16">bpLOOKUP(Data!$AV16,"CHECKM",CustOrdOpt,6,FALSE)</f>
        <v/>
      </c>
      <c r="BF16" s="55" t="str">
        <f t="array" ref="BF16">bpLOOKUP(Data!$AV16,"Notes",CustOrdOpt,6,FALSE)</f>
        <v/>
      </c>
      <c r="BG16" s="125"/>
      <c r="BH16" s="40" t="str">
        <f>IF(Data!BA16="","",IF(F16="Making",Data!BA16,IF(AND(OR(V16="N/A (Sliding/Stacker)",M16="Bass Latch"),OR(F16="Opening",F16="Pip to Pip")),Data!BA16-VLOOKUP(CONCATENATE(I16,J16,H16,AM16),FixDeduct,2,FALSE)-VLOOKUP(AZ16,SideDeduct,2,FALSE)-VLOOKUP(BA16,SideDeduct,2,FALSE)+VLOOKUP(K16,STACKEROL,2,FALSE)+4,IF(OR(F16="Opening",F16="Pip to Pip"),Data!BA16-VLOOKUP(CONCATENATE(I16,J16,H16,AM16),FixDeduct,2,FALSE)-VLOOKUP(AZ16,SideDeduct,2,FALSE)-VLOOKUP(BA16,SideDeduct,2,FALSE)+VLOOKUP(K16,STACKEROL,2,FALSE)))))</f>
        <v/>
      </c>
      <c r="BI16" s="40" t="str">
        <f>IF(Data!BB16="","",IF(OR(F16="Opening",F16="Pip to Pip"),Data!BB16-VLOOKUP(CONCATENATE(I16,J16,H16,AM16),FixDeduct,3,FALSE)-VLOOKUP(AZ16,SideDeduct,3,FALSE)-VLOOKUP(BA16,SideDeduct,3,FALSE)-VLOOKUP(AS16,Track,3,FALSE),IF(F16="Making",Data!BB16)))</f>
        <v/>
      </c>
      <c r="BJ16" s="69" t="str">
        <f>IF(Data!AV16="","",IF(J16="Hinged",BH16-2,BH16-5))</f>
        <v/>
      </c>
      <c r="BK16" s="55">
        <f>Data!BO16</f>
        <v>0</v>
      </c>
      <c r="BL16" s="55" t="str">
        <f>IF(Data!AV16="","",IF(OR(BK16="Flyscreen",BK16="Alu-Screen",BK16="Pet Mesh",BK16="Stainless Steel"),"",IF(OR(BK16="Woven Stainless Steel",BK16="Invisi-Gard Woven Stainless Steel"),(INDEX(WSSGrid,MATCH(BN16,WSSDrop,1),MATCH(BM16,WSSWidth,1))),IF(BK16="Standard Diamond",(INDEX(SDGGrid,MATCH(BN16,SDGDrop,1),MATCH(BM16,SDGWidth,1))),IF(BK16="Decorative Diamond",(INDEX(DDGGrid,MATCH(BN16,DDGDrop,1),MATCH(BM16,DDGWidth,1))),IF(BK16="Privacy-Gard",(INDEX(PGGrid,MATCH(BN16,PGDrop,1),MATCH(BM16,PGWidth,1))),IF(BK16="Woven Galvanised Steel",(INDEX(WGSGRID,MATCH(BN16,WGSDROP,1),MATCH(BM16,WGSWIDTH,1))),IF(BK16="Alu-Gard Perforated Aluminium",(INDEX(AGGrid,MATCH(BN16,AGDrop,1),MATCH(BM16,AGWidth,1)))))))))))</f>
        <v/>
      </c>
      <c r="BM16" s="55" t="str">
        <f>IF(BK16="Flyscreen","",IF(BK16="Invisi-Gard Woven Stainless Steel",BH16-105,IF(Data!BA16="","",BH16-114)))</f>
        <v/>
      </c>
      <c r="BN16" s="55" t="str">
        <f>IF(OR(BK16="Flyscreen",Data!BA16=""),"",IF(AND(AI16&lt;&gt;"No",BK16="Invisi-Gard Woven Stainless Steel"),BI16-120,IF(AI16&lt;&gt;"No",BI16-119,IF(BK16="Invisi-Gard Woven Stainless Steel",BI16-105,BI16-114))))</f>
        <v/>
      </c>
      <c r="BO16" s="55" t="str">
        <f>IF(Data!AW16="","",IF('Mitred Cutting'!C16="Invisi-Gard",BH16-149))</f>
        <v/>
      </c>
      <c r="BP16" s="55" t="str">
        <f>IF(Data!AW16="","",IF(AND('Mitred Cutting'!C16="Invisi-Gard",OR(AI16="Yes",AI16="Yes - Centre")),ROUNDDOWN(AJ16-117,0),IF('Mitred Cutting'!C16="Invisi-Gard",BI16-160,"")))</f>
        <v/>
      </c>
      <c r="BQ16" s="55" t="str">
        <f>IF(OR(AI16="No",Data!AW16=""),"",IF('Mitred Cutting'!C16="Invisi-Gard",BI16-BP16-235,""))</f>
        <v/>
      </c>
      <c r="BR16" s="55" t="str">
        <f>IF(OR(AE16="",AE16="Flyscreen",AE16="Fibreglass Mesh",AE16="Pet Mesh"),"",IF(OR(AE16="Woven Stainless Steel",AE16="Invisi-Gard Woven Stainless Steel"),(INDEX(WSSGrid,MATCH(BT16,WSSDrop,1),MATCH(BS16,WSSWidth,1))),IF(AE16="Standard Diamond",(INDEX(SDGGrid,MATCH(BT16,SDGDrop,1),MATCH(BS16,SDGWidth,1))),IF(AE16="DVA Mesh",(INDEX(DVAGrid,MATCH(BT16,DVADrop,1),MATCH(BS16,DVAWidth,1))),IF(AE16="Decorative Diamond",(INDEX(DDGGrid,MATCH(BT16,DDGDrop,1),MATCH(BS16,DDGWidth,1))),IF(AE16="Privacy-Gard",(INDEX(PGGrid,MATCH(BT16,PGDrop,1),MATCH(BS16,PGWidth,1))),IF(AE16="Woven Galvanised Steel",(INDEX(WGSGRID,MATCH(BT16,WGSDROP,1),MATCH(BS16,WGSWIDTH,1))),IF(AE16="Perforated Aluminium",(INDEX(AGGrid,MATCH(BT16,AGDrop,1),MATCH(BS16,AGWidth,1)))))))))))</f>
        <v/>
      </c>
      <c r="BS16" s="55" t="str">
        <f t="shared" si="0"/>
        <v/>
      </c>
      <c r="BT16" s="55" t="str">
        <f t="shared" si="1"/>
        <v/>
      </c>
      <c r="BU16" s="55" t="str">
        <f t="shared" si="2"/>
        <v/>
      </c>
      <c r="BV16" s="68" t="str">
        <f>IF(Data!AV16="","",IF(AND(J16="Hinged",M16="Not Required"),BI16/2,IF(OR(M16="Push 2 Go Triple Lock",M16="Triple Lock",M16="Ultra Secua Digital Triple Lock"),BI16/2,"")))</f>
        <v/>
      </c>
      <c r="BW16" s="68" t="str">
        <f t="shared" si="3"/>
        <v/>
      </c>
      <c r="BX16" s="55" t="str">
        <f>IF(OR(Data!BA16="",V16="N/A (Sliding/Stacker)",AND(OR(J16="Sliding",J16="Stacker"),M16="Not Required"),M16="Bass Latch"),"",IF(AND(J16="Hinged",M16="Not Required"),(X16-5)-VLOOKUP(W16,LockCode,2,FALSE),IF(AND(O16&lt;&gt;"",OR(F16="Opening",F16="Pip to Pip")),(O16-5)-VLOOKUP(N16,LockCode,2,FALSE),IF(AND(X16&lt;&gt;"",OR(F16="Opening",F16="Pip to Pip")),(X16-5)-VLOOKUP(W16,LockCode,2,FALSE),IF(AND(O16&lt;&gt;"",F16="Making"),(O16)-VLOOKUP(N16,LockCode,2,FALSE),IF(AND(X16&lt;&gt;"",F16="Making"),(X16)-VLOOKUP(W16,LockCode,2,FALSE)))))))</f>
        <v/>
      </c>
      <c r="BY16" s="55" t="str">
        <f>IF(OR(Data!BA16="",BV16=""),"",IF(O16&lt;&gt;"",BX16-VLOOKUP(CONCATENATE(J16,M16),LockAccess,3,FALSE),BX16-VLOOKUP(CONCATENATE(J16,V16),LockAccess,3,FALSE)))</f>
        <v/>
      </c>
      <c r="BZ16" s="55" t="str">
        <f>IF(OR(Data!BA16="",BV16=""),"",IF(O16&lt;&gt;"",BX16+VLOOKUP(CONCATENATE(J16,M16),LockAccess,4,FALSE),BX16+VLOOKUP(CONCATENATE(J16,V16),LockAccess,4,FALSE)))</f>
        <v/>
      </c>
      <c r="CA16" s="68" t="str">
        <f>IF(OR(Data!BE16="",BV16=""),"",IF(BY16&lt;150,"Yes","No"))</f>
        <v/>
      </c>
      <c r="CB16" s="68" t="str">
        <f>IF(OR(Data!BA16="",BV16=""),"",IF(BI16-BZ16&lt;150,"Yes","No"))</f>
        <v/>
      </c>
      <c r="CC16" s="68" t="str">
        <f>IF(OR(Data!BA16="",BV16=""),"",IF(O16&lt;&gt;"",BX16-VLOOKUP(CONCATENATE(J16,M16),LockAccess,5,FALSE),IF(X16&lt;&gt;"",BX16-VLOOKUP(CONCATENATE(J16,V16),LockAccess,5,FALSE))))</f>
        <v/>
      </c>
      <c r="CD16" s="68" t="str">
        <f>IF(OR(Data!BA16="",BV16=""),"",IF(O16&lt;&gt;"",BX16+VLOOKUP(CONCATENATE(J16,M16),LockAccess,6,FALSE),IF(X16&lt;&gt;"",BX16+VLOOKUP(CONCATENATE(J16,V16),LockAccess,6,FALSE))))</f>
        <v/>
      </c>
      <c r="CE16" s="68" t="str">
        <f>IF(OR(Data!BE16="",BV16=""),"",IF(CC16&lt;150,"Yes","No"))</f>
        <v/>
      </c>
      <c r="CF16" s="68" t="str">
        <f>IF(OR(Data!BA16="",BV16=""),"",IF(BI16-CD16&lt;150,"Yes","No"))</f>
        <v/>
      </c>
      <c r="CG16" s="68" t="str">
        <f>IF(OR(Data!BA16="",BV16=""),"",IF(O16&lt;&gt;"",BX16-VLOOKUP(CONCATENATE(J16,M16),LockAccess,7,FALSE),IF(X16&lt;&gt;"",BX16-VLOOKUP(CONCATENATE(J16,V16),LockAccess,7,FALSE))))</f>
        <v/>
      </c>
      <c r="CH16" s="68" t="str">
        <f>IF(OR(Data!BA16="",BV16=""),"",IF(O16&lt;&gt;"",BX16+VLOOKUP(CONCATENATE(J16,M16),LockAccess,8,FALSE),IF(X16&lt;&gt;"",BX16+VLOOKUP(CONCATENATE(J16,V16),LockAccess,8,FALSE))))</f>
        <v/>
      </c>
      <c r="CI16" s="68" t="str">
        <f>IF(OR(Data!BE16="",BV16=""),"",IF(CG16&lt;150,"Yes","No"))</f>
        <v/>
      </c>
      <c r="CJ16" s="68" t="str">
        <f>IF(OR(Data!BA16="",BV16=""),"",IF(BI16-CH16&lt;150,"Yes","No"))</f>
        <v/>
      </c>
      <c r="CK16" s="55" t="str">
        <f>IF(OR(Data!AV16="",M16="Single Lock",M16="Push 2 Go Single Lock",M16="Bass Latch",V16="N/A (Sliding/Stacker)",V16="Single Lock"),"",IF(OR(S16&lt;&gt;"",T16&lt;&gt;"",M16="Ultra Secua Digital Triple Lock"),J16&amp;" Adjustable",IF(VLOOKUP(CA16&amp;CB16,HighTripleLockKits,2,FALSE)="High",J16&amp;" High",IF(VLOOKUP(CE16&amp;CF16,LowTripleLockKits,2,FALSE)="Low",J16&amp;" Low",IF(VLOOKUP(CI16&amp;CJ16,PoolTripleLockKits,2,FALSE)="Pool",J16&amp;" Pool",IF(J16="Hinged","Hinged Adjustable",IF(OR(J16="Sliding",J16="Stacker"),"Sliding Adjustable","")))))))</f>
        <v/>
      </c>
      <c r="CL16" s="55" t="str">
        <f>IF(Data!AV16="","",VLOOKUP(CONCATENATE(J16,Data!BO16,M16,AI16,AV16),ChecklistCodes,2,FALSE))</f>
        <v/>
      </c>
    </row>
    <row r="17" spans="1:90" s="75" customFormat="1" ht="60" customHeight="1">
      <c r="A17" s="69">
        <f>Data!AW17</f>
        <v>0</v>
      </c>
      <c r="B17" s="55" t="str">
        <f>IF(Data!BE17="","",MID(Data!BE17,6,80))</f>
        <v/>
      </c>
      <c r="C17" s="56">
        <f>Data!AY17</f>
        <v>0</v>
      </c>
      <c r="D17" s="76">
        <f>SUM(Data!BA17)</f>
        <v>0</v>
      </c>
      <c r="E17" s="76">
        <f>SUM(Data!BB17)</f>
        <v>0</v>
      </c>
      <c r="F17" s="77" t="str">
        <f t="array" ref="F17">bpLOOKUP(Data!$AV17,"Size",CustOrdOpt,6,FALSE)</f>
        <v/>
      </c>
      <c r="G17" s="77" t="str">
        <f t="array" ref="G17">bpLOOKUP(Data!$AV17,"FIT",CustOrdOpt,6,FALSE)</f>
        <v/>
      </c>
      <c r="H17" s="77" t="str">
        <f t="array" ref="H17">bpLOOKUP(Data!$AV17,"FIXING",CustOrdOpt,6,FALSE)</f>
        <v/>
      </c>
      <c r="I17" s="55" t="str">
        <f t="array" ref="I17">bpLOOKUP(Data!$AV17,"SINGLE",CustOrdOpt,6,FALSE)</f>
        <v/>
      </c>
      <c r="J17" s="55" t="str">
        <f t="array" ref="J17">bpLOOKUP(Data!$AV17,"OPENTYPE",CustOrdOpt,6,FALSE)</f>
        <v/>
      </c>
      <c r="K17" s="55" t="str">
        <f t="array" ref="K17">IF(OR(J17="Hinged",J17="Sliding"),"None",bpLOOKUP(Data!$AV17,"STACKEROL",CustOrdOpt,6,FALSE))</f>
        <v/>
      </c>
      <c r="L17" s="55" t="str">
        <f t="array" ref="L17">bpLOOKUP(Data!$AV17,"HINGEATTACHED",CustOrdOpt,6,FALSE)</f>
        <v/>
      </c>
      <c r="M17" s="55" t="str">
        <f t="array" ref="M17">bpLOOKUP(Data!$AV17,"LOCKS",CustOrdOpt,6,FALSE)</f>
        <v/>
      </c>
      <c r="N17" s="55" t="str">
        <f t="array" ref="N17">bpLOOKUP(Data!$AV17,"HANDLECODE",CustOrdOpt,6,FALSE)</f>
        <v/>
      </c>
      <c r="O17" s="55" t="str">
        <f t="array" ref="O17">IF(OR(Data!BA17="",N17="Not Required"),"",bpLOOKUP(Data!$AV17,"HANDLEHEIGHT",CustOrdOpt,6,FALSE))</f>
        <v/>
      </c>
      <c r="P17" s="55" t="str">
        <f t="array" ref="P17">bpLOOKUP(Data!$AV17,"LOCKSIDE",CustOrdOpt,6,FALSE)</f>
        <v/>
      </c>
      <c r="Q17" s="55" t="str">
        <f t="array" ref="Q17">bpLOOKUP(Data!$AV17,"LOCKCOLOUR",CustOrdOpt,6,FALSE)</f>
        <v/>
      </c>
      <c r="R17" s="55" t="str">
        <f t="array" ref="R17">+bpLOOKUP(Data!$AV17,"STRIKER",CustOrdOpt,6,FALSE)</f>
        <v/>
      </c>
      <c r="S17" s="55" t="str">
        <f t="array" ref="S17">bpLOOKUP(Data!$AV17,"BLOCK",CustOrdOpt,6,FALSE)</f>
        <v/>
      </c>
      <c r="T17" s="55" t="str">
        <f t="array" ref="T17">bpLOOKUP(Data!$AV17,"TLOCK",CustOrdOpt,6,FALSE)</f>
        <v/>
      </c>
      <c r="U17" s="55" t="str">
        <f t="array" ref="U17">bpLOOKUP(Data!$AV17,"CLOSERCOLOUR",CustOrdOpt,6,FALSE)</f>
        <v/>
      </c>
      <c r="V17" s="55" t="str">
        <f t="array" ref="V17">bpLOOKUP(Data!$AV17,"DLOCKS",CustOrdOpt,6,FALSE)</f>
        <v/>
      </c>
      <c r="W17" s="55" t="str">
        <f t="array" ref="W17">bpLOOKUP(Data!$AV17,"DHANDLECODE",CustOrdOpt,6,FALSE)</f>
        <v/>
      </c>
      <c r="X17" s="55" t="str">
        <f t="array" ref="X17">IF(OR(Data!BH17="",W17="Not Required"),"",bpLOOKUP(Data!$AV17,"DHANDLEHEIGHT",CustOrdOpt,6,FALSE))</f>
        <v/>
      </c>
      <c r="Y17" s="55" t="str">
        <f t="array" ref="Y17">bpLOOKUP(Data!$AV17,"DHINGESIDE",CustOrdOpt,6,FALSE)</f>
        <v/>
      </c>
      <c r="Z17" s="55" t="str">
        <f t="array" ref="Z17">bpLOOKUP(Data!$AV17,"COLOURTYPE",CustOrdOpt,6,FALSE)</f>
        <v/>
      </c>
      <c r="AA17" s="55" t="str">
        <f t="array" ref="AA17">bpLOOKUP(Data!$AV17,"COLOUR",CustOrdOpt,6,FALSE)</f>
        <v/>
      </c>
      <c r="AB17" s="55" t="str">
        <f t="array" ref="AB17">bpLOOKUP(Data!$AV17,"DGRILCOLOUR",CustOrdOpt,6,FALSE)</f>
        <v/>
      </c>
      <c r="AC17" s="55" t="str">
        <f t="array" ref="AC17">bpLOOKUP(Data!$AV17,"DGPCCOLOUR",CustOrdOpt,6,FALSE)</f>
        <v/>
      </c>
      <c r="AD17" s="55" t="str">
        <f t="array" ref="AD17">bpLOOKUP(Data!$AV17,"CCASTD",CustOrdOpt,6,FALSE)</f>
        <v/>
      </c>
      <c r="AE17" s="55" t="str">
        <f t="array" ref="AE17">bpLOOKUP(Data!$AV17,"MESH",CustOrdOpt,6,FALSE)</f>
        <v/>
      </c>
      <c r="AF17" s="55" t="str">
        <f t="array" ref="AF17">bpLOOKUP(Data!$AV17,"DVACOLOUR",CustOrdOpt,6,FALSE)</f>
        <v/>
      </c>
      <c r="AG17" s="55" t="str">
        <f t="array" ref="AG17">bpLOOKUP(Data!$AV17,"DVAPCCOLOUR",CustOrdOpt,6,FALSE)</f>
        <v/>
      </c>
      <c r="AH17" s="55" t="str">
        <f t="array" ref="AH17">bpLOOKUP(Data!$AV17,"KEYALIKE",CustOrdOpt,6,FALSE)</f>
        <v/>
      </c>
      <c r="AI17" s="55" t="str">
        <f t="array" ref="AI17">bpLOOKUP(Data!$AV17,"MIDRAIL",CustOrdOpt,6,FALSE)</f>
        <v/>
      </c>
      <c r="AJ17" s="68" t="str">
        <f t="array" ref="AJ17">IF(AI17="Yes - Centre",BI17/2,bpLOOKUP(Data!$AV17,"MIDRAILHEIGHT",CustOrdOpt,6,FALSE))</f>
        <v/>
      </c>
      <c r="AK17" s="68" t="str">
        <f t="array" ref="AK17">bpLOOKUP(Data!$AV17,"MIDRAILCOLOUR",CustOrdOpt,6,FALSE)</f>
        <v/>
      </c>
      <c r="AL17" s="55" t="str">
        <f t="array" ref="AL17">bpLOOKUP(Data!$AV17,"FZ",CustOrdOpt,6,FALSE)</f>
        <v/>
      </c>
      <c r="AM17" s="55" t="str">
        <f t="array" ref="AM17">bpLOOKUP(Data!$AV17,"LONGLEG",CustOrdOpt,6,FALSE)</f>
        <v/>
      </c>
      <c r="AN17" s="55" t="str">
        <f t="array" ref="AN17">bpLOOKUP(Data!$AV17,"LONGLEGCOLOUR",CustOrdOpt,6,FALSE)</f>
        <v/>
      </c>
      <c r="AO17" s="54" t="str">
        <f t="array" ref="AO17">bpLOOKUP(Data!$AV17,"DOUBLE",CustOrdOpt,6,FALSE)</f>
        <v/>
      </c>
      <c r="AP17" s="54" t="str">
        <f t="array" ref="AP17">bpLOOKUP(Data!$AV17,"DOUBLEWIDTH",CustOrdOpt,6,FALSE)</f>
        <v/>
      </c>
      <c r="AQ17" s="55" t="str">
        <f t="array" ref="AQ17">bpLOOKUP(Data!$AV17,"DDPARTS",CustOrdOpt,6,FALSE)</f>
        <v/>
      </c>
      <c r="AR17" s="55" t="str">
        <f t="array" ref="AR17">bpLOOKUP(Data!$AV17,"INTERLOCKS",CustOrdOpt,6,FALSE)</f>
        <v/>
      </c>
      <c r="AS17" s="55" t="str">
        <f t="array" ref="AS17">bpLOOKUP(Data!$AV17,"SLIDINGTRACK",CustOrdOpt,6,FALSE)</f>
        <v/>
      </c>
      <c r="AT17" s="68" t="str">
        <f t="array" ref="AT17">IF(bpLOOKUP(Data!$AV17,"SLIDINGTRACKMM",CustOrdOpt,6,FALSE)="","",VALUE(bpLOOKUP(Data!$AV17,"SLIDINGTRACKMM",CustOrdOpt,6,FALSE)))</f>
        <v/>
      </c>
      <c r="AU17" s="55" t="str">
        <f t="array" ref="AU17">bpLOOKUP(Data!$AV17,"GUIDEBLOCKS",CustOrdOpt,6,FALSE)</f>
        <v/>
      </c>
      <c r="AV17" s="55" t="str">
        <f t="array" ref="AV17">(bpLOOKUP(Data!$AV17,"DOGDOOR",CustOrdOpt,6,FALSE))</f>
        <v/>
      </c>
      <c r="AW17" s="55" t="str">
        <f t="array" ref="AW17">(bpLOOKUP(Data!$AV17,"DOGDOORSIZE",CustOrdOpt,6,FALSE))</f>
        <v/>
      </c>
      <c r="AX17" s="55" t="str">
        <f t="array" ref="AX17">(bpLOOKUP(Data!$AV17,"DOGDOORCOLOUR",CustOrdOpt,6,FALSE))</f>
        <v/>
      </c>
      <c r="AY17" s="55" t="str">
        <f t="array" ref="AY17">(bpLOOKUP(Data!$AV17,"DOGDOORPOSITION",CustOrdOpt,6,FALSE))</f>
        <v/>
      </c>
      <c r="AZ17" s="77" t="str">
        <f t="array" ref="AZ17">bpLOOKUP(Data!$AV17,"SIDEBYSIDE",CustOrdOpt,6,FALSE)</f>
        <v/>
      </c>
      <c r="BA17" s="77" t="str">
        <f t="array" ref="BA17">bpLOOKUP(Data!$AV17,"SIDEBYSIDE2",CustOrdOpt,6,FALSE)</f>
        <v/>
      </c>
      <c r="BB17" s="55" t="str">
        <f t="array" ref="BB17">bpLOOKUP(Data!$AV17,"INSTALLATION",CustOrdOpt,6,FALSE)</f>
        <v/>
      </c>
      <c r="BC17" s="55" t="str">
        <f t="array" ref="BC17">bpLOOKUP(Data!$AV17,"INSTALLG",CustOrdOpt,6,FALSE)</f>
        <v/>
      </c>
      <c r="BD17" s="55" t="str">
        <f t="array" ref="BD17">bpLOOKUP(Data!$AV17,"TAKEDOWN",CustOrdOpt,6,FALSE)</f>
        <v/>
      </c>
      <c r="BE17" s="55" t="str">
        <f t="array" ref="BE17">bpLOOKUP(Data!$AV17,"CHECKM",CustOrdOpt,6,FALSE)</f>
        <v/>
      </c>
      <c r="BF17" s="55" t="str">
        <f t="array" ref="BF17">bpLOOKUP(Data!$AV17,"Notes",CustOrdOpt,6,FALSE)</f>
        <v/>
      </c>
      <c r="BG17" s="125"/>
      <c r="BH17" s="40" t="str">
        <f>IF(Data!BA17="","",IF(F17="Making",Data!BA17,IF(AND(OR(V17="N/A (Sliding/Stacker)",M17="Bass Latch"),OR(F17="Opening",F17="Pip to Pip")),Data!BA17-VLOOKUP(CONCATENATE(I17,J17,H17,AM17),FixDeduct,2,FALSE)-VLOOKUP(AZ17,SideDeduct,2,FALSE)-VLOOKUP(BA17,SideDeduct,2,FALSE)+VLOOKUP(K17,STACKEROL,2,FALSE)+4,IF(OR(F17="Opening",F17="Pip to Pip"),Data!BA17-VLOOKUP(CONCATENATE(I17,J17,H17,AM17),FixDeduct,2,FALSE)-VLOOKUP(AZ17,SideDeduct,2,FALSE)-VLOOKUP(BA17,SideDeduct,2,FALSE)+VLOOKUP(K17,STACKEROL,2,FALSE)))))</f>
        <v/>
      </c>
      <c r="BI17" s="40" t="str">
        <f>IF(Data!BB17="","",IF(OR(F17="Opening",F17="Pip to Pip"),Data!BB17-VLOOKUP(CONCATENATE(I17,J17,H17,AM17),FixDeduct,3,FALSE)-VLOOKUP(AZ17,SideDeduct,3,FALSE)-VLOOKUP(BA17,SideDeduct,3,FALSE)-VLOOKUP(AS17,Track,3,FALSE),IF(F17="Making",Data!BB17)))</f>
        <v/>
      </c>
      <c r="BJ17" s="69" t="str">
        <f>IF(Data!AV17="","",IF(J17="Hinged",BH17-2,BH17-5))</f>
        <v/>
      </c>
      <c r="BK17" s="55">
        <f>Data!BO17</f>
        <v>0</v>
      </c>
      <c r="BL17" s="55" t="str">
        <f>IF(Data!AV17="","",IF(OR(BK17="Flyscreen",BK17="Alu-Screen",BK17="Pet Mesh",BK17="Stainless Steel"),"",IF(OR(BK17="Woven Stainless Steel",BK17="Invisi-Gard Woven Stainless Steel"),(INDEX(WSSGrid,MATCH(BN17,WSSDrop,1),MATCH(BM17,WSSWidth,1))),IF(BK17="Standard Diamond",(INDEX(SDGGrid,MATCH(BN17,SDGDrop,1),MATCH(BM17,SDGWidth,1))),IF(BK17="Decorative Diamond",(INDEX(DDGGrid,MATCH(BN17,DDGDrop,1),MATCH(BM17,DDGWidth,1))),IF(BK17="Privacy-Gard",(INDEX(PGGrid,MATCH(BN17,PGDrop,1),MATCH(BM17,PGWidth,1))),IF(BK17="Woven Galvanised Steel",(INDEX(WGSGRID,MATCH(BN17,WGSDROP,1),MATCH(BM17,WGSWIDTH,1))),IF(BK17="Alu-Gard Perforated Aluminium",(INDEX(AGGrid,MATCH(BN17,AGDrop,1),MATCH(BM17,AGWidth,1)))))))))))</f>
        <v/>
      </c>
      <c r="BM17" s="55" t="str">
        <f>IF(BK17="Flyscreen","",IF(BK17="Invisi-Gard Woven Stainless Steel",BH17-105,IF(Data!BA17="","",BH17-114)))</f>
        <v/>
      </c>
      <c r="BN17" s="55" t="str">
        <f>IF(OR(BK17="Flyscreen",Data!BA17=""),"",IF(AND(AI17&lt;&gt;"No",BK17="Invisi-Gard Woven Stainless Steel"),BI17-120,IF(AI17&lt;&gt;"No",BI17-119,IF(BK17="Invisi-Gard Woven Stainless Steel",BI17-105,BI17-114))))</f>
        <v/>
      </c>
      <c r="BO17" s="55" t="str">
        <f>IF(Data!AW17="","",IF('Mitred Cutting'!C17="Invisi-Gard",BH17-149))</f>
        <v/>
      </c>
      <c r="BP17" s="55" t="str">
        <f>IF(Data!AW17="","",IF(AND('Mitred Cutting'!C17="Invisi-Gard",OR(AI17="Yes",AI17="Yes - Centre")),ROUNDDOWN(AJ17-117,0),IF('Mitred Cutting'!C17="Invisi-Gard",BI17-160,"")))</f>
        <v/>
      </c>
      <c r="BQ17" s="55" t="str">
        <f>IF(OR(AI17="No",Data!AW17=""),"",IF('Mitred Cutting'!C17="Invisi-Gard",BI17-BP17-235,""))</f>
        <v/>
      </c>
      <c r="BR17" s="55" t="str">
        <f>IF(OR(AE17="",AE17="Flyscreen",AE17="Fibreglass Mesh",AE17="Pet Mesh"),"",IF(OR(AE17="Woven Stainless Steel",AE17="Invisi-Gard Woven Stainless Steel"),(INDEX(WSSGrid,MATCH(BT17,WSSDrop,1),MATCH(BS17,WSSWidth,1))),IF(AE17="Standard Diamond",(INDEX(SDGGrid,MATCH(BT17,SDGDrop,1),MATCH(BS17,SDGWidth,1))),IF(AE17="DVA Mesh",(INDEX(DVAGrid,MATCH(BT17,DVADrop,1),MATCH(BS17,DVAWidth,1))),IF(AE17="Decorative Diamond",(INDEX(DDGGrid,MATCH(BT17,DDGDrop,1),MATCH(BS17,DDGWidth,1))),IF(AE17="Privacy-Gard",(INDEX(PGGrid,MATCH(BT17,PGDrop,1),MATCH(BS17,PGWidth,1))),IF(AE17="Woven Galvanised Steel",(INDEX(WGSGRID,MATCH(BT17,WGSDROP,1),MATCH(BS17,WGSWIDTH,1))),IF(AE17="Perforated Aluminium",(INDEX(AGGrid,MATCH(BT17,AGDrop,1),MATCH(BS17,AGWidth,1)))))))))))</f>
        <v/>
      </c>
      <c r="BS17" s="55" t="str">
        <f t="shared" si="0"/>
        <v/>
      </c>
      <c r="BT17" s="55" t="str">
        <f t="shared" si="1"/>
        <v/>
      </c>
      <c r="BU17" s="55" t="str">
        <f t="shared" si="2"/>
        <v/>
      </c>
      <c r="BV17" s="68" t="str">
        <f>IF(Data!AV17="","",IF(AND(J17="Hinged",M17="Not Required"),BI17/2,IF(OR(M17="Push 2 Go Triple Lock",M17="Triple Lock",M17="Ultra Secua Digital Triple Lock"),BI17/2,"")))</f>
        <v/>
      </c>
      <c r="BW17" s="68" t="str">
        <f t="shared" si="3"/>
        <v/>
      </c>
      <c r="BX17" s="55" t="str">
        <f>IF(OR(Data!BA17="",V17="N/A (Sliding/Stacker)",AND(OR(J17="Sliding",J17="Stacker"),M17="Not Required"),M17="Bass Latch"),"",IF(AND(J17="Hinged",M17="Not Required"),(X17-5)-VLOOKUP(W17,LockCode,2,FALSE),IF(AND(O17&lt;&gt;"",OR(F17="Opening",F17="Pip to Pip")),(O17-5)-VLOOKUP(N17,LockCode,2,FALSE),IF(AND(X17&lt;&gt;"",OR(F17="Opening",F17="Pip to Pip")),(X17-5)-VLOOKUP(W17,LockCode,2,FALSE),IF(AND(O17&lt;&gt;"",F17="Making"),(O17)-VLOOKUP(N17,LockCode,2,FALSE),IF(AND(X17&lt;&gt;"",F17="Making"),(X17)-VLOOKUP(W17,LockCode,2,FALSE)))))))</f>
        <v/>
      </c>
      <c r="BY17" s="55" t="str">
        <f>IF(OR(Data!BA17="",BV17=""),"",IF(O17&lt;&gt;"",BX17-VLOOKUP(CONCATENATE(J17,M17),LockAccess,3,FALSE),BX17-VLOOKUP(CONCATENATE(J17,V17),LockAccess,3,FALSE)))</f>
        <v/>
      </c>
      <c r="BZ17" s="55" t="str">
        <f>IF(OR(Data!BA17="",BV17=""),"",IF(O17&lt;&gt;"",BX17+VLOOKUP(CONCATENATE(J17,M17),LockAccess,4,FALSE),BX17+VLOOKUP(CONCATENATE(J17,V17),LockAccess,4,FALSE)))</f>
        <v/>
      </c>
      <c r="CA17" s="68" t="str">
        <f>IF(OR(Data!BE17="",BV17=""),"",IF(BY17&lt;150,"Yes","No"))</f>
        <v/>
      </c>
      <c r="CB17" s="68" t="str">
        <f>IF(OR(Data!BA17="",BV17=""),"",IF(BI17-BZ17&lt;150,"Yes","No"))</f>
        <v/>
      </c>
      <c r="CC17" s="68" t="str">
        <f>IF(OR(Data!BA17="",BV17=""),"",IF(O17&lt;&gt;"",BX17-VLOOKUP(CONCATENATE(J17,M17),LockAccess,5,FALSE),IF(X17&lt;&gt;"",BX17-VLOOKUP(CONCATENATE(J17,V17),LockAccess,5,FALSE))))</f>
        <v/>
      </c>
      <c r="CD17" s="68" t="str">
        <f>IF(OR(Data!BA17="",BV17=""),"",IF(O17&lt;&gt;"",BX17+VLOOKUP(CONCATENATE(J17,M17),LockAccess,6,FALSE),IF(X17&lt;&gt;"",BX17+VLOOKUP(CONCATENATE(J17,V17),LockAccess,6,FALSE))))</f>
        <v/>
      </c>
      <c r="CE17" s="68" t="str">
        <f>IF(OR(Data!BE17="",BV17=""),"",IF(CC17&lt;150,"Yes","No"))</f>
        <v/>
      </c>
      <c r="CF17" s="68" t="str">
        <f>IF(OR(Data!BA17="",BV17=""),"",IF(BI17-CD17&lt;150,"Yes","No"))</f>
        <v/>
      </c>
      <c r="CG17" s="68" t="str">
        <f>IF(OR(Data!BA17="",BV17=""),"",IF(O17&lt;&gt;"",BX17-VLOOKUP(CONCATENATE(J17,M17),LockAccess,7,FALSE),IF(X17&lt;&gt;"",BX17-VLOOKUP(CONCATENATE(J17,V17),LockAccess,7,FALSE))))</f>
        <v/>
      </c>
      <c r="CH17" s="68" t="str">
        <f>IF(OR(Data!BA17="",BV17=""),"",IF(O17&lt;&gt;"",BX17+VLOOKUP(CONCATENATE(J17,M17),LockAccess,8,FALSE),IF(X17&lt;&gt;"",BX17+VLOOKUP(CONCATENATE(J17,V17),LockAccess,8,FALSE))))</f>
        <v/>
      </c>
      <c r="CI17" s="68" t="str">
        <f>IF(OR(Data!BE17="",BV17=""),"",IF(CG17&lt;150,"Yes","No"))</f>
        <v/>
      </c>
      <c r="CJ17" s="68" t="str">
        <f>IF(OR(Data!BA17="",BV17=""),"",IF(BI17-CH17&lt;150,"Yes","No"))</f>
        <v/>
      </c>
      <c r="CK17" s="55" t="str">
        <f>IF(OR(Data!AV17="",M17="Single Lock",M17="Push 2 Go Single Lock",M17="Bass Latch",V17="N/A (Sliding/Stacker)",V17="Single Lock"),"",IF(OR(S17&lt;&gt;"",T17&lt;&gt;"",M17="Ultra Secua Digital Triple Lock"),J17&amp;" Adjustable",IF(VLOOKUP(CA17&amp;CB17,HighTripleLockKits,2,FALSE)="High",J17&amp;" High",IF(VLOOKUP(CE17&amp;CF17,LowTripleLockKits,2,FALSE)="Low",J17&amp;" Low",IF(VLOOKUP(CI17&amp;CJ17,PoolTripleLockKits,2,FALSE)="Pool",J17&amp;" Pool",IF(J17="Hinged","Hinged Adjustable",IF(OR(J17="Sliding",J17="Stacker"),"Sliding Adjustable","")))))))</f>
        <v/>
      </c>
      <c r="CL17" s="55" t="str">
        <f>IF(Data!AV17="","",VLOOKUP(CONCATENATE(J17,Data!BO17,M17,AI17,AV17),ChecklistCodes,2,FALSE))</f>
        <v/>
      </c>
    </row>
    <row r="18" spans="1:90" s="75" customFormat="1" ht="60" customHeight="1">
      <c r="A18" s="69">
        <f>Data!AW18</f>
        <v>0</v>
      </c>
      <c r="B18" s="55" t="str">
        <f>IF(Data!BE18="","",MID(Data!BE18,6,80))</f>
        <v/>
      </c>
      <c r="C18" s="56">
        <f>Data!AY18</f>
        <v>0</v>
      </c>
      <c r="D18" s="76">
        <f>SUM(Data!BA18)</f>
        <v>0</v>
      </c>
      <c r="E18" s="76">
        <f>SUM(Data!BB18)</f>
        <v>0</v>
      </c>
      <c r="F18" s="77" t="str">
        <f t="array" ref="F18">bpLOOKUP(Data!$AV18,"Size",CustOrdOpt,6,FALSE)</f>
        <v/>
      </c>
      <c r="G18" s="77" t="str">
        <f t="array" ref="G18">bpLOOKUP(Data!$AV18,"FIT",CustOrdOpt,6,FALSE)</f>
        <v/>
      </c>
      <c r="H18" s="77" t="str">
        <f t="array" ref="H18">bpLOOKUP(Data!$AV18,"FIXING",CustOrdOpt,6,FALSE)</f>
        <v/>
      </c>
      <c r="I18" s="55" t="str">
        <f t="array" ref="I18">bpLOOKUP(Data!$AV18,"SINGLE",CustOrdOpt,6,FALSE)</f>
        <v/>
      </c>
      <c r="J18" s="55" t="str">
        <f t="array" ref="J18">bpLOOKUP(Data!$AV18,"OPENTYPE",CustOrdOpt,6,FALSE)</f>
        <v/>
      </c>
      <c r="K18" s="55" t="str">
        <f t="array" ref="K18">IF(OR(J18="Hinged",J18="Sliding"),"None",bpLOOKUP(Data!$AV18,"STACKEROL",CustOrdOpt,6,FALSE))</f>
        <v/>
      </c>
      <c r="L18" s="55" t="str">
        <f t="array" ref="L18">bpLOOKUP(Data!$AV18,"HINGEATTACHED",CustOrdOpt,6,FALSE)</f>
        <v/>
      </c>
      <c r="M18" s="55" t="str">
        <f t="array" ref="M18">bpLOOKUP(Data!$AV18,"LOCKS",CustOrdOpt,6,FALSE)</f>
        <v/>
      </c>
      <c r="N18" s="55" t="str">
        <f t="array" ref="N18">bpLOOKUP(Data!$AV18,"HANDLECODE",CustOrdOpt,6,FALSE)</f>
        <v/>
      </c>
      <c r="O18" s="55" t="str">
        <f t="array" ref="O18">IF(OR(Data!BA18="",N18="Not Required"),"",bpLOOKUP(Data!$AV18,"HANDLEHEIGHT",CustOrdOpt,6,FALSE))</f>
        <v/>
      </c>
      <c r="P18" s="55" t="str">
        <f t="array" ref="P18">bpLOOKUP(Data!$AV18,"LOCKSIDE",CustOrdOpt,6,FALSE)</f>
        <v/>
      </c>
      <c r="Q18" s="55" t="str">
        <f t="array" ref="Q18">bpLOOKUP(Data!$AV18,"LOCKCOLOUR",CustOrdOpt,6,FALSE)</f>
        <v/>
      </c>
      <c r="R18" s="55" t="str">
        <f t="array" ref="R18">+bpLOOKUP(Data!$AV18,"STRIKER",CustOrdOpt,6,FALSE)</f>
        <v/>
      </c>
      <c r="S18" s="55" t="str">
        <f t="array" ref="S18">bpLOOKUP(Data!$AV18,"BLOCK",CustOrdOpt,6,FALSE)</f>
        <v/>
      </c>
      <c r="T18" s="55" t="str">
        <f t="array" ref="T18">bpLOOKUP(Data!$AV18,"TLOCK",CustOrdOpt,6,FALSE)</f>
        <v/>
      </c>
      <c r="U18" s="55" t="str">
        <f t="array" ref="U18">bpLOOKUP(Data!$AV18,"CLOSERCOLOUR",CustOrdOpt,6,FALSE)</f>
        <v/>
      </c>
      <c r="V18" s="55" t="str">
        <f t="array" ref="V18">bpLOOKUP(Data!$AV18,"DLOCKS",CustOrdOpt,6,FALSE)</f>
        <v/>
      </c>
      <c r="W18" s="55" t="str">
        <f t="array" ref="W18">bpLOOKUP(Data!$AV18,"DHANDLECODE",CustOrdOpt,6,FALSE)</f>
        <v/>
      </c>
      <c r="X18" s="55" t="str">
        <f t="array" ref="X18">IF(OR(Data!BH18="",W18="Not Required"),"",bpLOOKUP(Data!$AV18,"DHANDLEHEIGHT",CustOrdOpt,6,FALSE))</f>
        <v/>
      </c>
      <c r="Y18" s="55" t="str">
        <f t="array" ref="Y18">bpLOOKUP(Data!$AV18,"DHINGESIDE",CustOrdOpt,6,FALSE)</f>
        <v/>
      </c>
      <c r="Z18" s="55" t="str">
        <f t="array" ref="Z18">bpLOOKUP(Data!$AV18,"COLOURTYPE",CustOrdOpt,6,FALSE)</f>
        <v/>
      </c>
      <c r="AA18" s="55" t="str">
        <f t="array" ref="AA18">bpLOOKUP(Data!$AV18,"COLOUR",CustOrdOpt,6,FALSE)</f>
        <v/>
      </c>
      <c r="AB18" s="55" t="str">
        <f t="array" ref="AB18">bpLOOKUP(Data!$AV18,"DGRILCOLOUR",CustOrdOpt,6,FALSE)</f>
        <v/>
      </c>
      <c r="AC18" s="55" t="str">
        <f t="array" ref="AC18">bpLOOKUP(Data!$AV18,"DGPCCOLOUR",CustOrdOpt,6,FALSE)</f>
        <v/>
      </c>
      <c r="AD18" s="55" t="str">
        <f t="array" ref="AD18">bpLOOKUP(Data!$AV18,"CCASTD",CustOrdOpt,6,FALSE)</f>
        <v/>
      </c>
      <c r="AE18" s="55" t="str">
        <f t="array" ref="AE18">bpLOOKUP(Data!$AV18,"MESH",CustOrdOpt,6,FALSE)</f>
        <v/>
      </c>
      <c r="AF18" s="55" t="str">
        <f t="array" ref="AF18">bpLOOKUP(Data!$AV18,"DVACOLOUR",CustOrdOpt,6,FALSE)</f>
        <v/>
      </c>
      <c r="AG18" s="55" t="str">
        <f t="array" ref="AG18">bpLOOKUP(Data!$AV18,"DVAPCCOLOUR",CustOrdOpt,6,FALSE)</f>
        <v/>
      </c>
      <c r="AH18" s="55" t="str">
        <f t="array" ref="AH18">bpLOOKUP(Data!$AV18,"KEYALIKE",CustOrdOpt,6,FALSE)</f>
        <v/>
      </c>
      <c r="AI18" s="55" t="str">
        <f t="array" ref="AI18">bpLOOKUP(Data!$AV18,"MIDRAIL",CustOrdOpt,6,FALSE)</f>
        <v/>
      </c>
      <c r="AJ18" s="68" t="str">
        <f t="array" ref="AJ18">IF(AI18="Yes - Centre",BI18/2,bpLOOKUP(Data!$AV18,"MIDRAILHEIGHT",CustOrdOpt,6,FALSE))</f>
        <v/>
      </c>
      <c r="AK18" s="68" t="str">
        <f t="array" ref="AK18">bpLOOKUP(Data!$AV18,"MIDRAILCOLOUR",CustOrdOpt,6,FALSE)</f>
        <v/>
      </c>
      <c r="AL18" s="55" t="str">
        <f t="array" ref="AL18">bpLOOKUP(Data!$AV18,"FZ",CustOrdOpt,6,FALSE)</f>
        <v/>
      </c>
      <c r="AM18" s="55" t="str">
        <f t="array" ref="AM18">bpLOOKUP(Data!$AV18,"LONGLEG",CustOrdOpt,6,FALSE)</f>
        <v/>
      </c>
      <c r="AN18" s="55" t="str">
        <f t="array" ref="AN18">bpLOOKUP(Data!$AV18,"LONGLEGCOLOUR",CustOrdOpt,6,FALSE)</f>
        <v/>
      </c>
      <c r="AO18" s="54" t="str">
        <f t="array" ref="AO18">bpLOOKUP(Data!$AV18,"DOUBLE",CustOrdOpt,6,FALSE)</f>
        <v/>
      </c>
      <c r="AP18" s="54" t="str">
        <f t="array" ref="AP18">bpLOOKUP(Data!$AV18,"DOUBLEWIDTH",CustOrdOpt,6,FALSE)</f>
        <v/>
      </c>
      <c r="AQ18" s="55" t="str">
        <f t="array" ref="AQ18">bpLOOKUP(Data!$AV18,"DDPARTS",CustOrdOpt,6,FALSE)</f>
        <v/>
      </c>
      <c r="AR18" s="55" t="str">
        <f t="array" ref="AR18">bpLOOKUP(Data!$AV18,"INTERLOCKS",CustOrdOpt,6,FALSE)</f>
        <v/>
      </c>
      <c r="AS18" s="55" t="str">
        <f t="array" ref="AS18">bpLOOKUP(Data!$AV18,"SLIDINGTRACK",CustOrdOpt,6,FALSE)</f>
        <v/>
      </c>
      <c r="AT18" s="68" t="str">
        <f t="array" ref="AT18">IF(bpLOOKUP(Data!$AV18,"SLIDINGTRACKMM",CustOrdOpt,6,FALSE)="","",VALUE(bpLOOKUP(Data!$AV18,"SLIDINGTRACKMM",CustOrdOpt,6,FALSE)))</f>
        <v/>
      </c>
      <c r="AU18" s="55" t="str">
        <f t="array" ref="AU18">bpLOOKUP(Data!$AV18,"GUIDEBLOCKS",CustOrdOpt,6,FALSE)</f>
        <v/>
      </c>
      <c r="AV18" s="55" t="str">
        <f t="array" ref="AV18">(bpLOOKUP(Data!$AV18,"DOGDOOR",CustOrdOpt,6,FALSE))</f>
        <v/>
      </c>
      <c r="AW18" s="55" t="str">
        <f t="array" ref="AW18">(bpLOOKUP(Data!$AV18,"DOGDOORSIZE",CustOrdOpt,6,FALSE))</f>
        <v/>
      </c>
      <c r="AX18" s="55" t="str">
        <f t="array" ref="AX18">(bpLOOKUP(Data!$AV18,"DOGDOORCOLOUR",CustOrdOpt,6,FALSE))</f>
        <v/>
      </c>
      <c r="AY18" s="55" t="str">
        <f t="array" ref="AY18">(bpLOOKUP(Data!$AV18,"DOGDOORPOSITION",CustOrdOpt,6,FALSE))</f>
        <v/>
      </c>
      <c r="AZ18" s="77" t="str">
        <f t="array" ref="AZ18">bpLOOKUP(Data!$AV18,"SIDEBYSIDE",CustOrdOpt,6,FALSE)</f>
        <v/>
      </c>
      <c r="BA18" s="77" t="str">
        <f t="array" ref="BA18">bpLOOKUP(Data!$AV18,"SIDEBYSIDE2",CustOrdOpt,6,FALSE)</f>
        <v/>
      </c>
      <c r="BB18" s="55" t="str">
        <f t="array" ref="BB18">bpLOOKUP(Data!$AV18,"INSTALLATION",CustOrdOpt,6,FALSE)</f>
        <v/>
      </c>
      <c r="BC18" s="55" t="str">
        <f t="array" ref="BC18">bpLOOKUP(Data!$AV18,"INSTALLG",CustOrdOpt,6,FALSE)</f>
        <v/>
      </c>
      <c r="BD18" s="55" t="str">
        <f t="array" ref="BD18">bpLOOKUP(Data!$AV18,"TAKEDOWN",CustOrdOpt,6,FALSE)</f>
        <v/>
      </c>
      <c r="BE18" s="55" t="str">
        <f t="array" ref="BE18">bpLOOKUP(Data!$AV18,"CHECKM",CustOrdOpt,6,FALSE)</f>
        <v/>
      </c>
      <c r="BF18" s="55" t="str">
        <f t="array" ref="BF18">bpLOOKUP(Data!$AV18,"Notes",CustOrdOpt,6,FALSE)</f>
        <v/>
      </c>
      <c r="BG18" s="125"/>
      <c r="BH18" s="40" t="str">
        <f>IF(Data!BA18="","",IF(F18="Making",Data!BA18,IF(AND(OR(V18="N/A (Sliding/Stacker)",M18="Bass Latch"),OR(F18="Opening",F18="Pip to Pip")),Data!BA18-VLOOKUP(CONCATENATE(I18,J18,H18,AM18),FixDeduct,2,FALSE)-VLOOKUP(AZ18,SideDeduct,2,FALSE)-VLOOKUP(BA18,SideDeduct,2,FALSE)+VLOOKUP(K18,STACKEROL,2,FALSE)+4,IF(OR(F18="Opening",F18="Pip to Pip"),Data!BA18-VLOOKUP(CONCATENATE(I18,J18,H18,AM18),FixDeduct,2,FALSE)-VLOOKUP(AZ18,SideDeduct,2,FALSE)-VLOOKUP(BA18,SideDeduct,2,FALSE)+VLOOKUP(K18,STACKEROL,2,FALSE)))))</f>
        <v/>
      </c>
      <c r="BI18" s="40" t="str">
        <f>IF(Data!BB18="","",IF(OR(F18="Opening",F18="Pip to Pip"),Data!BB18-VLOOKUP(CONCATENATE(I18,J18,H18,AM18),FixDeduct,3,FALSE)-VLOOKUP(AZ18,SideDeduct,3,FALSE)-VLOOKUP(BA18,SideDeduct,3,FALSE)-VLOOKUP(AS18,Track,3,FALSE),IF(F18="Making",Data!BB18)))</f>
        <v/>
      </c>
      <c r="BJ18" s="69" t="str">
        <f>IF(Data!AV18="","",IF(J18="Hinged",BH18-2,BH18-5))</f>
        <v/>
      </c>
      <c r="BK18" s="55">
        <f>Data!BO18</f>
        <v>0</v>
      </c>
      <c r="BL18" s="55" t="str">
        <f>IF(Data!AV18="","",IF(OR(BK18="Flyscreen",BK18="Alu-Screen",BK18="Pet Mesh",BK18="Stainless Steel"),"",IF(OR(BK18="Woven Stainless Steel",BK18="Invisi-Gard Woven Stainless Steel"),(INDEX(WSSGrid,MATCH(BN18,WSSDrop,1),MATCH(BM18,WSSWidth,1))),IF(BK18="Standard Diamond",(INDEX(SDGGrid,MATCH(BN18,SDGDrop,1),MATCH(BM18,SDGWidth,1))),IF(BK18="Decorative Diamond",(INDEX(DDGGrid,MATCH(BN18,DDGDrop,1),MATCH(BM18,DDGWidth,1))),IF(BK18="Privacy-Gard",(INDEX(PGGrid,MATCH(BN18,PGDrop,1),MATCH(BM18,PGWidth,1))),IF(BK18="Woven Galvanised Steel",(INDEX(WGSGRID,MATCH(BN18,WGSDROP,1),MATCH(BM18,WGSWIDTH,1))),IF(BK18="Alu-Gard Perforated Aluminium",(INDEX(AGGrid,MATCH(BN18,AGDrop,1),MATCH(BM18,AGWidth,1)))))))))))</f>
        <v/>
      </c>
      <c r="BM18" s="55" t="str">
        <f>IF(BK18="Flyscreen","",IF(BK18="Invisi-Gard Woven Stainless Steel",BH18-105,IF(Data!BA18="","",BH18-114)))</f>
        <v/>
      </c>
      <c r="BN18" s="55" t="str">
        <f>IF(OR(BK18="Flyscreen",Data!BA18=""),"",IF(AND(AI18&lt;&gt;"No",BK18="Invisi-Gard Woven Stainless Steel"),BI18-120,IF(AI18&lt;&gt;"No",BI18-119,IF(BK18="Invisi-Gard Woven Stainless Steel",BI18-105,BI18-114))))</f>
        <v/>
      </c>
      <c r="BO18" s="55" t="str">
        <f>IF(Data!AW18="","",IF('Mitred Cutting'!C18="Invisi-Gard",BH18-149))</f>
        <v/>
      </c>
      <c r="BP18" s="55" t="str">
        <f>IF(Data!AW18="","",IF(AND('Mitred Cutting'!C18="Invisi-Gard",OR(AI18="Yes",AI18="Yes - Centre")),ROUNDDOWN(AJ18-117,0),IF('Mitred Cutting'!C18="Invisi-Gard",BI18-160,"")))</f>
        <v/>
      </c>
      <c r="BQ18" s="55" t="str">
        <f>IF(OR(AI18="No",Data!AW18=""),"",IF('Mitred Cutting'!C18="Invisi-Gard",BI18-BP18-235,""))</f>
        <v/>
      </c>
      <c r="BR18" s="55" t="str">
        <f>IF(OR(AE18="",AE18="Flyscreen",AE18="Fibreglass Mesh",AE18="Pet Mesh"),"",IF(OR(AE18="Woven Stainless Steel",AE18="Invisi-Gard Woven Stainless Steel"),(INDEX(WSSGrid,MATCH(BT18,WSSDrop,1),MATCH(BS18,WSSWidth,1))),IF(AE18="Standard Diamond",(INDEX(SDGGrid,MATCH(BT18,SDGDrop,1),MATCH(BS18,SDGWidth,1))),IF(AE18="DVA Mesh",(INDEX(DVAGrid,MATCH(BT18,DVADrop,1),MATCH(BS18,DVAWidth,1))),IF(AE18="Decorative Diamond",(INDEX(DDGGrid,MATCH(BT18,DDGDrop,1),MATCH(BS18,DDGWidth,1))),IF(AE18="Privacy-Gard",(INDEX(PGGrid,MATCH(BT18,PGDrop,1),MATCH(BS18,PGWidth,1))),IF(AE18="Woven Galvanised Steel",(INDEX(WGSGRID,MATCH(BT18,WGSDROP,1),MATCH(BS18,WGSWIDTH,1))),IF(AE18="Perforated Aluminium",(INDEX(AGGrid,MATCH(BT18,AGDrop,1),MATCH(BS18,AGWidth,1)))))))))))</f>
        <v/>
      </c>
      <c r="BS18" s="55" t="str">
        <f t="shared" si="0"/>
        <v/>
      </c>
      <c r="BT18" s="55" t="str">
        <f t="shared" si="1"/>
        <v/>
      </c>
      <c r="BU18" s="55" t="str">
        <f t="shared" si="2"/>
        <v/>
      </c>
      <c r="BV18" s="68" t="str">
        <f>IF(Data!AV18="","",IF(AND(J18="Hinged",M18="Not Required"),BI18/2,IF(OR(M18="Push 2 Go Triple Lock",M18="Triple Lock",M18="Ultra Secua Digital Triple Lock"),BI18/2,"")))</f>
        <v/>
      </c>
      <c r="BW18" s="68" t="str">
        <f t="shared" si="3"/>
        <v/>
      </c>
      <c r="BX18" s="55" t="str">
        <f>IF(OR(Data!BA18="",V18="N/A (Sliding/Stacker)",AND(OR(J18="Sliding",J18="Stacker"),M18="Not Required"),M18="Bass Latch"),"",IF(AND(J18="Hinged",M18="Not Required"),(X18-5)-VLOOKUP(W18,LockCode,2,FALSE),IF(AND(O18&lt;&gt;"",OR(F18="Opening",F18="Pip to Pip")),(O18-5)-VLOOKUP(N18,LockCode,2,FALSE),IF(AND(X18&lt;&gt;"",OR(F18="Opening",F18="Pip to Pip")),(X18-5)-VLOOKUP(W18,LockCode,2,FALSE),IF(AND(O18&lt;&gt;"",F18="Making"),(O18)-VLOOKUP(N18,LockCode,2,FALSE),IF(AND(X18&lt;&gt;"",F18="Making"),(X18)-VLOOKUP(W18,LockCode,2,FALSE)))))))</f>
        <v/>
      </c>
      <c r="BY18" s="55" t="str">
        <f>IF(OR(Data!BA18="",BV18=""),"",IF(O18&lt;&gt;"",BX18-VLOOKUP(CONCATENATE(J18,M18),LockAccess,3,FALSE),BX18-VLOOKUP(CONCATENATE(J18,V18),LockAccess,3,FALSE)))</f>
        <v/>
      </c>
      <c r="BZ18" s="55" t="str">
        <f>IF(OR(Data!BA18="",BV18=""),"",IF(O18&lt;&gt;"",BX18+VLOOKUP(CONCATENATE(J18,M18),LockAccess,4,FALSE),BX18+VLOOKUP(CONCATENATE(J18,V18),LockAccess,4,FALSE)))</f>
        <v/>
      </c>
      <c r="CA18" s="68" t="str">
        <f>IF(OR(Data!BE18="",BV18=""),"",IF(BY18&lt;150,"Yes","No"))</f>
        <v/>
      </c>
      <c r="CB18" s="68" t="str">
        <f>IF(OR(Data!BA18="",BV18=""),"",IF(BI18-BZ18&lt;150,"Yes","No"))</f>
        <v/>
      </c>
      <c r="CC18" s="68" t="str">
        <f>IF(OR(Data!BA18="",BV18=""),"",IF(O18&lt;&gt;"",BX18-VLOOKUP(CONCATENATE(J18,M18),LockAccess,5,FALSE),IF(X18&lt;&gt;"",BX18-VLOOKUP(CONCATENATE(J18,V18),LockAccess,5,FALSE))))</f>
        <v/>
      </c>
      <c r="CD18" s="68" t="str">
        <f>IF(OR(Data!BA18="",BV18=""),"",IF(O18&lt;&gt;"",BX18+VLOOKUP(CONCATENATE(J18,M18),LockAccess,6,FALSE),IF(X18&lt;&gt;"",BX18+VLOOKUP(CONCATENATE(J18,V18),LockAccess,6,FALSE))))</f>
        <v/>
      </c>
      <c r="CE18" s="68" t="str">
        <f>IF(OR(Data!BE18="",BV18=""),"",IF(CC18&lt;150,"Yes","No"))</f>
        <v/>
      </c>
      <c r="CF18" s="68" t="str">
        <f>IF(OR(Data!BA18="",BV18=""),"",IF(BI18-CD18&lt;150,"Yes","No"))</f>
        <v/>
      </c>
      <c r="CG18" s="68" t="str">
        <f>IF(OR(Data!BA18="",BV18=""),"",IF(O18&lt;&gt;"",BX18-VLOOKUP(CONCATENATE(J18,M18),LockAccess,7,FALSE),IF(X18&lt;&gt;"",BX18-VLOOKUP(CONCATENATE(J18,V18),LockAccess,7,FALSE))))</f>
        <v/>
      </c>
      <c r="CH18" s="68" t="str">
        <f>IF(OR(Data!BA18="",BV18=""),"",IF(O18&lt;&gt;"",BX18+VLOOKUP(CONCATENATE(J18,M18),LockAccess,8,FALSE),IF(X18&lt;&gt;"",BX18+VLOOKUP(CONCATENATE(J18,V18),LockAccess,8,FALSE))))</f>
        <v/>
      </c>
      <c r="CI18" s="68" t="str">
        <f>IF(OR(Data!BE18="",BV18=""),"",IF(CG18&lt;150,"Yes","No"))</f>
        <v/>
      </c>
      <c r="CJ18" s="68" t="str">
        <f>IF(OR(Data!BA18="",BV18=""),"",IF(BI18-CH18&lt;150,"Yes","No"))</f>
        <v/>
      </c>
      <c r="CK18" s="55" t="str">
        <f>IF(OR(Data!AV18="",M18="Single Lock",M18="Push 2 Go Single Lock",M18="Bass Latch",V18="N/A (Sliding/Stacker)",V18="Single Lock"),"",IF(OR(S18&lt;&gt;"",T18&lt;&gt;"",M18="Ultra Secua Digital Triple Lock"),J18&amp;" Adjustable",IF(VLOOKUP(CA18&amp;CB18,HighTripleLockKits,2,FALSE)="High",J18&amp;" High",IF(VLOOKUP(CE18&amp;CF18,LowTripleLockKits,2,FALSE)="Low",J18&amp;" Low",IF(VLOOKUP(CI18&amp;CJ18,PoolTripleLockKits,2,FALSE)="Pool",J18&amp;" Pool",IF(J18="Hinged","Hinged Adjustable",IF(OR(J18="Sliding",J18="Stacker"),"Sliding Adjustable","")))))))</f>
        <v/>
      </c>
      <c r="CL18" s="55" t="str">
        <f>IF(Data!AV18="","",VLOOKUP(CONCATENATE(J18,Data!BO18,M18,AI18,AV18),ChecklistCodes,2,FALSE))</f>
        <v/>
      </c>
    </row>
    <row r="19" spans="1:90" s="75" customFormat="1" ht="60" customHeight="1">
      <c r="A19" s="69">
        <f>Data!AW19</f>
        <v>0</v>
      </c>
      <c r="B19" s="55" t="str">
        <f>IF(Data!BE19="","",MID(Data!BE19,6,80))</f>
        <v/>
      </c>
      <c r="C19" s="56">
        <f>Data!AY19</f>
        <v>0</v>
      </c>
      <c r="D19" s="76">
        <f>SUM(Data!BA19)</f>
        <v>0</v>
      </c>
      <c r="E19" s="76">
        <f>SUM(Data!BB19)</f>
        <v>0</v>
      </c>
      <c r="F19" s="77" t="str">
        <f t="array" ref="F19">bpLOOKUP(Data!$AV19,"Size",CustOrdOpt,6,FALSE)</f>
        <v/>
      </c>
      <c r="G19" s="77" t="str">
        <f t="array" ref="G19">bpLOOKUP(Data!$AV19,"FIT",CustOrdOpt,6,FALSE)</f>
        <v/>
      </c>
      <c r="H19" s="77" t="str">
        <f t="array" ref="H19">bpLOOKUP(Data!$AV19,"FIXING",CustOrdOpt,6,FALSE)</f>
        <v/>
      </c>
      <c r="I19" s="55" t="str">
        <f t="array" ref="I19">bpLOOKUP(Data!$AV19,"SINGLE",CustOrdOpt,6,FALSE)</f>
        <v/>
      </c>
      <c r="J19" s="55" t="str">
        <f t="array" ref="J19">bpLOOKUP(Data!$AV19,"OPENTYPE",CustOrdOpt,6,FALSE)</f>
        <v/>
      </c>
      <c r="K19" s="55" t="str">
        <f t="array" ref="K19">IF(OR(J19="Hinged",J19="Sliding"),"None",bpLOOKUP(Data!$AV19,"STACKEROL",CustOrdOpt,6,FALSE))</f>
        <v/>
      </c>
      <c r="L19" s="55" t="str">
        <f t="array" ref="L19">bpLOOKUP(Data!$AV19,"HINGEATTACHED",CustOrdOpt,6,FALSE)</f>
        <v/>
      </c>
      <c r="M19" s="55" t="str">
        <f t="array" ref="M19">bpLOOKUP(Data!$AV19,"LOCKS",CustOrdOpt,6,FALSE)</f>
        <v/>
      </c>
      <c r="N19" s="55" t="str">
        <f t="array" ref="N19">bpLOOKUP(Data!$AV19,"HANDLECODE",CustOrdOpt,6,FALSE)</f>
        <v/>
      </c>
      <c r="O19" s="55" t="str">
        <f t="array" ref="O19">IF(OR(Data!BA19="",N19="Not Required"),"",bpLOOKUP(Data!$AV19,"HANDLEHEIGHT",CustOrdOpt,6,FALSE))</f>
        <v/>
      </c>
      <c r="P19" s="55" t="str">
        <f t="array" ref="P19">bpLOOKUP(Data!$AV19,"LOCKSIDE",CustOrdOpt,6,FALSE)</f>
        <v/>
      </c>
      <c r="Q19" s="55" t="str">
        <f t="array" ref="Q19">bpLOOKUP(Data!$AV19,"LOCKCOLOUR",CustOrdOpt,6,FALSE)</f>
        <v/>
      </c>
      <c r="R19" s="55" t="str">
        <f t="array" ref="R19">+bpLOOKUP(Data!$AV19,"STRIKER",CustOrdOpt,6,FALSE)</f>
        <v/>
      </c>
      <c r="S19" s="55" t="str">
        <f t="array" ref="S19">bpLOOKUP(Data!$AV19,"BLOCK",CustOrdOpt,6,FALSE)</f>
        <v/>
      </c>
      <c r="T19" s="55" t="str">
        <f t="array" ref="T19">bpLOOKUP(Data!$AV19,"TLOCK",CustOrdOpt,6,FALSE)</f>
        <v/>
      </c>
      <c r="U19" s="55" t="str">
        <f t="array" ref="U19">bpLOOKUP(Data!$AV19,"CLOSERCOLOUR",CustOrdOpt,6,FALSE)</f>
        <v/>
      </c>
      <c r="V19" s="55" t="str">
        <f t="array" ref="V19">bpLOOKUP(Data!$AV19,"DLOCKS",CustOrdOpt,6,FALSE)</f>
        <v/>
      </c>
      <c r="W19" s="55" t="str">
        <f t="array" ref="W19">bpLOOKUP(Data!$AV19,"DHANDLECODE",CustOrdOpt,6,FALSE)</f>
        <v/>
      </c>
      <c r="X19" s="55" t="str">
        <f t="array" ref="X19">IF(OR(Data!BH19="",W19="Not Required"),"",bpLOOKUP(Data!$AV19,"DHANDLEHEIGHT",CustOrdOpt,6,FALSE))</f>
        <v/>
      </c>
      <c r="Y19" s="55" t="str">
        <f t="array" ref="Y19">bpLOOKUP(Data!$AV19,"DHINGESIDE",CustOrdOpt,6,FALSE)</f>
        <v/>
      </c>
      <c r="Z19" s="55" t="str">
        <f t="array" ref="Z19">bpLOOKUP(Data!$AV19,"COLOURTYPE",CustOrdOpt,6,FALSE)</f>
        <v/>
      </c>
      <c r="AA19" s="55" t="str">
        <f t="array" ref="AA19">bpLOOKUP(Data!$AV19,"COLOUR",CustOrdOpt,6,FALSE)</f>
        <v/>
      </c>
      <c r="AB19" s="55" t="str">
        <f t="array" ref="AB19">bpLOOKUP(Data!$AV19,"DGRILCOLOUR",CustOrdOpt,6,FALSE)</f>
        <v/>
      </c>
      <c r="AC19" s="55" t="str">
        <f t="array" ref="AC19">bpLOOKUP(Data!$AV19,"DGPCCOLOUR",CustOrdOpt,6,FALSE)</f>
        <v/>
      </c>
      <c r="AD19" s="55" t="str">
        <f t="array" ref="AD19">bpLOOKUP(Data!$AV19,"CCASTD",CustOrdOpt,6,FALSE)</f>
        <v/>
      </c>
      <c r="AE19" s="55" t="str">
        <f t="array" ref="AE19">bpLOOKUP(Data!$AV19,"MESH",CustOrdOpt,6,FALSE)</f>
        <v/>
      </c>
      <c r="AF19" s="55" t="str">
        <f t="array" ref="AF19">bpLOOKUP(Data!$AV19,"DVACOLOUR",CustOrdOpt,6,FALSE)</f>
        <v/>
      </c>
      <c r="AG19" s="55" t="str">
        <f t="array" ref="AG19">bpLOOKUP(Data!$AV19,"DVAPCCOLOUR",CustOrdOpt,6,FALSE)</f>
        <v/>
      </c>
      <c r="AH19" s="55" t="str">
        <f t="array" ref="AH19">bpLOOKUP(Data!$AV19,"KEYALIKE",CustOrdOpt,6,FALSE)</f>
        <v/>
      </c>
      <c r="AI19" s="55" t="str">
        <f t="array" ref="AI19">bpLOOKUP(Data!$AV19,"MIDRAIL",CustOrdOpt,6,FALSE)</f>
        <v/>
      </c>
      <c r="AJ19" s="68" t="str">
        <f t="array" ref="AJ19">IF(AI19="Yes - Centre",BI19/2,bpLOOKUP(Data!$AV19,"MIDRAILHEIGHT",CustOrdOpt,6,FALSE))</f>
        <v/>
      </c>
      <c r="AK19" s="68" t="str">
        <f t="array" ref="AK19">bpLOOKUP(Data!$AV19,"MIDRAILCOLOUR",CustOrdOpt,6,FALSE)</f>
        <v/>
      </c>
      <c r="AL19" s="55" t="str">
        <f t="array" ref="AL19">bpLOOKUP(Data!$AV19,"FZ",CustOrdOpt,6,FALSE)</f>
        <v/>
      </c>
      <c r="AM19" s="55" t="str">
        <f t="array" ref="AM19">bpLOOKUP(Data!$AV19,"LONGLEG",CustOrdOpt,6,FALSE)</f>
        <v/>
      </c>
      <c r="AN19" s="55" t="str">
        <f t="array" ref="AN19">bpLOOKUP(Data!$AV19,"LONGLEGCOLOUR",CustOrdOpt,6,FALSE)</f>
        <v/>
      </c>
      <c r="AO19" s="54" t="str">
        <f t="array" ref="AO19">bpLOOKUP(Data!$AV19,"DOUBLE",CustOrdOpt,6,FALSE)</f>
        <v/>
      </c>
      <c r="AP19" s="54" t="str">
        <f t="array" ref="AP19">bpLOOKUP(Data!$AV19,"DOUBLEWIDTH",CustOrdOpt,6,FALSE)</f>
        <v/>
      </c>
      <c r="AQ19" s="55" t="str">
        <f t="array" ref="AQ19">bpLOOKUP(Data!$AV19,"DDPARTS",CustOrdOpt,6,FALSE)</f>
        <v/>
      </c>
      <c r="AR19" s="55" t="str">
        <f t="array" ref="AR19">bpLOOKUP(Data!$AV19,"INTERLOCKS",CustOrdOpt,6,FALSE)</f>
        <v/>
      </c>
      <c r="AS19" s="55" t="str">
        <f t="array" ref="AS19">bpLOOKUP(Data!$AV19,"SLIDINGTRACK",CustOrdOpt,6,FALSE)</f>
        <v/>
      </c>
      <c r="AT19" s="68" t="str">
        <f t="array" ref="AT19">IF(bpLOOKUP(Data!$AV19,"SLIDINGTRACKMM",CustOrdOpt,6,FALSE)="","",VALUE(bpLOOKUP(Data!$AV19,"SLIDINGTRACKMM",CustOrdOpt,6,FALSE)))</f>
        <v/>
      </c>
      <c r="AU19" s="55" t="str">
        <f t="array" ref="AU19">bpLOOKUP(Data!$AV19,"GUIDEBLOCKS",CustOrdOpt,6,FALSE)</f>
        <v/>
      </c>
      <c r="AV19" s="55" t="str">
        <f t="array" ref="AV19">(bpLOOKUP(Data!$AV19,"DOGDOOR",CustOrdOpt,6,FALSE))</f>
        <v/>
      </c>
      <c r="AW19" s="55" t="str">
        <f t="array" ref="AW19">(bpLOOKUP(Data!$AV19,"DOGDOORSIZE",CustOrdOpt,6,FALSE))</f>
        <v/>
      </c>
      <c r="AX19" s="55" t="str">
        <f t="array" ref="AX19">(bpLOOKUP(Data!$AV19,"DOGDOORCOLOUR",CustOrdOpt,6,FALSE))</f>
        <v/>
      </c>
      <c r="AY19" s="55" t="str">
        <f t="array" ref="AY19">(bpLOOKUP(Data!$AV19,"DOGDOORPOSITION",CustOrdOpt,6,FALSE))</f>
        <v/>
      </c>
      <c r="AZ19" s="77" t="str">
        <f t="array" ref="AZ19">bpLOOKUP(Data!$AV19,"SIDEBYSIDE",CustOrdOpt,6,FALSE)</f>
        <v/>
      </c>
      <c r="BA19" s="77" t="str">
        <f t="array" ref="BA19">bpLOOKUP(Data!$AV19,"SIDEBYSIDE2",CustOrdOpt,6,FALSE)</f>
        <v/>
      </c>
      <c r="BB19" s="55" t="str">
        <f t="array" ref="BB19">bpLOOKUP(Data!$AV19,"INSTALLATION",CustOrdOpt,6,FALSE)</f>
        <v/>
      </c>
      <c r="BC19" s="55" t="str">
        <f t="array" ref="BC19">bpLOOKUP(Data!$AV19,"INSTALLG",CustOrdOpt,6,FALSE)</f>
        <v/>
      </c>
      <c r="BD19" s="55" t="str">
        <f t="array" ref="BD19">bpLOOKUP(Data!$AV19,"TAKEDOWN",CustOrdOpt,6,FALSE)</f>
        <v/>
      </c>
      <c r="BE19" s="55" t="str">
        <f t="array" ref="BE19">bpLOOKUP(Data!$AV19,"CHECKM",CustOrdOpt,6,FALSE)</f>
        <v/>
      </c>
      <c r="BF19" s="55" t="str">
        <f t="array" ref="BF19">bpLOOKUP(Data!$AV19,"Notes",CustOrdOpt,6,FALSE)</f>
        <v/>
      </c>
      <c r="BG19" s="125"/>
      <c r="BH19" s="40" t="str">
        <f>IF(Data!BA19="","",IF(F19="Making",Data!BA19,IF(AND(OR(V19="N/A (Sliding/Stacker)",M19="Bass Latch"),OR(F19="Opening",F19="Pip to Pip")),Data!BA19-VLOOKUP(CONCATENATE(I19,J19,H19,AM19),FixDeduct,2,FALSE)-VLOOKUP(AZ19,SideDeduct,2,FALSE)-VLOOKUP(BA19,SideDeduct,2,FALSE)+VLOOKUP(K19,STACKEROL,2,FALSE)+4,IF(OR(F19="Opening",F19="Pip to Pip"),Data!BA19-VLOOKUP(CONCATENATE(I19,J19,H19,AM19),FixDeduct,2,FALSE)-VLOOKUP(AZ19,SideDeduct,2,FALSE)-VLOOKUP(BA19,SideDeduct,2,FALSE)+VLOOKUP(K19,STACKEROL,2,FALSE)))))</f>
        <v/>
      </c>
      <c r="BI19" s="40" t="str">
        <f>IF(Data!BB19="","",IF(OR(F19="Opening",F19="Pip to Pip"),Data!BB19-VLOOKUP(CONCATENATE(I19,J19,H19,AM19),FixDeduct,3,FALSE)-VLOOKUP(AZ19,SideDeduct,3,FALSE)-VLOOKUP(BA19,SideDeduct,3,FALSE)-VLOOKUP(AS19,Track,3,FALSE),IF(F19="Making",Data!BB19)))</f>
        <v/>
      </c>
      <c r="BJ19" s="69" t="str">
        <f>IF(Data!AV19="","",IF(J19="Hinged",BH19-2,BH19-5))</f>
        <v/>
      </c>
      <c r="BK19" s="55">
        <f>Data!BO19</f>
        <v>0</v>
      </c>
      <c r="BL19" s="55" t="str">
        <f>IF(Data!AV19="","",IF(OR(BK19="Flyscreen",BK19="Alu-Screen",BK19="Pet Mesh",BK19="Stainless Steel"),"",IF(OR(BK19="Woven Stainless Steel",BK19="Invisi-Gard Woven Stainless Steel"),(INDEX(WSSGrid,MATCH(BN19,WSSDrop,1),MATCH(BM19,WSSWidth,1))),IF(BK19="Standard Diamond",(INDEX(SDGGrid,MATCH(BN19,SDGDrop,1),MATCH(BM19,SDGWidth,1))),IF(BK19="Decorative Diamond",(INDEX(DDGGrid,MATCH(BN19,DDGDrop,1),MATCH(BM19,DDGWidth,1))),IF(BK19="Privacy-Gard",(INDEX(PGGrid,MATCH(BN19,PGDrop,1),MATCH(BM19,PGWidth,1))),IF(BK19="Woven Galvanised Steel",(INDEX(WGSGRID,MATCH(BN19,WGSDROP,1),MATCH(BM19,WGSWIDTH,1))),IF(BK19="Alu-Gard Perforated Aluminium",(INDEX(AGGrid,MATCH(BN19,AGDrop,1),MATCH(BM19,AGWidth,1)))))))))))</f>
        <v/>
      </c>
      <c r="BM19" s="55" t="str">
        <f>IF(BK19="Flyscreen","",IF(BK19="Invisi-Gard Woven Stainless Steel",BH19-105,IF(Data!BA19="","",BH19-114)))</f>
        <v/>
      </c>
      <c r="BN19" s="55" t="str">
        <f>IF(OR(BK19="Flyscreen",Data!BA19=""),"",IF(AND(AI19&lt;&gt;"No",BK19="Invisi-Gard Woven Stainless Steel"),BI19-120,IF(AI19&lt;&gt;"No",BI19-119,IF(BK19="Invisi-Gard Woven Stainless Steel",BI19-105,BI19-114))))</f>
        <v/>
      </c>
      <c r="BO19" s="55" t="str">
        <f>IF(Data!AW19="","",IF('Mitred Cutting'!C19="Invisi-Gard",BH19-149))</f>
        <v/>
      </c>
      <c r="BP19" s="55" t="str">
        <f>IF(Data!AW19="","",IF(AND('Mitred Cutting'!C19="Invisi-Gard",OR(AI19="Yes",AI19="Yes - Centre")),ROUNDDOWN(AJ19-117,0),IF('Mitred Cutting'!C19="Invisi-Gard",BI19-160,"")))</f>
        <v/>
      </c>
      <c r="BQ19" s="55" t="str">
        <f>IF(OR(AI19="No",Data!AW19=""),"",IF('Mitred Cutting'!C19="Invisi-Gard",BI19-BP19-235,""))</f>
        <v/>
      </c>
      <c r="BR19" s="55" t="str">
        <f>IF(OR(AE19="",AE19="Flyscreen",AE19="Fibreglass Mesh",AE19="Pet Mesh"),"",IF(OR(AE19="Woven Stainless Steel",AE19="Invisi-Gard Woven Stainless Steel"),(INDEX(WSSGrid,MATCH(BT19,WSSDrop,1),MATCH(BS19,WSSWidth,1))),IF(AE19="Standard Diamond",(INDEX(SDGGrid,MATCH(BT19,SDGDrop,1),MATCH(BS19,SDGWidth,1))),IF(AE19="DVA Mesh",(INDEX(DVAGrid,MATCH(BT19,DVADrop,1),MATCH(BS19,DVAWidth,1))),IF(AE19="Decorative Diamond",(INDEX(DDGGrid,MATCH(BT19,DDGDrop,1),MATCH(BS19,DDGWidth,1))),IF(AE19="Privacy-Gard",(INDEX(PGGrid,MATCH(BT19,PGDrop,1),MATCH(BS19,PGWidth,1))),IF(AE19="Woven Galvanised Steel",(INDEX(WGSGRID,MATCH(BT19,WGSDROP,1),MATCH(BS19,WGSWIDTH,1))),IF(AE19="Perforated Aluminium",(INDEX(AGGrid,MATCH(BT19,AGDrop,1),MATCH(BS19,AGWidth,1)))))))))))</f>
        <v/>
      </c>
      <c r="BS19" s="55" t="str">
        <f t="shared" si="0"/>
        <v/>
      </c>
      <c r="BT19" s="55" t="str">
        <f t="shared" si="1"/>
        <v/>
      </c>
      <c r="BU19" s="55" t="str">
        <f t="shared" si="2"/>
        <v/>
      </c>
      <c r="BV19" s="68" t="str">
        <f>IF(Data!AV19="","",IF(AND(J19="Hinged",M19="Not Required"),BI19/2,IF(OR(M19="Push 2 Go Triple Lock",M19="Triple Lock",M19="Ultra Secua Digital Triple Lock"),BI19/2,"")))</f>
        <v/>
      </c>
      <c r="BW19" s="68" t="str">
        <f t="shared" si="3"/>
        <v/>
      </c>
      <c r="BX19" s="55" t="str">
        <f>IF(OR(Data!BA19="",V19="N/A (Sliding/Stacker)",AND(OR(J19="Sliding",J19="Stacker"),M19="Not Required"),M19="Bass Latch"),"",IF(AND(J19="Hinged",M19="Not Required"),(X19-5)-VLOOKUP(W19,LockCode,2,FALSE),IF(AND(O19&lt;&gt;"",OR(F19="Opening",F19="Pip to Pip")),(O19-5)-VLOOKUP(N19,LockCode,2,FALSE),IF(AND(X19&lt;&gt;"",OR(F19="Opening",F19="Pip to Pip")),(X19-5)-VLOOKUP(W19,LockCode,2,FALSE),IF(AND(O19&lt;&gt;"",F19="Making"),(O19)-VLOOKUP(N19,LockCode,2,FALSE),IF(AND(X19&lt;&gt;"",F19="Making"),(X19)-VLOOKUP(W19,LockCode,2,FALSE)))))))</f>
        <v/>
      </c>
      <c r="BY19" s="55" t="str">
        <f>IF(OR(Data!BA19="",BV19=""),"",IF(O19&lt;&gt;"",BX19-VLOOKUP(CONCATENATE(J19,M19),LockAccess,3,FALSE),BX19-VLOOKUP(CONCATENATE(J19,V19),LockAccess,3,FALSE)))</f>
        <v/>
      </c>
      <c r="BZ19" s="55" t="str">
        <f>IF(OR(Data!BA19="",BV19=""),"",IF(O19&lt;&gt;"",BX19+VLOOKUP(CONCATENATE(J19,M19),LockAccess,4,FALSE),BX19+VLOOKUP(CONCATENATE(J19,V19),LockAccess,4,FALSE)))</f>
        <v/>
      </c>
      <c r="CA19" s="68" t="str">
        <f>IF(OR(Data!BE19="",BV19=""),"",IF(BY19&lt;150,"Yes","No"))</f>
        <v/>
      </c>
      <c r="CB19" s="68" t="str">
        <f>IF(OR(Data!BA19="",BV19=""),"",IF(BI19-BZ19&lt;150,"Yes","No"))</f>
        <v/>
      </c>
      <c r="CC19" s="68" t="str">
        <f>IF(OR(Data!BA19="",BV19=""),"",IF(O19&lt;&gt;"",BX19-VLOOKUP(CONCATENATE(J19,M19),LockAccess,5,FALSE),IF(X19&lt;&gt;"",BX19-VLOOKUP(CONCATENATE(J19,V19),LockAccess,5,FALSE))))</f>
        <v/>
      </c>
      <c r="CD19" s="68" t="str">
        <f>IF(OR(Data!BA19="",BV19=""),"",IF(O19&lt;&gt;"",BX19+VLOOKUP(CONCATENATE(J19,M19),LockAccess,6,FALSE),IF(X19&lt;&gt;"",BX19+VLOOKUP(CONCATENATE(J19,V19),LockAccess,6,FALSE))))</f>
        <v/>
      </c>
      <c r="CE19" s="68" t="str">
        <f>IF(OR(Data!BE19="",BV19=""),"",IF(CC19&lt;150,"Yes","No"))</f>
        <v/>
      </c>
      <c r="CF19" s="68" t="str">
        <f>IF(OR(Data!BA19="",BV19=""),"",IF(BI19-CD19&lt;150,"Yes","No"))</f>
        <v/>
      </c>
      <c r="CG19" s="68" t="str">
        <f>IF(OR(Data!BA19="",BV19=""),"",IF(O19&lt;&gt;"",BX19-VLOOKUP(CONCATENATE(J19,M19),LockAccess,7,FALSE),IF(X19&lt;&gt;"",BX19-VLOOKUP(CONCATENATE(J19,V19),LockAccess,7,FALSE))))</f>
        <v/>
      </c>
      <c r="CH19" s="68" t="str">
        <f>IF(OR(Data!BA19="",BV19=""),"",IF(O19&lt;&gt;"",BX19+VLOOKUP(CONCATENATE(J19,M19),LockAccess,8,FALSE),IF(X19&lt;&gt;"",BX19+VLOOKUP(CONCATENATE(J19,V19),LockAccess,8,FALSE))))</f>
        <v/>
      </c>
      <c r="CI19" s="68" t="str">
        <f>IF(OR(Data!BE19="",BV19=""),"",IF(CG19&lt;150,"Yes","No"))</f>
        <v/>
      </c>
      <c r="CJ19" s="68" t="str">
        <f>IF(OR(Data!BA19="",BV19=""),"",IF(BI19-CH19&lt;150,"Yes","No"))</f>
        <v/>
      </c>
      <c r="CK19" s="55" t="str">
        <f>IF(OR(Data!AV19="",M19="Single Lock",M19="Push 2 Go Single Lock",M19="Bass Latch",V19="N/A (Sliding/Stacker)",V19="Single Lock"),"",IF(OR(S19&lt;&gt;"",T19&lt;&gt;"",M19="Ultra Secua Digital Triple Lock"),J19&amp;" Adjustable",IF(VLOOKUP(CA19&amp;CB19,HighTripleLockKits,2,FALSE)="High",J19&amp;" High",IF(VLOOKUP(CE19&amp;CF19,LowTripleLockKits,2,FALSE)="Low",J19&amp;" Low",IF(VLOOKUP(CI19&amp;CJ19,PoolTripleLockKits,2,FALSE)="Pool",J19&amp;" Pool",IF(J19="Hinged","Hinged Adjustable",IF(OR(J19="Sliding",J19="Stacker"),"Sliding Adjustable","")))))))</f>
        <v/>
      </c>
      <c r="CL19" s="55" t="str">
        <f>IF(Data!AV19="","",VLOOKUP(CONCATENATE(J19,Data!BO19,M19,AI19,AV19),ChecklistCodes,2,FALSE))</f>
        <v/>
      </c>
    </row>
    <row r="20" spans="1:90" s="75" customFormat="1" ht="60" customHeight="1">
      <c r="A20" s="69">
        <f>Data!AW20</f>
        <v>0</v>
      </c>
      <c r="B20" s="55" t="str">
        <f>IF(Data!BE20="","",MID(Data!BE20,6,80))</f>
        <v/>
      </c>
      <c r="C20" s="56">
        <f>Data!AY20</f>
        <v>0</v>
      </c>
      <c r="D20" s="76">
        <f>SUM(Data!BA20)</f>
        <v>0</v>
      </c>
      <c r="E20" s="76">
        <f>SUM(Data!BB20)</f>
        <v>0</v>
      </c>
      <c r="F20" s="77" t="str">
        <f t="array" ref="F20">bpLOOKUP(Data!$AV20,"Size",CustOrdOpt,6,FALSE)</f>
        <v/>
      </c>
      <c r="G20" s="77" t="str">
        <f t="array" ref="G20">bpLOOKUP(Data!$AV20,"FIT",CustOrdOpt,6,FALSE)</f>
        <v/>
      </c>
      <c r="H20" s="77" t="str">
        <f t="array" ref="H20">bpLOOKUP(Data!$AV20,"FIXING",CustOrdOpt,6,FALSE)</f>
        <v/>
      </c>
      <c r="I20" s="55" t="str">
        <f t="array" ref="I20">bpLOOKUP(Data!$AV20,"SINGLE",CustOrdOpt,6,FALSE)</f>
        <v/>
      </c>
      <c r="J20" s="55" t="str">
        <f t="array" ref="J20">bpLOOKUP(Data!$AV20,"OPENTYPE",CustOrdOpt,6,FALSE)</f>
        <v/>
      </c>
      <c r="K20" s="55" t="str">
        <f t="array" ref="K20">IF(OR(J20="Hinged",J20="Sliding"),"None",bpLOOKUP(Data!$AV20,"STACKEROL",CustOrdOpt,6,FALSE))</f>
        <v/>
      </c>
      <c r="L20" s="55" t="str">
        <f t="array" ref="L20">bpLOOKUP(Data!$AV20,"HINGEATTACHED",CustOrdOpt,6,FALSE)</f>
        <v/>
      </c>
      <c r="M20" s="55" t="str">
        <f t="array" ref="M20">bpLOOKUP(Data!$AV20,"LOCKS",CustOrdOpt,6,FALSE)</f>
        <v/>
      </c>
      <c r="N20" s="55" t="str">
        <f t="array" ref="N20">bpLOOKUP(Data!$AV20,"HANDLECODE",CustOrdOpt,6,FALSE)</f>
        <v/>
      </c>
      <c r="O20" s="55" t="str">
        <f t="array" ref="O20">IF(OR(Data!BA20="",N20="Not Required"),"",bpLOOKUP(Data!$AV20,"HANDLEHEIGHT",CustOrdOpt,6,FALSE))</f>
        <v/>
      </c>
      <c r="P20" s="55" t="str">
        <f t="array" ref="P20">bpLOOKUP(Data!$AV20,"LOCKSIDE",CustOrdOpt,6,FALSE)</f>
        <v/>
      </c>
      <c r="Q20" s="55" t="str">
        <f t="array" ref="Q20">bpLOOKUP(Data!$AV20,"LOCKCOLOUR",CustOrdOpt,6,FALSE)</f>
        <v/>
      </c>
      <c r="R20" s="55" t="str">
        <f t="array" ref="R20">+bpLOOKUP(Data!$AV20,"STRIKER",CustOrdOpt,6,FALSE)</f>
        <v/>
      </c>
      <c r="S20" s="55" t="str">
        <f t="array" ref="S20">bpLOOKUP(Data!$AV20,"BLOCK",CustOrdOpt,6,FALSE)</f>
        <v/>
      </c>
      <c r="T20" s="55" t="str">
        <f t="array" ref="T20">bpLOOKUP(Data!$AV20,"TLOCK",CustOrdOpt,6,FALSE)</f>
        <v/>
      </c>
      <c r="U20" s="55" t="str">
        <f t="array" ref="U20">bpLOOKUP(Data!$AV20,"CLOSERCOLOUR",CustOrdOpt,6,FALSE)</f>
        <v/>
      </c>
      <c r="V20" s="55" t="str">
        <f t="array" ref="V20">bpLOOKUP(Data!$AV20,"DLOCKS",CustOrdOpt,6,FALSE)</f>
        <v/>
      </c>
      <c r="W20" s="55" t="str">
        <f t="array" ref="W20">bpLOOKUP(Data!$AV20,"DHANDLECODE",CustOrdOpt,6,FALSE)</f>
        <v/>
      </c>
      <c r="X20" s="55" t="str">
        <f t="array" ref="X20">IF(OR(Data!BH20="",W20="Not Required"),"",bpLOOKUP(Data!$AV20,"DHANDLEHEIGHT",CustOrdOpt,6,FALSE))</f>
        <v/>
      </c>
      <c r="Y20" s="55" t="str">
        <f t="array" ref="Y20">bpLOOKUP(Data!$AV20,"DHINGESIDE",CustOrdOpt,6,FALSE)</f>
        <v/>
      </c>
      <c r="Z20" s="55" t="str">
        <f t="array" ref="Z20">bpLOOKUP(Data!$AV20,"COLOURTYPE",CustOrdOpt,6,FALSE)</f>
        <v/>
      </c>
      <c r="AA20" s="55" t="str">
        <f t="array" ref="AA20">bpLOOKUP(Data!$AV20,"COLOUR",CustOrdOpt,6,FALSE)</f>
        <v/>
      </c>
      <c r="AB20" s="55" t="str">
        <f t="array" ref="AB20">bpLOOKUP(Data!$AV20,"DGRILCOLOUR",CustOrdOpt,6,FALSE)</f>
        <v/>
      </c>
      <c r="AC20" s="55" t="str">
        <f t="array" ref="AC20">bpLOOKUP(Data!$AV20,"DGPCCOLOUR",CustOrdOpt,6,FALSE)</f>
        <v/>
      </c>
      <c r="AD20" s="55" t="str">
        <f t="array" ref="AD20">bpLOOKUP(Data!$AV20,"CCASTD",CustOrdOpt,6,FALSE)</f>
        <v/>
      </c>
      <c r="AE20" s="55" t="str">
        <f t="array" ref="AE20">bpLOOKUP(Data!$AV20,"MESH",CustOrdOpt,6,FALSE)</f>
        <v/>
      </c>
      <c r="AF20" s="55" t="str">
        <f t="array" ref="AF20">bpLOOKUP(Data!$AV20,"DVACOLOUR",CustOrdOpt,6,FALSE)</f>
        <v/>
      </c>
      <c r="AG20" s="55" t="str">
        <f t="array" ref="AG20">bpLOOKUP(Data!$AV20,"DVAPCCOLOUR",CustOrdOpt,6,FALSE)</f>
        <v/>
      </c>
      <c r="AH20" s="55" t="str">
        <f t="array" ref="AH20">bpLOOKUP(Data!$AV20,"KEYALIKE",CustOrdOpt,6,FALSE)</f>
        <v/>
      </c>
      <c r="AI20" s="55" t="str">
        <f t="array" ref="AI20">bpLOOKUP(Data!$AV20,"MIDRAIL",CustOrdOpt,6,FALSE)</f>
        <v/>
      </c>
      <c r="AJ20" s="68" t="str">
        <f t="array" ref="AJ20">IF(AI20="Yes - Centre",BI20/2,bpLOOKUP(Data!$AV20,"MIDRAILHEIGHT",CustOrdOpt,6,FALSE))</f>
        <v/>
      </c>
      <c r="AK20" s="68" t="str">
        <f t="array" ref="AK20">bpLOOKUP(Data!$AV20,"MIDRAILCOLOUR",CustOrdOpt,6,FALSE)</f>
        <v/>
      </c>
      <c r="AL20" s="55" t="str">
        <f t="array" ref="AL20">bpLOOKUP(Data!$AV20,"FZ",CustOrdOpt,6,FALSE)</f>
        <v/>
      </c>
      <c r="AM20" s="55" t="str">
        <f t="array" ref="AM20">bpLOOKUP(Data!$AV20,"LONGLEG",CustOrdOpt,6,FALSE)</f>
        <v/>
      </c>
      <c r="AN20" s="55" t="str">
        <f t="array" ref="AN20">bpLOOKUP(Data!$AV20,"LONGLEGCOLOUR",CustOrdOpt,6,FALSE)</f>
        <v/>
      </c>
      <c r="AO20" s="54" t="str">
        <f t="array" ref="AO20">bpLOOKUP(Data!$AV20,"DOUBLE",CustOrdOpt,6,FALSE)</f>
        <v/>
      </c>
      <c r="AP20" s="54" t="str">
        <f t="array" ref="AP20">bpLOOKUP(Data!$AV20,"DOUBLEWIDTH",CustOrdOpt,6,FALSE)</f>
        <v/>
      </c>
      <c r="AQ20" s="55" t="str">
        <f t="array" ref="AQ20">bpLOOKUP(Data!$AV20,"DDPARTS",CustOrdOpt,6,FALSE)</f>
        <v/>
      </c>
      <c r="AR20" s="55" t="str">
        <f t="array" ref="AR20">bpLOOKUP(Data!$AV20,"INTERLOCKS",CustOrdOpt,6,FALSE)</f>
        <v/>
      </c>
      <c r="AS20" s="55" t="str">
        <f t="array" ref="AS20">bpLOOKUP(Data!$AV20,"SLIDINGTRACK",CustOrdOpt,6,FALSE)</f>
        <v/>
      </c>
      <c r="AT20" s="68" t="str">
        <f t="array" ref="AT20">IF(bpLOOKUP(Data!$AV20,"SLIDINGTRACKMM",CustOrdOpt,6,FALSE)="","",VALUE(bpLOOKUP(Data!$AV20,"SLIDINGTRACKMM",CustOrdOpt,6,FALSE)))</f>
        <v/>
      </c>
      <c r="AU20" s="55" t="str">
        <f t="array" ref="AU20">bpLOOKUP(Data!$AV20,"GUIDEBLOCKS",CustOrdOpt,6,FALSE)</f>
        <v/>
      </c>
      <c r="AV20" s="55" t="str">
        <f t="array" ref="AV20">(bpLOOKUP(Data!$AV20,"DOGDOOR",CustOrdOpt,6,FALSE))</f>
        <v/>
      </c>
      <c r="AW20" s="55" t="str">
        <f t="array" ref="AW20">(bpLOOKUP(Data!$AV20,"DOGDOORSIZE",CustOrdOpt,6,FALSE))</f>
        <v/>
      </c>
      <c r="AX20" s="55" t="str">
        <f t="array" ref="AX20">(bpLOOKUP(Data!$AV20,"DOGDOORCOLOUR",CustOrdOpt,6,FALSE))</f>
        <v/>
      </c>
      <c r="AY20" s="55" t="str">
        <f t="array" ref="AY20">(bpLOOKUP(Data!$AV20,"DOGDOORPOSITION",CustOrdOpt,6,FALSE))</f>
        <v/>
      </c>
      <c r="AZ20" s="77" t="str">
        <f t="array" ref="AZ20">bpLOOKUP(Data!$AV20,"SIDEBYSIDE",CustOrdOpt,6,FALSE)</f>
        <v/>
      </c>
      <c r="BA20" s="77" t="str">
        <f t="array" ref="BA20">bpLOOKUP(Data!$AV20,"SIDEBYSIDE2",CustOrdOpt,6,FALSE)</f>
        <v/>
      </c>
      <c r="BB20" s="55" t="str">
        <f t="array" ref="BB20">bpLOOKUP(Data!$AV20,"INSTALLATION",CustOrdOpt,6,FALSE)</f>
        <v/>
      </c>
      <c r="BC20" s="55" t="str">
        <f t="array" ref="BC20">bpLOOKUP(Data!$AV20,"INSTALLG",CustOrdOpt,6,FALSE)</f>
        <v/>
      </c>
      <c r="BD20" s="55" t="str">
        <f t="array" ref="BD20">bpLOOKUP(Data!$AV20,"TAKEDOWN",CustOrdOpt,6,FALSE)</f>
        <v/>
      </c>
      <c r="BE20" s="55" t="str">
        <f t="array" ref="BE20">bpLOOKUP(Data!$AV20,"CHECKM",CustOrdOpt,6,FALSE)</f>
        <v/>
      </c>
      <c r="BF20" s="55" t="str">
        <f t="array" ref="BF20">bpLOOKUP(Data!$AV20,"Notes",CustOrdOpt,6,FALSE)</f>
        <v/>
      </c>
      <c r="BG20" s="125"/>
      <c r="BH20" s="40" t="str">
        <f>IF(Data!BA20="","",IF(F20="Making",Data!BA20,IF(AND(OR(V20="N/A (Sliding/Stacker)",M20="Bass Latch"),OR(F20="Opening",F20="Pip to Pip")),Data!BA20-VLOOKUP(CONCATENATE(I20,J20,H20,AM20),FixDeduct,2,FALSE)-VLOOKUP(AZ20,SideDeduct,2,FALSE)-VLOOKUP(BA20,SideDeduct,2,FALSE)+VLOOKUP(K20,STACKEROL,2,FALSE)+4,IF(OR(F20="Opening",F20="Pip to Pip"),Data!BA20-VLOOKUP(CONCATENATE(I20,J20,H20,AM20),FixDeduct,2,FALSE)-VLOOKUP(AZ20,SideDeduct,2,FALSE)-VLOOKUP(BA20,SideDeduct,2,FALSE)+VLOOKUP(K20,STACKEROL,2,FALSE)))))</f>
        <v/>
      </c>
      <c r="BI20" s="40" t="str">
        <f>IF(Data!BB20="","",IF(OR(F20="Opening",F20="Pip to Pip"),Data!BB20-VLOOKUP(CONCATENATE(I20,J20,H20,AM20),FixDeduct,3,FALSE)-VLOOKUP(AZ20,SideDeduct,3,FALSE)-VLOOKUP(BA20,SideDeduct,3,FALSE)-VLOOKUP(AS20,Track,3,FALSE),IF(F20="Making",Data!BB20)))</f>
        <v/>
      </c>
      <c r="BJ20" s="69" t="str">
        <f>IF(Data!AV20="","",IF(J20="Hinged",BH20-2,BH20-5))</f>
        <v/>
      </c>
      <c r="BK20" s="55">
        <f>Data!BO20</f>
        <v>0</v>
      </c>
      <c r="BL20" s="55" t="str">
        <f>IF(Data!AV20="","",IF(OR(BK20="Flyscreen",BK20="Alu-Screen",BK20="Pet Mesh",BK20="Stainless Steel"),"",IF(OR(BK20="Woven Stainless Steel",BK20="Invisi-Gard Woven Stainless Steel"),(INDEX(WSSGrid,MATCH(BN20,WSSDrop,1),MATCH(BM20,WSSWidth,1))),IF(BK20="Standard Diamond",(INDEX(SDGGrid,MATCH(BN20,SDGDrop,1),MATCH(BM20,SDGWidth,1))),IF(BK20="Decorative Diamond",(INDEX(DDGGrid,MATCH(BN20,DDGDrop,1),MATCH(BM20,DDGWidth,1))),IF(BK20="Privacy-Gard",(INDEX(PGGrid,MATCH(BN20,PGDrop,1),MATCH(BM20,PGWidth,1))),IF(BK20="Woven Galvanised Steel",(INDEX(WGSGRID,MATCH(BN20,WGSDROP,1),MATCH(BM20,WGSWIDTH,1))),IF(BK20="Alu-Gard Perforated Aluminium",(INDEX(AGGrid,MATCH(BN20,AGDrop,1),MATCH(BM20,AGWidth,1)))))))))))</f>
        <v/>
      </c>
      <c r="BM20" s="55" t="str">
        <f>IF(BK20="Flyscreen","",IF(BK20="Invisi-Gard Woven Stainless Steel",BH20-105,IF(Data!BA20="","",BH20-114)))</f>
        <v/>
      </c>
      <c r="BN20" s="55" t="str">
        <f>IF(OR(BK20="Flyscreen",Data!BA20=""),"",IF(AND(AI20&lt;&gt;"No",BK20="Invisi-Gard Woven Stainless Steel"),BI20-120,IF(AI20&lt;&gt;"No",BI20-119,IF(BK20="Invisi-Gard Woven Stainless Steel",BI20-105,BI20-114))))</f>
        <v/>
      </c>
      <c r="BO20" s="55" t="str">
        <f>IF(Data!AW20="","",IF('Mitred Cutting'!C20="Invisi-Gard",BH20-149))</f>
        <v/>
      </c>
      <c r="BP20" s="55" t="str">
        <f>IF(Data!AW20="","",IF(AND('Mitred Cutting'!C20="Invisi-Gard",OR(AI20="Yes",AI20="Yes - Centre")),ROUNDDOWN(AJ20-117,0),IF('Mitred Cutting'!C20="Invisi-Gard",BI20-160,"")))</f>
        <v/>
      </c>
      <c r="BQ20" s="55" t="str">
        <f>IF(OR(AI20="No",Data!AW20=""),"",IF('Mitred Cutting'!C20="Invisi-Gard",BI20-BP20-235,""))</f>
        <v/>
      </c>
      <c r="BR20" s="55" t="str">
        <f>IF(OR(AE20="",AE20="Flyscreen",AE20="Fibreglass Mesh",AE20="Pet Mesh"),"",IF(OR(AE20="Woven Stainless Steel",AE20="Invisi-Gard Woven Stainless Steel"),(INDEX(WSSGrid,MATCH(BT20,WSSDrop,1),MATCH(BS20,WSSWidth,1))),IF(AE20="Standard Diamond",(INDEX(SDGGrid,MATCH(BT20,SDGDrop,1),MATCH(BS20,SDGWidth,1))),IF(AE20="DVA Mesh",(INDEX(DVAGrid,MATCH(BT20,DVADrop,1),MATCH(BS20,DVAWidth,1))),IF(AE20="Decorative Diamond",(INDEX(DDGGrid,MATCH(BT20,DDGDrop,1),MATCH(BS20,DDGWidth,1))),IF(AE20="Privacy-Gard",(INDEX(PGGrid,MATCH(BT20,PGDrop,1),MATCH(BS20,PGWidth,1))),IF(AE20="Woven Galvanised Steel",(INDEX(WGSGRID,MATCH(BT20,WGSDROP,1),MATCH(BS20,WGSWIDTH,1))),IF(AE20="Perforated Aluminium",(INDEX(AGGrid,MATCH(BT20,AGDrop,1),MATCH(BS20,AGWidth,1)))))))))))</f>
        <v/>
      </c>
      <c r="BS20" s="55" t="str">
        <f t="shared" si="0"/>
        <v/>
      </c>
      <c r="BT20" s="55" t="str">
        <f t="shared" si="1"/>
        <v/>
      </c>
      <c r="BU20" s="55" t="str">
        <f t="shared" si="2"/>
        <v/>
      </c>
      <c r="BV20" s="68" t="str">
        <f>IF(Data!AV20="","",IF(AND(J20="Hinged",M20="Not Required"),BI20/2,IF(OR(M20="Push 2 Go Triple Lock",M20="Triple Lock",M20="Ultra Secua Digital Triple Lock"),BI20/2,"")))</f>
        <v/>
      </c>
      <c r="BW20" s="68" t="str">
        <f t="shared" si="3"/>
        <v/>
      </c>
      <c r="BX20" s="55" t="str">
        <f>IF(OR(Data!BA20="",V20="N/A (Sliding/Stacker)",AND(OR(J20="Sliding",J20="Stacker"),M20="Not Required"),M20="Bass Latch"),"",IF(AND(J20="Hinged",M20="Not Required"),(X20-5)-VLOOKUP(W20,LockCode,2,FALSE),IF(AND(O20&lt;&gt;"",OR(F20="Opening",F20="Pip to Pip")),(O20-5)-VLOOKUP(N20,LockCode,2,FALSE),IF(AND(X20&lt;&gt;"",OR(F20="Opening",F20="Pip to Pip")),(X20-5)-VLOOKUP(W20,LockCode,2,FALSE),IF(AND(O20&lt;&gt;"",F20="Making"),(O20)-VLOOKUP(N20,LockCode,2,FALSE),IF(AND(X20&lt;&gt;"",F20="Making"),(X20)-VLOOKUP(W20,LockCode,2,FALSE)))))))</f>
        <v/>
      </c>
      <c r="BY20" s="55" t="str">
        <f>IF(OR(Data!BA20="",BV20=""),"",IF(O20&lt;&gt;"",BX20-VLOOKUP(CONCATENATE(J20,M20),LockAccess,3,FALSE),BX20-VLOOKUP(CONCATENATE(J20,V20),LockAccess,3,FALSE)))</f>
        <v/>
      </c>
      <c r="BZ20" s="55" t="str">
        <f>IF(OR(Data!BA20="",BV20=""),"",IF(O20&lt;&gt;"",BX20+VLOOKUP(CONCATENATE(J20,M20),LockAccess,4,FALSE),BX20+VLOOKUP(CONCATENATE(J20,V20),LockAccess,4,FALSE)))</f>
        <v/>
      </c>
      <c r="CA20" s="68" t="str">
        <f>IF(OR(Data!BE20="",BV20=""),"",IF(BY20&lt;150,"Yes","No"))</f>
        <v/>
      </c>
      <c r="CB20" s="68" t="str">
        <f>IF(OR(Data!BA20="",BV20=""),"",IF(BI20-BZ20&lt;150,"Yes","No"))</f>
        <v/>
      </c>
      <c r="CC20" s="68" t="str">
        <f>IF(OR(Data!BA20="",BV20=""),"",IF(O20&lt;&gt;"",BX20-VLOOKUP(CONCATENATE(J20,M20),LockAccess,5,FALSE),IF(X20&lt;&gt;"",BX20-VLOOKUP(CONCATENATE(J20,V20),LockAccess,5,FALSE))))</f>
        <v/>
      </c>
      <c r="CD20" s="68" t="str">
        <f>IF(OR(Data!BA20="",BV20=""),"",IF(O20&lt;&gt;"",BX20+VLOOKUP(CONCATENATE(J20,M20),LockAccess,6,FALSE),IF(X20&lt;&gt;"",BX20+VLOOKUP(CONCATENATE(J20,V20),LockAccess,6,FALSE))))</f>
        <v/>
      </c>
      <c r="CE20" s="68" t="str">
        <f>IF(OR(Data!BE20="",BV20=""),"",IF(CC20&lt;150,"Yes","No"))</f>
        <v/>
      </c>
      <c r="CF20" s="68" t="str">
        <f>IF(OR(Data!BA20="",BV20=""),"",IF(BI20-CD20&lt;150,"Yes","No"))</f>
        <v/>
      </c>
      <c r="CG20" s="68" t="str">
        <f>IF(OR(Data!BA20="",BV20=""),"",IF(O20&lt;&gt;"",BX20-VLOOKUP(CONCATENATE(J20,M20),LockAccess,7,FALSE),IF(X20&lt;&gt;"",BX20-VLOOKUP(CONCATENATE(J20,V20),LockAccess,7,FALSE))))</f>
        <v/>
      </c>
      <c r="CH20" s="68" t="str">
        <f>IF(OR(Data!BA20="",BV20=""),"",IF(O20&lt;&gt;"",BX20+VLOOKUP(CONCATENATE(J20,M20),LockAccess,8,FALSE),IF(X20&lt;&gt;"",BX20+VLOOKUP(CONCATENATE(J20,V20),LockAccess,8,FALSE))))</f>
        <v/>
      </c>
      <c r="CI20" s="68" t="str">
        <f>IF(OR(Data!BE20="",BV20=""),"",IF(CG20&lt;150,"Yes","No"))</f>
        <v/>
      </c>
      <c r="CJ20" s="68" t="str">
        <f>IF(OR(Data!BA20="",BV20=""),"",IF(BI20-CH20&lt;150,"Yes","No"))</f>
        <v/>
      </c>
      <c r="CK20" s="55" t="str">
        <f>IF(OR(Data!AV20="",M20="Single Lock",M20="Push 2 Go Single Lock",M20="Bass Latch",V20="N/A (Sliding/Stacker)",V20="Single Lock"),"",IF(OR(S20&lt;&gt;"",T20&lt;&gt;"",M20="Ultra Secua Digital Triple Lock"),J20&amp;" Adjustable",IF(VLOOKUP(CA20&amp;CB20,HighTripleLockKits,2,FALSE)="High",J20&amp;" High",IF(VLOOKUP(CE20&amp;CF20,LowTripleLockKits,2,FALSE)="Low",J20&amp;" Low",IF(VLOOKUP(CI20&amp;CJ20,PoolTripleLockKits,2,FALSE)="Pool",J20&amp;" Pool",IF(J20="Hinged","Hinged Adjustable",IF(OR(J20="Sliding",J20="Stacker"),"Sliding Adjustable","")))))))</f>
        <v/>
      </c>
      <c r="CL20" s="55" t="str">
        <f>IF(Data!AV20="","",VLOOKUP(CONCATENATE(J20,Data!BO20,M20,AI20,AV20),ChecklistCodes,2,FALSE))</f>
        <v/>
      </c>
    </row>
    <row r="21" ht="60" customHeight="1">
      <c r="AI21" s="73"/>
    </row>
    <row r="22" ht="60" customHeight="1">
      <c r="AI22" s="73"/>
    </row>
    <row r="23" ht="60" customHeight="1">
      <c r="AI23" s="73"/>
    </row>
    <row r="24" ht="60" customHeight="1">
      <c r="AI24" s="73"/>
    </row>
    <row r="25" ht="60" customHeight="1">
      <c r="AI25" s="73"/>
    </row>
    <row r="26" ht="60" customHeight="1">
      <c r="AI26" s="73"/>
    </row>
    <row r="27" ht="60" customHeight="1">
      <c r="AI27" s="73"/>
    </row>
    <row r="28" ht="60" customHeight="1">
      <c r="AI28" s="73"/>
    </row>
    <row r="29" ht="60" customHeight="1">
      <c r="AI29" s="73"/>
    </row>
    <row r="30" ht="60" customHeight="1">
      <c r="AI30" s="73"/>
    </row>
    <row r="31" ht="60" customHeight="1">
      <c r="AI31" s="73"/>
    </row>
    <row r="32" ht="60" customHeight="1">
      <c r="AI32" s="73"/>
    </row>
    <row r="33" ht="60" customHeight="1">
      <c r="AI33" s="73"/>
    </row>
    <row r="34" ht="60" customHeight="1">
      <c r="AI34" s="73"/>
    </row>
    <row r="35" ht="60" customHeight="1">
      <c r="AI35" s="73"/>
    </row>
    <row r="36" ht="60" customHeight="1">
      <c r="AI36" s="73"/>
    </row>
    <row r="37" ht="60" customHeight="1">
      <c r="AI37" s="73"/>
    </row>
    <row r="38" ht="60" customHeight="1">
      <c r="AI38" s="73"/>
    </row>
    <row r="39" ht="60" customHeight="1">
      <c r="AI39" s="73"/>
    </row>
    <row r="40" ht="60" customHeight="1">
      <c r="AI40" s="73"/>
    </row>
    <row r="41" ht="60" customHeight="1">
      <c r="AI41" s="73"/>
    </row>
    <row r="42" ht="60" customHeight="1">
      <c r="AI42" s="73"/>
    </row>
    <row r="43" ht="60" customHeight="1">
      <c r="AI43" s="73"/>
    </row>
    <row r="44" ht="60" customHeight="1">
      <c r="AI44" s="73"/>
    </row>
    <row r="45" ht="60" customHeight="1">
      <c r="AI45" s="73"/>
    </row>
    <row r="46" ht="60" customHeight="1">
      <c r="AI46" s="73"/>
    </row>
    <row r="47" ht="60" customHeight="1">
      <c r="AI47" s="73"/>
    </row>
    <row r="48" ht="60" customHeight="1">
      <c r="AI48" s="73"/>
    </row>
    <row r="49" ht="60" customHeight="1">
      <c r="AI49" s="73"/>
    </row>
    <row r="50" ht="60" customHeight="1">
      <c r="AI50" s="73"/>
    </row>
    <row r="51" ht="60" customHeight="1">
      <c r="AI51" s="73"/>
    </row>
    <row r="52" ht="60" customHeight="1">
      <c r="AI52" s="73"/>
    </row>
    <row r="53" ht="60" customHeight="1">
      <c r="AI53" s="73"/>
    </row>
    <row r="54" ht="60" customHeight="1">
      <c r="AI54" s="73"/>
    </row>
    <row r="55" ht="60" customHeight="1">
      <c r="AI55" s="73"/>
    </row>
    <row r="56" ht="60" customHeight="1">
      <c r="AI56" s="73"/>
    </row>
    <row r="57" ht="60" customHeight="1"/>
    <row r="58" ht="60" customHeight="1"/>
    <row r="59" ht="60" customHeight="1"/>
    <row r="60" ht="60" customHeight="1"/>
    <row r="61" ht="105" customHeight="1"/>
    <row r="62" ht="105" customHeight="1"/>
    <row r="63" ht="105" customHeight="1"/>
    <row r="64" ht="105" customHeight="1"/>
    <row r="65" ht="105" customHeight="1"/>
    <row r="66" ht="105" customHeight="1"/>
  </sheetData>
  <sheetProtection formatCells="0" formatRows="0" insertColumns="0" insertRows="0"/>
  <mergeCells count="111">
    <mergeCell ref="BO8:BO10"/>
    <mergeCell ref="BQ8:BQ10"/>
    <mergeCell ref="A1:BF1"/>
    <mergeCell ref="V2:BF2"/>
    <mergeCell ref="V3:BF7"/>
    <mergeCell ref="A3:C3"/>
    <mergeCell ref="D5:G5"/>
    <mergeCell ref="D4:G4"/>
    <mergeCell ref="A2:C2"/>
    <mergeCell ref="D2:G2"/>
    <mergeCell ref="A5:C5"/>
    <mergeCell ref="A4:C4"/>
    <mergeCell ref="D3:G3"/>
    <mergeCell ref="H3:L3"/>
    <mergeCell ref="H2:L2"/>
    <mergeCell ref="H5:L7"/>
    <mergeCell ref="M2:U2"/>
    <mergeCell ref="M3:U3"/>
    <mergeCell ref="M4:U4"/>
    <mergeCell ref="M5:U5"/>
    <mergeCell ref="H4:L4"/>
    <mergeCell ref="A6:G7"/>
    <mergeCell ref="M6:U6"/>
    <mergeCell ref="M7:U7"/>
    <mergeCell ref="BK8:BK10"/>
    <mergeCell ref="BB8:BB10"/>
    <mergeCell ref="AY8:AY10"/>
    <mergeCell ref="AU8:AU10"/>
    <mergeCell ref="CG8:CG10"/>
    <mergeCell ref="CH8:CH10"/>
    <mergeCell ref="BR8:BR10"/>
    <mergeCell ref="CI8:CI10"/>
    <mergeCell ref="CJ8:CJ10"/>
    <mergeCell ref="BN8:BN10"/>
    <mergeCell ref="BM8:BM10"/>
    <mergeCell ref="AV8:AV10"/>
    <mergeCell ref="AZ8:AZ10"/>
    <mergeCell ref="BI8:BI10"/>
    <mergeCell ref="CB8:CB10"/>
    <mergeCell ref="BX8:BX10"/>
    <mergeCell ref="BZ8:BZ10"/>
    <mergeCell ref="BY8:BY10"/>
    <mergeCell ref="BW8:BW10"/>
    <mergeCell ref="BV8:BV10"/>
    <mergeCell ref="BJ8:BJ10"/>
    <mergeCell ref="BH8:BH10"/>
    <mergeCell ref="BA8:BA10"/>
    <mergeCell ref="BP8:BP10"/>
    <mergeCell ref="A8:A10"/>
    <mergeCell ref="E8:E10"/>
    <mergeCell ref="I8:I10"/>
    <mergeCell ref="M8:M10"/>
    <mergeCell ref="J8:J10"/>
    <mergeCell ref="B8:B10"/>
    <mergeCell ref="CL8:CL10"/>
    <mergeCell ref="CE8:CE10"/>
    <mergeCell ref="CF8:CF10"/>
    <mergeCell ref="AO8:AO10"/>
    <mergeCell ref="AL8:AL10"/>
    <mergeCell ref="BU8:BU10"/>
    <mergeCell ref="AS8:AS10"/>
    <mergeCell ref="AT8:AT10"/>
    <mergeCell ref="BL8:BL10"/>
    <mergeCell ref="BF8:BF10"/>
    <mergeCell ref="AW8:AW10"/>
    <mergeCell ref="AX8:AX10"/>
    <mergeCell ref="BS8:BS10"/>
    <mergeCell ref="BT8:BT10"/>
    <mergeCell ref="CC8:CC10"/>
    <mergeCell ref="CD8:CD10"/>
    <mergeCell ref="CA8:CA10"/>
    <mergeCell ref="CK8:CK10"/>
    <mergeCell ref="R8:R10"/>
    <mergeCell ref="V8:V10"/>
    <mergeCell ref="W8:W10"/>
    <mergeCell ref="C8:C10"/>
    <mergeCell ref="K8:K10"/>
    <mergeCell ref="H8:H10"/>
    <mergeCell ref="S8:S10"/>
    <mergeCell ref="T8:T10"/>
    <mergeCell ref="G8:G10"/>
    <mergeCell ref="N8:N10"/>
    <mergeCell ref="D8:D10"/>
    <mergeCell ref="F8:F10"/>
    <mergeCell ref="L8:L10"/>
    <mergeCell ref="Q8:Q10"/>
    <mergeCell ref="O8:O10"/>
    <mergeCell ref="P8:P10"/>
    <mergeCell ref="U8:U10"/>
    <mergeCell ref="AG8:AG10"/>
    <mergeCell ref="AQ8:AQ10"/>
    <mergeCell ref="BC8:BC10"/>
    <mergeCell ref="BD8:BD10"/>
    <mergeCell ref="BE8:BE10"/>
    <mergeCell ref="X8:X10"/>
    <mergeCell ref="Y8:Y10"/>
    <mergeCell ref="AC8:AC10"/>
    <mergeCell ref="AD8:AD10"/>
    <mergeCell ref="AR8:AR10"/>
    <mergeCell ref="AI8:AI10"/>
    <mergeCell ref="AH8:AH10"/>
    <mergeCell ref="AF8:AF10"/>
    <mergeCell ref="AE8:AE10"/>
    <mergeCell ref="AB8:AB10"/>
    <mergeCell ref="AA8:AA10"/>
    <mergeCell ref="Z8:Z10"/>
    <mergeCell ref="AM8:AM10"/>
    <mergeCell ref="AP8:AP10"/>
    <mergeCell ref="AJ8:AJ10"/>
    <mergeCell ref="AK8:AK10"/>
    <mergeCell ref="AN8:AN10"/>
  </mergeCells>
  <conditionalFormatting sqref="AK11:AK20">
    <cfRule type="expression" priority="1" dxfId="1">
      <formula>AND(OR(AI11="Yes",AI11="Yes - Centre"),AK11="")</formula>
    </cfRule>
  </conditionalFormatting>
  <printOptions horizontalCentered="1"/>
  <pageMargins left="0.236220472440945" right="0.236220472440945" top="0.236220472440945" bottom="0.236220472440945" header="0.236220472440945" footer="0.236220472440945"/>
  <pageSetup fitToHeight="0" orientation="landscape" paperSize="9" scale="1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9F7B1-3B81-4792-8310-7C5B2C1C822E}">
  <sheetPr codeName="Sheet6">
    <pageSetUpPr fitToPage="1"/>
  </sheetPr>
  <dimension ref="A1:T20"/>
  <sheetViews>
    <sheetView view="pageBreakPreview" zoomScale="60" zoomScaleNormal="60" workbookViewId="0" topLeftCell="A1">
      <selection pane="topLeft" activeCell="I17" sqref="I17"/>
    </sheetView>
  </sheetViews>
  <sheetFormatPr defaultColWidth="9.109375" defaultRowHeight="13.5"/>
  <cols>
    <col min="1" max="1" width="10.4285714285714" style="52" customWidth="1"/>
    <col min="2" max="2" width="30.5714285714286" style="52" customWidth="1"/>
    <col min="3" max="3" width="18.7142857142857" style="52" customWidth="1"/>
    <col min="4" max="4" width="17.8571428571429" style="52" customWidth="1"/>
    <col min="5" max="5" width="18.7142857142857" style="52" customWidth="1"/>
    <col min="6" max="6" width="22.1428571428571" style="52" customWidth="1"/>
    <col min="7" max="7" width="21.4285714285714" style="52" customWidth="1"/>
    <col min="8" max="8" width="15.2857142857143" style="52" customWidth="1"/>
    <col min="9" max="9" width="17.2857142857143" style="52" customWidth="1"/>
    <col min="10" max="10" width="32.8571428571429" style="53" customWidth="1"/>
    <col min="11" max="11" width="18.1428571428571" style="53" customWidth="1"/>
    <col min="12" max="12" width="22.2857142857143" style="52" customWidth="1"/>
    <col min="13" max="13" width="17.2857142857143" style="52" customWidth="1"/>
    <col min="14" max="14" width="21.1428571428571" style="52" customWidth="1"/>
    <col min="15" max="15" width="20.2857142857143" style="52" customWidth="1"/>
    <col min="16" max="16" width="20.1428571428571" customWidth="1"/>
    <col min="17" max="17" width="15.8571428571429" customWidth="1"/>
    <col min="18" max="18" width="16.7142857142857" bestFit="1" customWidth="1"/>
    <col min="19" max="19" width="17" customWidth="1"/>
    <col min="20" max="20" width="26.1428571428571" customWidth="1"/>
  </cols>
  <sheetData>
    <row r="1" spans="1:20" s="30" customFormat="1" ht="109.2" customHeight="1">
      <c r="A1" s="189" t="s">
        <v>521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1"/>
    </row>
    <row r="2" spans="1:20" s="41" customFormat="1" ht="50.1" customHeight="1">
      <c r="A2" s="183" t="s">
        <v>7</v>
      </c>
      <c r="B2" s="183"/>
      <c r="C2" s="183"/>
      <c r="D2" s="184"/>
      <c r="E2" s="184"/>
      <c r="F2" s="184"/>
      <c r="G2" s="184" t="s">
        <v>118</v>
      </c>
      <c r="H2" s="184"/>
      <c r="I2" s="184"/>
      <c r="J2" s="3" t="str">
        <f>TRIM(Data!BF5)</f>
        <v>Leurs, Nigel</v>
      </c>
      <c r="K2" s="3"/>
      <c r="L2" s="3"/>
      <c r="M2" s="3"/>
      <c r="N2" s="3"/>
      <c r="O2" s="3"/>
      <c r="P2" s="192" t="s">
        <v>4</v>
      </c>
      <c r="Q2" s="193"/>
      <c r="R2" s="193"/>
      <c r="S2" s="193"/>
      <c r="T2" s="194"/>
    </row>
    <row r="3" spans="1:20" s="41" customFormat="1" ht="50.1" customHeight="1">
      <c r="A3" s="2" t="s">
        <v>143</v>
      </c>
      <c r="B3" s="2"/>
      <c r="C3" s="2"/>
      <c r="D3" s="182" t="str">
        <f>TRIM(Data!BC5)</f>
        <v>12201</v>
      </c>
      <c r="E3" s="182"/>
      <c r="F3" s="182"/>
      <c r="G3" s="187" t="s">
        <v>8</v>
      </c>
      <c r="H3" s="187"/>
      <c r="I3" s="187"/>
      <c r="J3" s="3" t="str">
        <f>TRIM(Data!AX5)</f>
        <v>Barrier Doors</v>
      </c>
      <c r="K3" s="3"/>
      <c r="L3" s="3"/>
      <c r="M3" s="3"/>
      <c r="N3" s="3"/>
      <c r="O3" s="3"/>
      <c r="P3" s="195" t="str">
        <f>TRIM(Data!BG5)</f>
        <v/>
      </c>
      <c r="Q3" s="196"/>
      <c r="R3" s="196"/>
      <c r="S3" s="196"/>
      <c r="T3" s="197"/>
    </row>
    <row r="4" spans="1:20" s="42" customFormat="1" ht="50.1" customHeight="1">
      <c r="A4" s="186" t="s">
        <v>15</v>
      </c>
      <c r="B4" s="186"/>
      <c r="C4" s="186"/>
      <c r="D4" s="182" t="str">
        <f>TRIM(Data!BD5)</f>
        <v>A</v>
      </c>
      <c r="E4" s="182"/>
      <c r="F4" s="182"/>
      <c r="G4" s="187" t="s">
        <v>137</v>
      </c>
      <c r="H4" s="187"/>
      <c r="I4" s="187"/>
      <c r="J4" s="3" t="str">
        <f>LEFT(Data!BA5,10)</f>
        <v>22/09/2026</v>
      </c>
      <c r="K4" s="3"/>
      <c r="L4" s="3"/>
      <c r="M4" s="3"/>
      <c r="N4" s="3"/>
      <c r="O4" s="3"/>
      <c r="P4" s="198"/>
      <c r="Q4" s="199"/>
      <c r="R4" s="199"/>
      <c r="S4" s="199"/>
      <c r="T4" s="200"/>
    </row>
    <row r="5" spans="1:20" s="42" customFormat="1" ht="50.1" customHeight="1">
      <c r="A5" s="185" t="s">
        <v>9</v>
      </c>
      <c r="B5" s="185"/>
      <c r="C5" s="185"/>
      <c r="D5" s="1" t="str">
        <f>TRIM(Data!AY5)</f>
        <v>26/08/2026 12:00:00 AM</v>
      </c>
      <c r="E5" s="1"/>
      <c r="F5" s="1"/>
      <c r="G5" s="182" t="s">
        <v>12</v>
      </c>
      <c r="H5" s="182"/>
      <c r="I5" s="182"/>
      <c r="J5" s="3" t="str">
        <f>CONCATENATE(Data!CX5," ",Data!CY5)</f>
        <v>Nigel Leurs</v>
      </c>
      <c r="K5" s="3"/>
      <c r="L5" s="3"/>
      <c r="M5" s="3"/>
      <c r="N5" s="3"/>
      <c r="O5" s="3"/>
      <c r="P5" s="198"/>
      <c r="Q5" s="199"/>
      <c r="R5" s="199"/>
      <c r="S5" s="199"/>
      <c r="T5" s="200"/>
    </row>
    <row r="6" spans="1:20" s="42" customFormat="1" ht="50.1" customHeight="1">
      <c r="A6" s="188" t="str">
        <f>TRIM(Data!CZ5)</f>
        <v>Retail Customer</v>
      </c>
      <c r="B6" s="188"/>
      <c r="C6" s="188"/>
      <c r="D6" s="188"/>
      <c r="E6" s="188"/>
      <c r="F6" s="188"/>
      <c r="G6" s="182"/>
      <c r="H6" s="182"/>
      <c r="I6" s="182"/>
      <c r="J6" s="3" t="str">
        <f>CONCATENATE(Data!BH5," ",Data!BI5," ",Data!BJ5," ",Data!BK5," ",Data!BL5)</f>
        <v xml:space="preserve"> 30  Timbertop Drive </v>
      </c>
      <c r="K6" s="3"/>
      <c r="L6" s="3"/>
      <c r="M6" s="3"/>
      <c r="N6" s="3"/>
      <c r="O6" s="3"/>
      <c r="P6" s="201"/>
      <c r="Q6" s="202"/>
      <c r="R6" s="202"/>
      <c r="S6" s="202"/>
      <c r="T6" s="203"/>
    </row>
    <row r="7" spans="1:20" s="42" customFormat="1" ht="50.1" customHeight="1">
      <c r="A7" s="188"/>
      <c r="B7" s="188"/>
      <c r="C7" s="188"/>
      <c r="D7" s="188"/>
      <c r="E7" s="188"/>
      <c r="F7" s="188"/>
      <c r="G7" s="182"/>
      <c r="H7" s="182"/>
      <c r="I7" s="182"/>
      <c r="J7" s="3" t="str">
        <f>CONCATENATE(Data!BM5," ",Data!BN5," ",Data!BO5," ",Data!BP5)</f>
        <v>Mount Helen VIC 3350 Australia</v>
      </c>
      <c r="K7" s="3"/>
      <c r="L7" s="3"/>
      <c r="M7" s="3"/>
      <c r="N7" s="3"/>
      <c r="O7" s="3"/>
      <c r="P7" s="79" t="s">
        <v>470</v>
      </c>
      <c r="Q7" s="80"/>
      <c r="R7" s="204" t="s">
        <v>471</v>
      </c>
      <c r="S7" s="204"/>
      <c r="T7" s="80">
        <f>(IF(COUNTIF(R11:R999,"Extreme - Consult Installer")&gt;0,"Extreme - Consult Installer",ROUNDUP(SUM(S11:S999),0)))</f>
        <v>121</v>
      </c>
    </row>
    <row r="8" spans="1:20" s="49" customFormat="1" ht="50.1" customHeight="1">
      <c r="A8" s="9" t="s">
        <v>142</v>
      </c>
      <c r="B8" s="12" t="s">
        <v>120</v>
      </c>
      <c r="C8" s="205" t="s">
        <v>472</v>
      </c>
      <c r="D8" s="205" t="s">
        <v>473</v>
      </c>
      <c r="E8" s="206" t="s">
        <v>474</v>
      </c>
      <c r="F8" s="206" t="s">
        <v>151</v>
      </c>
      <c r="G8" s="206" t="s">
        <v>418</v>
      </c>
      <c r="H8" s="205" t="s">
        <v>475</v>
      </c>
      <c r="I8" s="205" t="s">
        <v>476</v>
      </c>
      <c r="J8" s="13" t="s">
        <v>477</v>
      </c>
      <c r="K8" s="12" t="s">
        <v>215</v>
      </c>
      <c r="L8" s="13" t="s">
        <v>11</v>
      </c>
      <c r="M8" s="13" t="s">
        <v>168</v>
      </c>
      <c r="N8" s="13" t="s">
        <v>159</v>
      </c>
      <c r="O8" s="13" t="s">
        <v>458</v>
      </c>
      <c r="P8" s="8" t="s">
        <v>466</v>
      </c>
      <c r="Q8" s="8" t="s">
        <v>467</v>
      </c>
      <c r="R8" s="8" t="s">
        <v>470</v>
      </c>
      <c r="S8" s="8" t="s">
        <v>478</v>
      </c>
      <c r="T8" s="8" t="s">
        <v>5</v>
      </c>
    </row>
    <row r="9" spans="1:20" s="49" customFormat="1" ht="14.25" customHeight="1" hidden="1">
      <c r="A9" s="9"/>
      <c r="B9" s="12"/>
      <c r="C9" s="205"/>
      <c r="D9" s="205"/>
      <c r="E9" s="206"/>
      <c r="F9" s="206"/>
      <c r="G9" s="206"/>
      <c r="H9" s="205"/>
      <c r="I9" s="205"/>
      <c r="J9" s="13"/>
      <c r="K9" s="12"/>
      <c r="L9" s="13"/>
      <c r="M9" s="13"/>
      <c r="N9" s="13"/>
      <c r="O9" s="13"/>
      <c r="P9" s="7"/>
      <c r="Q9" s="7"/>
      <c r="R9" s="7"/>
      <c r="S9" s="7"/>
      <c r="T9" s="7"/>
    </row>
    <row r="10" spans="1:20" s="50" customFormat="1" ht="42" customHeight="1">
      <c r="A10" s="9"/>
      <c r="B10" s="12"/>
      <c r="C10" s="205"/>
      <c r="D10" s="205"/>
      <c r="E10" s="206"/>
      <c r="F10" s="206"/>
      <c r="G10" s="206"/>
      <c r="H10" s="205"/>
      <c r="I10" s="205"/>
      <c r="J10" s="13"/>
      <c r="K10" s="12"/>
      <c r="L10" s="13"/>
      <c r="M10" s="13"/>
      <c r="N10" s="13"/>
      <c r="O10" s="13"/>
      <c r="P10" s="6"/>
      <c r="Q10" s="6"/>
      <c r="R10" s="6"/>
      <c r="S10" s="6"/>
      <c r="T10" s="6"/>
    </row>
    <row r="11" spans="1:20" s="37" customFormat="1" ht="69.75">
      <c r="A11" s="69">
        <f>IF('Job Sheet'!BB11="Installation",'Job Sheet'!A11,"")</f>
        <v>1</v>
      </c>
      <c r="B11" s="69" t="str">
        <f>IF('Job Sheet'!BB11="Installation",'Job Sheet'!C11,"")</f>
        <v>Rumpus</v>
      </c>
      <c r="C11" s="81">
        <f>IF('Job Sheet'!BB11="Installation",'Job Sheet'!D11,"")</f>
        <v>940</v>
      </c>
      <c r="D11" s="81">
        <f>IF('Job Sheet'!BB11="Installation",'Job Sheet'!E11,"")</f>
        <v>2046</v>
      </c>
      <c r="E11" s="83" t="str">
        <f>IF('Job Sheet'!BB11="Installation",'Job Sheet'!F11,"")</f>
        <v>Opening</v>
      </c>
      <c r="F11" s="83" t="str">
        <f>IF('Job Sheet'!BB11="Installation",'Job Sheet'!AZ11,"")</f>
        <v>No</v>
      </c>
      <c r="G11" s="83" t="str">
        <f>IF('Job Sheet'!BB11="Installation",'Job Sheet'!BA11,"")</f>
        <v>No</v>
      </c>
      <c r="H11" s="82">
        <f>IF('Job Sheet'!BB11="Installation",'Job Sheet'!BH11,"")</f>
        <v>936</v>
      </c>
      <c r="I11" s="82">
        <f>IF('Job Sheet'!BB11="Installation",'Job Sheet'!BI11,"")</f>
        <v>2036</v>
      </c>
      <c r="J11" s="56" t="str">
        <f>IF('Job Sheet'!BB11="Installation",CONCATENATE(Data!BO11," ",Data!BP11),"")</f>
        <v>Alu-Gard Perforated Aluminium Paperbark</v>
      </c>
      <c r="K11" s="55" t="str">
        <f>IF('Job Sheet'!BB11="Installation",'Job Sheet'!I11,"")</f>
        <v>Single</v>
      </c>
      <c r="L11" s="55" t="str">
        <f>IF('Job Sheet'!BB11="Installation",'Job Sheet'!J11,"")</f>
        <v>Sliding</v>
      </c>
      <c r="M11" s="55" t="str">
        <f>IF('Job Sheet'!BB11="Installation",'Job Sheet'!H11,"")</f>
        <v>Aluminium</v>
      </c>
      <c r="N11" s="55" t="str">
        <f>IF('Job Sheet'!BB11="Installation",'Job Sheet'!M11," ")</f>
        <v>Single Lock</v>
      </c>
      <c r="O11" s="55" t="str">
        <f>IF('Job Sheet'!BB11="Installation",'Job Sheet'!R11," ")</f>
        <v/>
      </c>
      <c r="P11" s="55" t="str">
        <f>IF('Job Sheet'!BB11="Installation",'Job Sheet'!BC11," ")</f>
        <v>Square Opening</v>
      </c>
      <c r="Q11" s="55" t="str">
        <f>IF('Job Sheet'!BB11="Installation",'Job Sheet'!BD11," ")</f>
        <v>Yes</v>
      </c>
      <c r="R11" s="55"/>
      <c r="S11" s="55">
        <f>IF(Data!AV11="","",IF('Job Sheet'!AP11="Extreme - Consult Installer","Consult Installer",(10+IFERROR(VLOOKUP(N11,FLOCK,2,FALSE),0)+IFERROR(VLOOKUP(P11,FGRADING,2,FALSE),0)+IFERROR(VLOOKUP(Q11,FTAKEDOWN,2,FALSE),0)+IFERROR(VLOOKUP(M11,FSURFACE,2,FALSE),0)+IFERROR(VLOOKUP(F11,FDEDUCT,2,FALSE),0)+IFERROR(VLOOKUP(F11,FLEGF,2,FALSE),0)+IFERROR(VLOOKUP(G11,FDEDUCT2,2,FALSE),0)+IFERROR(VLOOKUP(L11,FCONTROL,2,FALSE),0))))</f>
        <v>33</v>
      </c>
      <c r="T11" s="55" t="str">
        <f>'Job Sheet'!AS11</f>
        <v>Existing Track</v>
      </c>
    </row>
    <row r="12" spans="1:20" s="37" customFormat="1" ht="69.75">
      <c r="A12" s="69">
        <f>IF('Job Sheet'!BB12="Installation",'Job Sheet'!A12,"")</f>
        <v>2</v>
      </c>
      <c r="B12" s="69" t="str">
        <f>IF('Job Sheet'!BB12="Installation",'Job Sheet'!C12,"")</f>
        <v>Laundry</v>
      </c>
      <c r="C12" s="81">
        <f>IF('Job Sheet'!BB12="Installation",'Job Sheet'!D12,"")</f>
        <v>821</v>
      </c>
      <c r="D12" s="81">
        <f>IF('Job Sheet'!BB12="Installation",'Job Sheet'!E12,"")</f>
        <v>2054</v>
      </c>
      <c r="E12" s="83" t="str">
        <f>IF('Job Sheet'!BB12="Installation",'Job Sheet'!F12,"")</f>
        <v>Opening</v>
      </c>
      <c r="F12" s="83" t="str">
        <f>IF('Job Sheet'!BB12="Installation",'Job Sheet'!AZ12,"")</f>
        <v>5mm off Drop Only</v>
      </c>
      <c r="G12" s="83" t="str">
        <f>IF('Job Sheet'!BB12="Installation",'Job Sheet'!BA12,"")</f>
        <v>No</v>
      </c>
      <c r="H12" s="82">
        <f>IF('Job Sheet'!BB12="Installation",'Job Sheet'!BH12,"")</f>
        <v>814</v>
      </c>
      <c r="I12" s="82">
        <f>IF('Job Sheet'!BB12="Installation",'Job Sheet'!BI12,"")</f>
        <v>2039</v>
      </c>
      <c r="J12" s="56" t="str">
        <f>IF('Job Sheet'!BB12="Installation",CONCATENATE(Data!BO12," ",Data!BP12),"")</f>
        <v>Alu-Gard Perforated Aluminium Paperbark</v>
      </c>
      <c r="K12" s="55" t="str">
        <f>IF('Job Sheet'!BB12="Installation",'Job Sheet'!I12,"")</f>
        <v>Single</v>
      </c>
      <c r="L12" s="55" t="str">
        <f>IF('Job Sheet'!BB12="Installation",'Job Sheet'!J12,"")</f>
        <v>Hinged</v>
      </c>
      <c r="M12" s="55" t="str">
        <f>IF('Job Sheet'!BB12="Installation",'Job Sheet'!H12,"")</f>
        <v>Timber</v>
      </c>
      <c r="N12" s="55" t="str">
        <f>IF('Job Sheet'!BB12="Installation",'Job Sheet'!M12," ")</f>
        <v>Single Lock</v>
      </c>
      <c r="O12" s="55" t="str">
        <f>IF('Job Sheet'!BB12="Installation",'Job Sheet'!R12," ")</f>
        <v>Standard</v>
      </c>
      <c r="P12" s="55" t="str">
        <f>IF('Job Sheet'!BB12="Installation",'Job Sheet'!BC12," ")</f>
        <v>Slightly Out of Square Opening</v>
      </c>
      <c r="Q12" s="55" t="str">
        <f>IF('Job Sheet'!BB12="Installation",'Job Sheet'!BD12," ")</f>
        <v>No</v>
      </c>
      <c r="R12" s="55"/>
      <c r="S12" s="55">
        <f>IF(Data!AV12="","",IF('Job Sheet'!AP12="Extreme - Consult Installer","Consult Installer",(10+IFERROR(VLOOKUP(N12,FLOCK,2,FALSE),0)+IFERROR(VLOOKUP(P12,FGRADING,2,FALSE),0)+IFERROR(VLOOKUP(Q12,FTAKEDOWN,2,FALSE),0)+IFERROR(VLOOKUP(M12,FSURFACE,2,FALSE),0)+IFERROR(VLOOKUP(F12,FDEDUCT,2,FALSE),0)+IFERROR(VLOOKUP(F12,FLEGF,2,FALSE),0)+IFERROR(VLOOKUP(G12,FDEDUCT2,2,FALSE),0)+IFERROR(VLOOKUP(L12,FCONTROL,2,FALSE),0))))</f>
        <v>55</v>
      </c>
      <c r="T12" s="55" t="str">
        <f>'Job Sheet'!AS12</f>
        <v>No</v>
      </c>
    </row>
    <row r="13" spans="1:20" s="37" customFormat="1" ht="69.75">
      <c r="A13" s="69">
        <f>IF('Job Sheet'!BB13="Installation",'Job Sheet'!A13,"")</f>
        <v>3</v>
      </c>
      <c r="B13" s="69" t="str">
        <f>IF('Job Sheet'!BB13="Installation",'Job Sheet'!C13,"")</f>
        <v>Kitchen</v>
      </c>
      <c r="C13" s="81">
        <f>IF('Job Sheet'!BB13="Installation",'Job Sheet'!D13,"")</f>
        <v>908</v>
      </c>
      <c r="D13" s="81">
        <f>IF('Job Sheet'!BB13="Installation",'Job Sheet'!E13,"")</f>
        <v>2078</v>
      </c>
      <c r="E13" s="83" t="str">
        <f>IF('Job Sheet'!BB13="Installation",'Job Sheet'!F13,"")</f>
        <v>Opening</v>
      </c>
      <c r="F13" s="83" t="str">
        <f>IF('Job Sheet'!BB13="Installation",'Job Sheet'!AZ13,"")</f>
        <v>No</v>
      </c>
      <c r="G13" s="83" t="str">
        <f>IF('Job Sheet'!BB13="Installation",'Job Sheet'!BA13,"")</f>
        <v>No</v>
      </c>
      <c r="H13" s="82">
        <f>IF('Job Sheet'!BB13="Installation",'Job Sheet'!BH13,"")</f>
        <v>904</v>
      </c>
      <c r="I13" s="82">
        <f>IF('Job Sheet'!BB13="Installation",'Job Sheet'!BI13,"")</f>
        <v>2068</v>
      </c>
      <c r="J13" s="56" t="str">
        <f>IF('Job Sheet'!BB13="Installation",CONCATENATE(Data!BO13," ",Data!BP13),"")</f>
        <v>Alu-Gard Perforated Aluminium Paperbark</v>
      </c>
      <c r="K13" s="55" t="str">
        <f>IF('Job Sheet'!BB13="Installation",'Job Sheet'!I13,"")</f>
        <v>Single</v>
      </c>
      <c r="L13" s="55" t="str">
        <f>IF('Job Sheet'!BB13="Installation",'Job Sheet'!J13,"")</f>
        <v>Sliding</v>
      </c>
      <c r="M13" s="55" t="str">
        <f>IF('Job Sheet'!BB13="Installation",'Job Sheet'!H13,"")</f>
        <v>Aluminium</v>
      </c>
      <c r="N13" s="55" t="str">
        <f>IF('Job Sheet'!BB13="Installation",'Job Sheet'!M13," ")</f>
        <v>Single Lock</v>
      </c>
      <c r="O13" s="55" t="str">
        <f>IF('Job Sheet'!BB13="Installation",'Job Sheet'!R13," ")</f>
        <v/>
      </c>
      <c r="P13" s="55" t="str">
        <f>IF('Job Sheet'!BB13="Installation",'Job Sheet'!BC13," ")</f>
        <v>Square Opening</v>
      </c>
      <c r="Q13" s="55" t="str">
        <f>IF('Job Sheet'!BB13="Installation",'Job Sheet'!BD13," ")</f>
        <v>Yes</v>
      </c>
      <c r="R13" s="55"/>
      <c r="S13" s="55">
        <f>IF(Data!AV13="","",IF('Job Sheet'!AP13="Extreme - Consult Installer","Consult Installer",(10+IFERROR(VLOOKUP(N13,FLOCK,2,FALSE),0)+IFERROR(VLOOKUP(P13,FGRADING,2,FALSE),0)+IFERROR(VLOOKUP(Q13,FTAKEDOWN,2,FALSE),0)+IFERROR(VLOOKUP(M13,FSURFACE,2,FALSE),0)+IFERROR(VLOOKUP(F13,FDEDUCT,2,FALSE),0)+IFERROR(VLOOKUP(F13,FLEGF,2,FALSE),0)+IFERROR(VLOOKUP(G13,FDEDUCT2,2,FALSE),0)+IFERROR(VLOOKUP(L13,FCONTROL,2,FALSE),0))))</f>
        <v>33</v>
      </c>
      <c r="T13" s="55" t="str">
        <f>'Job Sheet'!AS13</f>
        <v>Existing Track</v>
      </c>
    </row>
    <row r="14" spans="1:20" s="37" customFormat="1" ht="60" customHeight="1">
      <c r="A14" s="69" t="str">
        <f>IF('Job Sheet'!BB14="Installation",'Job Sheet'!A14,"")</f>
        <v/>
      </c>
      <c r="B14" s="69" t="str">
        <f>IF('Job Sheet'!BB14="Installation",'Job Sheet'!C14,"")</f>
        <v/>
      </c>
      <c r="C14" s="81" t="str">
        <f>IF('Job Sheet'!BB14="Installation",'Job Sheet'!D14,"")</f>
        <v/>
      </c>
      <c r="D14" s="81" t="str">
        <f>IF('Job Sheet'!BB14="Installation",'Job Sheet'!E14,"")</f>
        <v/>
      </c>
      <c r="E14" s="83" t="str">
        <f>IF('Job Sheet'!BB14="Installation",'Job Sheet'!F14,"")</f>
        <v/>
      </c>
      <c r="F14" s="83" t="str">
        <f>IF('Job Sheet'!BB14="Installation",'Job Sheet'!AZ14,"")</f>
        <v/>
      </c>
      <c r="G14" s="83" t="str">
        <f>IF('Job Sheet'!BB14="Installation",'Job Sheet'!BA14,"")</f>
        <v/>
      </c>
      <c r="H14" s="82" t="str">
        <f>IF('Job Sheet'!BB14="Installation",'Job Sheet'!BH14,"")</f>
        <v/>
      </c>
      <c r="I14" s="82" t="str">
        <f>IF('Job Sheet'!BB14="Installation",'Job Sheet'!BI14,"")</f>
        <v/>
      </c>
      <c r="J14" s="56" t="str">
        <f>IF('Job Sheet'!BB14="Installation",CONCATENATE(Data!BO14," ",Data!BP14),"")</f>
        <v/>
      </c>
      <c r="K14" s="55" t="str">
        <f>IF('Job Sheet'!BB14="Installation",'Job Sheet'!I14,"")</f>
        <v/>
      </c>
      <c r="L14" s="55" t="str">
        <f>IF('Job Sheet'!BB14="Installation",'Job Sheet'!J14,"")</f>
        <v/>
      </c>
      <c r="M14" s="55" t="str">
        <f>IF('Job Sheet'!BB14="Installation",'Job Sheet'!H14,"")</f>
        <v/>
      </c>
      <c r="N14" s="55" t="str">
        <f>IF('Job Sheet'!BB14="Installation",'Job Sheet'!M14," ")</f>
        <v xml:space="preserve"> </v>
      </c>
      <c r="O14" s="55" t="str">
        <f>IF('Job Sheet'!BB14="Installation",'Job Sheet'!R14," ")</f>
        <v xml:space="preserve"> </v>
      </c>
      <c r="P14" s="55" t="str">
        <f>IF('Job Sheet'!BB14="Installation",'Job Sheet'!BC14," ")</f>
        <v xml:space="preserve"> </v>
      </c>
      <c r="Q14" s="55" t="str">
        <f>IF('Job Sheet'!BB14="Installation",'Job Sheet'!BD14," ")</f>
        <v xml:space="preserve"> </v>
      </c>
      <c r="R14" s="55"/>
      <c r="S14" s="55" t="str">
        <f>IF(Data!AV14="","",IF('Job Sheet'!AP14="Extreme - Consult Installer","Consult Installer",(10+IFERROR(VLOOKUP(N14,FLOCK,2,FALSE),0)+IFERROR(VLOOKUP(P14,FGRADING,2,FALSE),0)+IFERROR(VLOOKUP(Q14,FTAKEDOWN,2,FALSE),0)+IFERROR(VLOOKUP(M14,FSURFACE,2,FALSE),0)+IFERROR(VLOOKUP(F14,FDEDUCT,2,FALSE),0)+IFERROR(VLOOKUP(F14,FLEGF,2,FALSE),0)+IFERROR(VLOOKUP(G14,FDEDUCT2,2,FALSE),0)+IFERROR(VLOOKUP(L14,FCONTROL,2,FALSE),0))))</f>
        <v/>
      </c>
      <c r="T14" s="55" t="str">
        <f>'Job Sheet'!AS14</f>
        <v/>
      </c>
    </row>
    <row r="15" spans="1:20" s="37" customFormat="1" ht="60" customHeight="1">
      <c r="A15" s="69" t="str">
        <f>IF('Job Sheet'!BB15="Installation",'Job Sheet'!A15,"")</f>
        <v/>
      </c>
      <c r="B15" s="69" t="str">
        <f>IF('Job Sheet'!BB15="Installation",'Job Sheet'!C15,"")</f>
        <v/>
      </c>
      <c r="C15" s="81" t="str">
        <f>IF('Job Sheet'!BB15="Installation",'Job Sheet'!D15,"")</f>
        <v/>
      </c>
      <c r="D15" s="81" t="str">
        <f>IF('Job Sheet'!BB15="Installation",'Job Sheet'!E15,"")</f>
        <v/>
      </c>
      <c r="E15" s="83" t="str">
        <f>IF('Job Sheet'!BB15="Installation",'Job Sheet'!F15,"")</f>
        <v/>
      </c>
      <c r="F15" s="83" t="str">
        <f>IF('Job Sheet'!BB15="Installation",'Job Sheet'!AZ15,"")</f>
        <v/>
      </c>
      <c r="G15" s="83" t="str">
        <f>IF('Job Sheet'!BB15="Installation",'Job Sheet'!BA15,"")</f>
        <v/>
      </c>
      <c r="H15" s="82" t="str">
        <f>IF('Job Sheet'!BB15="Installation",'Job Sheet'!BH15,"")</f>
        <v/>
      </c>
      <c r="I15" s="82" t="str">
        <f>IF('Job Sheet'!BB15="Installation",'Job Sheet'!BI15,"")</f>
        <v/>
      </c>
      <c r="J15" s="56" t="str">
        <f>IF('Job Sheet'!BB15="Installation",CONCATENATE(Data!BO15," ",Data!BP15),"")</f>
        <v/>
      </c>
      <c r="K15" s="55" t="str">
        <f>IF('Job Sheet'!BB15="Installation",'Job Sheet'!I15,"")</f>
        <v/>
      </c>
      <c r="L15" s="55" t="str">
        <f>IF('Job Sheet'!BB15="Installation",'Job Sheet'!J15,"")</f>
        <v/>
      </c>
      <c r="M15" s="55" t="str">
        <f>IF('Job Sheet'!BB15="Installation",'Job Sheet'!H15,"")</f>
        <v/>
      </c>
      <c r="N15" s="55" t="str">
        <f>IF('Job Sheet'!BB15="Installation",'Job Sheet'!M15," ")</f>
        <v xml:space="preserve"> </v>
      </c>
      <c r="O15" s="55" t="str">
        <f>IF('Job Sheet'!BB15="Installation",'Job Sheet'!R15," ")</f>
        <v xml:space="preserve"> </v>
      </c>
      <c r="P15" s="55" t="str">
        <f>IF('Job Sheet'!BB15="Installation",'Job Sheet'!BC15," ")</f>
        <v xml:space="preserve"> </v>
      </c>
      <c r="Q15" s="55" t="str">
        <f>IF('Job Sheet'!BB15="Installation",'Job Sheet'!BD15," ")</f>
        <v xml:space="preserve"> </v>
      </c>
      <c r="R15" s="55"/>
      <c r="S15" s="55" t="str">
        <f>IF(Data!AV15="","",IF('Job Sheet'!AP15="Extreme - Consult Installer","Consult Installer",(10+IFERROR(VLOOKUP(N15,FLOCK,2,FALSE),0)+IFERROR(VLOOKUP(P15,FGRADING,2,FALSE),0)+IFERROR(VLOOKUP(Q15,FTAKEDOWN,2,FALSE),0)+IFERROR(VLOOKUP(M15,FSURFACE,2,FALSE),0)+IFERROR(VLOOKUP(F15,FDEDUCT,2,FALSE),0)+IFERROR(VLOOKUP(F15,FLEGF,2,FALSE),0)+IFERROR(VLOOKUP(G15,FDEDUCT2,2,FALSE),0)+IFERROR(VLOOKUP(L15,FCONTROL,2,FALSE),0))))</f>
        <v/>
      </c>
      <c r="T15" s="55" t="str">
        <f>'Job Sheet'!AS15</f>
        <v/>
      </c>
    </row>
    <row r="16" spans="1:20" s="37" customFormat="1" ht="60" customHeight="1">
      <c r="A16" s="69" t="str">
        <f>IF('Job Sheet'!BB16="Installation",'Job Sheet'!A16,"")</f>
        <v/>
      </c>
      <c r="B16" s="69" t="str">
        <f>IF('Job Sheet'!BB16="Installation",'Job Sheet'!C16,"")</f>
        <v/>
      </c>
      <c r="C16" s="81" t="str">
        <f>IF('Job Sheet'!BB16="Installation",'Job Sheet'!D16,"")</f>
        <v/>
      </c>
      <c r="D16" s="81" t="str">
        <f>IF('Job Sheet'!BB16="Installation",'Job Sheet'!E16,"")</f>
        <v/>
      </c>
      <c r="E16" s="83" t="str">
        <f>IF('Job Sheet'!BB16="Installation",'Job Sheet'!F16,"")</f>
        <v/>
      </c>
      <c r="F16" s="83" t="str">
        <f>IF('Job Sheet'!BB16="Installation",'Job Sheet'!AZ16,"")</f>
        <v/>
      </c>
      <c r="G16" s="83" t="str">
        <f>IF('Job Sheet'!BB16="Installation",'Job Sheet'!BA16,"")</f>
        <v/>
      </c>
      <c r="H16" s="82" t="str">
        <f>IF('Job Sheet'!BB16="Installation",'Job Sheet'!BH16,"")</f>
        <v/>
      </c>
      <c r="I16" s="82" t="str">
        <f>IF('Job Sheet'!BB16="Installation",'Job Sheet'!BI16,"")</f>
        <v/>
      </c>
      <c r="J16" s="56" t="str">
        <f>IF('Job Sheet'!BB16="Installation",CONCATENATE(Data!BO16," ",Data!BP16),"")</f>
        <v/>
      </c>
      <c r="K16" s="55" t="str">
        <f>IF('Job Sheet'!BB16="Installation",'Job Sheet'!I16,"")</f>
        <v/>
      </c>
      <c r="L16" s="55" t="str">
        <f>IF('Job Sheet'!BB16="Installation",'Job Sheet'!J16,"")</f>
        <v/>
      </c>
      <c r="M16" s="55" t="str">
        <f>IF('Job Sheet'!BB16="Installation",'Job Sheet'!H16,"")</f>
        <v/>
      </c>
      <c r="N16" s="55" t="str">
        <f>IF('Job Sheet'!BB16="Installation",'Job Sheet'!M16," ")</f>
        <v xml:space="preserve"> </v>
      </c>
      <c r="O16" s="55" t="str">
        <f>IF('Job Sheet'!BB16="Installation",'Job Sheet'!R16," ")</f>
        <v xml:space="preserve"> </v>
      </c>
      <c r="P16" s="55" t="str">
        <f>IF('Job Sheet'!BB16="Installation",'Job Sheet'!BC16," ")</f>
        <v xml:space="preserve"> </v>
      </c>
      <c r="Q16" s="55" t="str">
        <f>IF('Job Sheet'!BB16="Installation",'Job Sheet'!BD16," ")</f>
        <v xml:space="preserve"> </v>
      </c>
      <c r="R16" s="55"/>
      <c r="S16" s="55" t="str">
        <f>IF(Data!AV16="","",IF('Job Sheet'!AP16="Extreme - Consult Installer","Consult Installer",(10+IFERROR(VLOOKUP(N16,FLOCK,2,FALSE),0)+IFERROR(VLOOKUP(P16,FGRADING,2,FALSE),0)+IFERROR(VLOOKUP(Q16,FTAKEDOWN,2,FALSE),0)+IFERROR(VLOOKUP(M16,FSURFACE,2,FALSE),0)+IFERROR(VLOOKUP(F16,FDEDUCT,2,FALSE),0)+IFERROR(VLOOKUP(F16,FLEGF,2,FALSE),0)+IFERROR(VLOOKUP(G16,FDEDUCT2,2,FALSE),0)+IFERROR(VLOOKUP(L16,FCONTROL,2,FALSE),0))))</f>
        <v/>
      </c>
      <c r="T16" s="55" t="str">
        <f>'Job Sheet'!AS16</f>
        <v/>
      </c>
    </row>
    <row r="17" spans="1:20" s="37" customFormat="1" ht="60" customHeight="1">
      <c r="A17" s="69" t="str">
        <f>IF('Job Sheet'!BB17="Installation",'Job Sheet'!A17,"")</f>
        <v/>
      </c>
      <c r="B17" s="69" t="str">
        <f>IF('Job Sheet'!BB17="Installation",'Job Sheet'!C17,"")</f>
        <v/>
      </c>
      <c r="C17" s="81" t="str">
        <f>IF('Job Sheet'!BB17="Installation",'Job Sheet'!D17,"")</f>
        <v/>
      </c>
      <c r="D17" s="81" t="str">
        <f>IF('Job Sheet'!BB17="Installation",'Job Sheet'!E17,"")</f>
        <v/>
      </c>
      <c r="E17" s="83" t="str">
        <f>IF('Job Sheet'!BB17="Installation",'Job Sheet'!F17,"")</f>
        <v/>
      </c>
      <c r="F17" s="83" t="str">
        <f>IF('Job Sheet'!BB17="Installation",'Job Sheet'!AZ17,"")</f>
        <v/>
      </c>
      <c r="G17" s="83" t="str">
        <f>IF('Job Sheet'!BB17="Installation",'Job Sheet'!BA17,"")</f>
        <v/>
      </c>
      <c r="H17" s="82" t="str">
        <f>IF('Job Sheet'!BB17="Installation",'Job Sheet'!BH17,"")</f>
        <v/>
      </c>
      <c r="I17" s="82" t="str">
        <f>IF('Job Sheet'!BB17="Installation",'Job Sheet'!BI17,"")</f>
        <v/>
      </c>
      <c r="J17" s="56" t="str">
        <f>IF('Job Sheet'!BB17="Installation",CONCATENATE(Data!BO17," ",Data!BP17),"")</f>
        <v/>
      </c>
      <c r="K17" s="55" t="str">
        <f>IF('Job Sheet'!BB17="Installation",'Job Sheet'!I17,"")</f>
        <v/>
      </c>
      <c r="L17" s="55" t="str">
        <f>IF('Job Sheet'!BB17="Installation",'Job Sheet'!J17,"")</f>
        <v/>
      </c>
      <c r="M17" s="55" t="str">
        <f>IF('Job Sheet'!BB17="Installation",'Job Sheet'!H17,"")</f>
        <v/>
      </c>
      <c r="N17" s="55" t="str">
        <f>IF('Job Sheet'!BB17="Installation",'Job Sheet'!M17," ")</f>
        <v xml:space="preserve"> </v>
      </c>
      <c r="O17" s="55" t="str">
        <f>IF('Job Sheet'!BB17="Installation",'Job Sheet'!R17," ")</f>
        <v xml:space="preserve"> </v>
      </c>
      <c r="P17" s="55" t="str">
        <f>IF('Job Sheet'!BB17="Installation",'Job Sheet'!BC17," ")</f>
        <v xml:space="preserve"> </v>
      </c>
      <c r="Q17" s="55" t="str">
        <f>IF('Job Sheet'!BB17="Installation",'Job Sheet'!BD17," ")</f>
        <v xml:space="preserve"> </v>
      </c>
      <c r="R17" s="55"/>
      <c r="S17" s="55" t="str">
        <f>IF(Data!AV17="","",IF('Job Sheet'!AP17="Extreme - Consult Installer","Consult Installer",(10+IFERROR(VLOOKUP(N17,FLOCK,2,FALSE),0)+IFERROR(VLOOKUP(P17,FGRADING,2,FALSE),0)+IFERROR(VLOOKUP(Q17,FTAKEDOWN,2,FALSE),0)+IFERROR(VLOOKUP(M17,FSURFACE,2,FALSE),0)+IFERROR(VLOOKUP(F17,FDEDUCT,2,FALSE),0)+IFERROR(VLOOKUP(F17,FLEGF,2,FALSE),0)+IFERROR(VLOOKUP(G17,FDEDUCT2,2,FALSE),0)+IFERROR(VLOOKUP(L17,FCONTROL,2,FALSE),0))))</f>
        <v/>
      </c>
      <c r="T17" s="55" t="str">
        <f>'Job Sheet'!AS17</f>
        <v/>
      </c>
    </row>
    <row r="18" spans="1:20" s="37" customFormat="1" ht="60" customHeight="1">
      <c r="A18" s="69" t="str">
        <f>IF('Job Sheet'!BB18="Installation",'Job Sheet'!A18,"")</f>
        <v/>
      </c>
      <c r="B18" s="69" t="str">
        <f>IF('Job Sheet'!BB18="Installation",'Job Sheet'!C18,"")</f>
        <v/>
      </c>
      <c r="C18" s="81" t="str">
        <f>IF('Job Sheet'!BB18="Installation",'Job Sheet'!D18,"")</f>
        <v/>
      </c>
      <c r="D18" s="81" t="str">
        <f>IF('Job Sheet'!BB18="Installation",'Job Sheet'!E18,"")</f>
        <v/>
      </c>
      <c r="E18" s="83" t="str">
        <f>IF('Job Sheet'!BB18="Installation",'Job Sheet'!F18,"")</f>
        <v/>
      </c>
      <c r="F18" s="83" t="str">
        <f>IF('Job Sheet'!BB18="Installation",'Job Sheet'!AZ18,"")</f>
        <v/>
      </c>
      <c r="G18" s="83" t="str">
        <f>IF('Job Sheet'!BB18="Installation",'Job Sheet'!BA18,"")</f>
        <v/>
      </c>
      <c r="H18" s="82" t="str">
        <f>IF('Job Sheet'!BB18="Installation",'Job Sheet'!BH18,"")</f>
        <v/>
      </c>
      <c r="I18" s="82" t="str">
        <f>IF('Job Sheet'!BB18="Installation",'Job Sheet'!BI18,"")</f>
        <v/>
      </c>
      <c r="J18" s="56" t="str">
        <f>IF('Job Sheet'!BB18="Installation",CONCATENATE(Data!BO18," ",Data!BP18),"")</f>
        <v/>
      </c>
      <c r="K18" s="55" t="str">
        <f>IF('Job Sheet'!BB18="Installation",'Job Sheet'!I18,"")</f>
        <v/>
      </c>
      <c r="L18" s="55" t="str">
        <f>IF('Job Sheet'!BB18="Installation",'Job Sheet'!J18,"")</f>
        <v/>
      </c>
      <c r="M18" s="55" t="str">
        <f>IF('Job Sheet'!BB18="Installation",'Job Sheet'!H18,"")</f>
        <v/>
      </c>
      <c r="N18" s="55" t="str">
        <f>IF('Job Sheet'!BB18="Installation",'Job Sheet'!M18," ")</f>
        <v xml:space="preserve"> </v>
      </c>
      <c r="O18" s="55" t="str">
        <f>IF('Job Sheet'!BB18="Installation",'Job Sheet'!R18," ")</f>
        <v xml:space="preserve"> </v>
      </c>
      <c r="P18" s="55" t="str">
        <f>IF('Job Sheet'!BB18="Installation",'Job Sheet'!BC18," ")</f>
        <v xml:space="preserve"> </v>
      </c>
      <c r="Q18" s="55" t="str">
        <f>IF('Job Sheet'!BB18="Installation",'Job Sheet'!BD18," ")</f>
        <v xml:space="preserve"> </v>
      </c>
      <c r="R18" s="55"/>
      <c r="S18" s="55" t="str">
        <f>IF(Data!AV18="","",IF('Job Sheet'!AP18="Extreme - Consult Installer","Consult Installer",(10+IFERROR(VLOOKUP(N18,FLOCK,2,FALSE),0)+IFERROR(VLOOKUP(P18,FGRADING,2,FALSE),0)+IFERROR(VLOOKUP(Q18,FTAKEDOWN,2,FALSE),0)+IFERROR(VLOOKUP(M18,FSURFACE,2,FALSE),0)+IFERROR(VLOOKUP(F18,FDEDUCT,2,FALSE),0)+IFERROR(VLOOKUP(F18,FLEGF,2,FALSE),0)+IFERROR(VLOOKUP(G18,FDEDUCT2,2,FALSE),0)+IFERROR(VLOOKUP(L18,FCONTROL,2,FALSE),0))))</f>
        <v/>
      </c>
      <c r="T18" s="55" t="str">
        <f>'Job Sheet'!AS18</f>
        <v/>
      </c>
    </row>
    <row r="19" spans="1:20" s="37" customFormat="1" ht="60" customHeight="1">
      <c r="A19" s="69" t="str">
        <f>IF('Job Sheet'!BB19="Installation",'Job Sheet'!A19,"")</f>
        <v/>
      </c>
      <c r="B19" s="69" t="str">
        <f>IF('Job Sheet'!BB19="Installation",'Job Sheet'!C19,"")</f>
        <v/>
      </c>
      <c r="C19" s="81" t="str">
        <f>IF('Job Sheet'!BB19="Installation",'Job Sheet'!D19,"")</f>
        <v/>
      </c>
      <c r="D19" s="81" t="str">
        <f>IF('Job Sheet'!BB19="Installation",'Job Sheet'!E19,"")</f>
        <v/>
      </c>
      <c r="E19" s="83" t="str">
        <f>IF('Job Sheet'!BB19="Installation",'Job Sheet'!F19,"")</f>
        <v/>
      </c>
      <c r="F19" s="83" t="str">
        <f>IF('Job Sheet'!BB19="Installation",'Job Sheet'!AZ19,"")</f>
        <v/>
      </c>
      <c r="G19" s="83" t="str">
        <f>IF('Job Sheet'!BB19="Installation",'Job Sheet'!BA19,"")</f>
        <v/>
      </c>
      <c r="H19" s="82" t="str">
        <f>IF('Job Sheet'!BB19="Installation",'Job Sheet'!BH19,"")</f>
        <v/>
      </c>
      <c r="I19" s="82" t="str">
        <f>IF('Job Sheet'!BB19="Installation",'Job Sheet'!BI19,"")</f>
        <v/>
      </c>
      <c r="J19" s="56" t="str">
        <f>IF('Job Sheet'!BB19="Installation",CONCATENATE(Data!BO19," ",Data!BP19),"")</f>
        <v/>
      </c>
      <c r="K19" s="55" t="str">
        <f>IF('Job Sheet'!BB19="Installation",'Job Sheet'!I19,"")</f>
        <v/>
      </c>
      <c r="L19" s="55" t="str">
        <f>IF('Job Sheet'!BB19="Installation",'Job Sheet'!J19,"")</f>
        <v/>
      </c>
      <c r="M19" s="55" t="str">
        <f>IF('Job Sheet'!BB19="Installation",'Job Sheet'!H19,"")</f>
        <v/>
      </c>
      <c r="N19" s="55" t="str">
        <f>IF('Job Sheet'!BB19="Installation",'Job Sheet'!M19," ")</f>
        <v xml:space="preserve"> </v>
      </c>
      <c r="O19" s="55" t="str">
        <f>IF('Job Sheet'!BB19="Installation",'Job Sheet'!R19," ")</f>
        <v xml:space="preserve"> </v>
      </c>
      <c r="P19" s="55" t="str">
        <f>IF('Job Sheet'!BB19="Installation",'Job Sheet'!BC19," ")</f>
        <v xml:space="preserve"> </v>
      </c>
      <c r="Q19" s="55" t="str">
        <f>IF('Job Sheet'!BB19="Installation",'Job Sheet'!BD19," ")</f>
        <v xml:space="preserve"> </v>
      </c>
      <c r="R19" s="55"/>
      <c r="S19" s="55" t="str">
        <f>IF(Data!AV19="","",IF('Job Sheet'!AP19="Extreme - Consult Installer","Consult Installer",(10+IFERROR(VLOOKUP(N19,FLOCK,2,FALSE),0)+IFERROR(VLOOKUP(P19,FGRADING,2,FALSE),0)+IFERROR(VLOOKUP(Q19,FTAKEDOWN,2,FALSE),0)+IFERROR(VLOOKUP(M19,FSURFACE,2,FALSE),0)+IFERROR(VLOOKUP(F19,FDEDUCT,2,FALSE),0)+IFERROR(VLOOKUP(F19,FLEGF,2,FALSE),0)+IFERROR(VLOOKUP(G19,FDEDUCT2,2,FALSE),0)+IFERROR(VLOOKUP(L19,FCONTROL,2,FALSE),0))))</f>
        <v/>
      </c>
      <c r="T19" s="55" t="str">
        <f>'Job Sheet'!AS19</f>
        <v/>
      </c>
    </row>
    <row r="20" spans="1:20" s="37" customFormat="1" ht="60" customHeight="1">
      <c r="A20" s="69" t="str">
        <f>IF('Job Sheet'!BB20="Installation",'Job Sheet'!A20,"")</f>
        <v/>
      </c>
      <c r="B20" s="69" t="str">
        <f>IF('Job Sheet'!BB20="Installation",'Job Sheet'!C20,"")</f>
        <v/>
      </c>
      <c r="C20" s="81" t="str">
        <f>IF('Job Sheet'!BB20="Installation",'Job Sheet'!D20,"")</f>
        <v/>
      </c>
      <c r="D20" s="81" t="str">
        <f>IF('Job Sheet'!BB20="Installation",'Job Sheet'!E20,"")</f>
        <v/>
      </c>
      <c r="E20" s="83" t="str">
        <f>IF('Job Sheet'!BB20="Installation",'Job Sheet'!F20,"")</f>
        <v/>
      </c>
      <c r="F20" s="83" t="str">
        <f>IF('Job Sheet'!BB20="Installation",'Job Sheet'!AZ20,"")</f>
        <v/>
      </c>
      <c r="G20" s="83" t="str">
        <f>IF('Job Sheet'!BB20="Installation",'Job Sheet'!BA20,"")</f>
        <v/>
      </c>
      <c r="H20" s="82" t="str">
        <f>IF('Job Sheet'!BB20="Installation",'Job Sheet'!BH20,"")</f>
        <v/>
      </c>
      <c r="I20" s="82" t="str">
        <f>IF('Job Sheet'!BB20="Installation",'Job Sheet'!BI20,"")</f>
        <v/>
      </c>
      <c r="J20" s="56" t="str">
        <f>IF('Job Sheet'!BB20="Installation",CONCATENATE(Data!BO20," ",Data!BP20),"")</f>
        <v/>
      </c>
      <c r="K20" s="55" t="str">
        <f>IF('Job Sheet'!BB20="Installation",'Job Sheet'!I20,"")</f>
        <v/>
      </c>
      <c r="L20" s="55" t="str">
        <f>IF('Job Sheet'!BB20="Installation",'Job Sheet'!J20,"")</f>
        <v/>
      </c>
      <c r="M20" s="55" t="str">
        <f>IF('Job Sheet'!BB20="Installation",'Job Sheet'!H20,"")</f>
        <v/>
      </c>
      <c r="N20" s="55" t="str">
        <f>IF('Job Sheet'!BB20="Installation",'Job Sheet'!M20," ")</f>
        <v xml:space="preserve"> </v>
      </c>
      <c r="O20" s="55" t="str">
        <f>IF('Job Sheet'!BB20="Installation",'Job Sheet'!R20," ")</f>
        <v xml:space="preserve"> </v>
      </c>
      <c r="P20" s="55" t="str">
        <f>IF('Job Sheet'!BB20="Installation",'Job Sheet'!BC20," ")</f>
        <v xml:space="preserve"> </v>
      </c>
      <c r="Q20" s="55" t="str">
        <f>IF('Job Sheet'!BB20="Installation",'Job Sheet'!BD20," ")</f>
        <v xml:space="preserve"> </v>
      </c>
      <c r="R20" s="55"/>
      <c r="S20" s="55" t="str">
        <f>IF(Data!AV20="","",IF('Job Sheet'!AP20="Extreme - Consult Installer","Consult Installer",(10+IFERROR(VLOOKUP(N20,FLOCK,2,FALSE),0)+IFERROR(VLOOKUP(P20,FGRADING,2,FALSE),0)+IFERROR(VLOOKUP(Q20,FTAKEDOWN,2,FALSE),0)+IFERROR(VLOOKUP(M20,FSURFACE,2,FALSE),0)+IFERROR(VLOOKUP(F20,FDEDUCT,2,FALSE),0)+IFERROR(VLOOKUP(F20,FLEGF,2,FALSE),0)+IFERROR(VLOOKUP(G20,FDEDUCT2,2,FALSE),0)+IFERROR(VLOOKUP(L20,FCONTROL,2,FALSE),0))))</f>
        <v/>
      </c>
      <c r="T20" s="55" t="str">
        <f>'Job Sheet'!AS20</f>
        <v/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</sheetData>
  <mergeCells count="43">
    <mergeCell ref="G2:I2"/>
    <mergeCell ref="J2:O2"/>
    <mergeCell ref="A3:C3"/>
    <mergeCell ref="D3:F3"/>
    <mergeCell ref="G3:I3"/>
    <mergeCell ref="J3:O3"/>
    <mergeCell ref="B8:B10"/>
    <mergeCell ref="C8:C10"/>
    <mergeCell ref="A2:C2"/>
    <mergeCell ref="D2:F2"/>
    <mergeCell ref="F8:F10"/>
    <mergeCell ref="G8:G10"/>
    <mergeCell ref="M8:M10"/>
    <mergeCell ref="A4:C4"/>
    <mergeCell ref="D4:F4"/>
    <mergeCell ref="G4:I4"/>
    <mergeCell ref="J4:O4"/>
    <mergeCell ref="H8:H10"/>
    <mergeCell ref="I8:I10"/>
    <mergeCell ref="J8:J10"/>
    <mergeCell ref="D5:F5"/>
    <mergeCell ref="G5:I7"/>
    <mergeCell ref="J5:O5"/>
    <mergeCell ref="A6:F7"/>
    <mergeCell ref="J6:O6"/>
    <mergeCell ref="J7:O7"/>
    <mergeCell ref="A5:C5"/>
    <mergeCell ref="A1:T1"/>
    <mergeCell ref="P2:T2"/>
    <mergeCell ref="P3:T6"/>
    <mergeCell ref="P8:P10"/>
    <mergeCell ref="Q8:Q10"/>
    <mergeCell ref="R8:R10"/>
    <mergeCell ref="S8:S10"/>
    <mergeCell ref="T8:T10"/>
    <mergeCell ref="L8:L10"/>
    <mergeCell ref="N8:N10"/>
    <mergeCell ref="K8:K10"/>
    <mergeCell ref="O8:O10"/>
    <mergeCell ref="R7:S7"/>
    <mergeCell ref="A8:A10"/>
    <mergeCell ref="D8:D10"/>
    <mergeCell ref="E8:E10"/>
  </mergeCells>
  <pageMargins left="0.987401574803168" right="0.987401574803168" top="0.75" bottom="0.75" header="0.3" footer="0.3"/>
  <pageSetup fitToHeight="0" orientation="landscape" scale="1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509BF-D725-452E-9191-20A0E25670E2}">
  <sheetPr codeName="Sheet1">
    <pageSetUpPr fitToPage="1"/>
  </sheetPr>
  <dimension ref="A1:P20"/>
  <sheetViews>
    <sheetView view="pageBreakPreview" zoomScale="40" zoomScaleNormal="50" zoomScaleSheetLayoutView="40" workbookViewId="0" topLeftCell="A1">
      <selection pane="topLeft" activeCell="A11" sqref="A11:XFD20"/>
    </sheetView>
  </sheetViews>
  <sheetFormatPr defaultColWidth="9.109375" defaultRowHeight="13.5"/>
  <cols>
    <col min="1" max="1" width="12.4285714285714" style="57" customWidth="1"/>
    <col min="2" max="2" width="31.4285714285714" style="57" customWidth="1"/>
    <col min="3" max="3" width="25.8571428571429" style="57" customWidth="1"/>
    <col min="4" max="4" width="30.7142857142857" style="57" customWidth="1"/>
    <col min="5" max="5" width="23.5714285714286" style="57" customWidth="1"/>
    <col min="6" max="6" width="20.2857142857143" style="57" customWidth="1"/>
    <col min="7" max="7" width="25.7142857142857" style="57" customWidth="1"/>
    <col min="8" max="8" width="23" style="57" customWidth="1"/>
    <col min="9" max="10" width="26.7142857142857" style="57" customWidth="1"/>
    <col min="11" max="11" width="23" style="57" customWidth="1"/>
    <col min="12" max="12" width="25.1428571428571" style="57" customWidth="1"/>
    <col min="13" max="13" width="25" style="57" customWidth="1"/>
    <col min="14" max="14" width="24.8571428571429" style="57" customWidth="1"/>
    <col min="15" max="15" width="84.7142857142857" customWidth="1"/>
    <col min="16" max="16" width="23.7142857142857" customWidth="1"/>
  </cols>
  <sheetData>
    <row r="1" spans="1:16" ht="128.25" customHeight="1">
      <c r="A1" s="207" t="s">
        <v>642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</row>
    <row r="2" spans="1:16" s="58" customFormat="1" ht="49.95" customHeight="1">
      <c r="A2" s="253" t="s">
        <v>7</v>
      </c>
      <c r="B2" s="254"/>
      <c r="C2" s="245"/>
      <c r="D2" s="246"/>
      <c r="E2" s="184" t="s">
        <v>118</v>
      </c>
      <c r="F2" s="184"/>
      <c r="G2" s="184"/>
      <c r="H2" s="3" t="str">
        <f>IF(Data!AV11="","",Data!BF5)</f>
        <v>Leurs, Nigel</v>
      </c>
      <c r="I2" s="3"/>
      <c r="J2" s="3"/>
      <c r="K2" s="3"/>
      <c r="L2" s="3"/>
      <c r="M2" s="3"/>
      <c r="N2" s="4" t="s">
        <v>4</v>
      </c>
      <c r="O2" s="4"/>
      <c r="P2" s="4"/>
    </row>
    <row r="3" spans="1:16" s="58" customFormat="1" ht="49.95" customHeight="1">
      <c r="A3" s="251" t="s">
        <v>143</v>
      </c>
      <c r="B3" s="252"/>
      <c r="C3" s="243" t="str">
        <f>IF(Data!AV11="","",Data!BC5)</f>
        <v>12201</v>
      </c>
      <c r="D3" s="244"/>
      <c r="E3" s="187" t="s">
        <v>8</v>
      </c>
      <c r="F3" s="187"/>
      <c r="G3" s="187"/>
      <c r="H3" s="215" t="str">
        <f>IF(Data!AV11="","",Data!AX5)</f>
        <v>Barrier Doors </v>
      </c>
      <c r="I3" s="215"/>
      <c r="J3" s="215"/>
      <c r="K3" s="215"/>
      <c r="L3" s="215"/>
      <c r="M3" s="215"/>
      <c r="N3" s="208" t="str">
        <f>TRIM(Data!BG5)</f>
        <v/>
      </c>
      <c r="O3" s="209"/>
      <c r="P3" s="210"/>
    </row>
    <row r="4" spans="1:16" s="58" customFormat="1" ht="49.95" customHeight="1">
      <c r="A4" s="249" t="s">
        <v>15</v>
      </c>
      <c r="B4" s="250"/>
      <c r="C4" s="243" t="str">
        <f>IF(Data!AV11="","",Data!BD5)</f>
        <v>A</v>
      </c>
      <c r="D4" s="244"/>
      <c r="E4" s="187" t="s">
        <v>137</v>
      </c>
      <c r="F4" s="187"/>
      <c r="G4" s="187"/>
      <c r="H4" s="215" t="str">
        <f>IF(Data!AV11="","",Data!BA5)</f>
        <v>22/09/2026 12:00:00 AM</v>
      </c>
      <c r="I4" s="215"/>
      <c r="J4" s="215"/>
      <c r="K4" s="215"/>
      <c r="L4" s="215"/>
      <c r="M4" s="215"/>
      <c r="N4" s="211"/>
      <c r="O4" s="212"/>
      <c r="P4" s="213"/>
    </row>
    <row r="5" spans="1:16" s="58" customFormat="1" ht="49.95" customHeight="1">
      <c r="A5" s="247" t="s">
        <v>9</v>
      </c>
      <c r="B5" s="248"/>
      <c r="C5" s="236" t="str">
        <f>IF(Data!AV11="","",Data!AY5)</f>
        <v>26/08/2026 12:00:00 AM</v>
      </c>
      <c r="D5" s="237"/>
      <c r="E5" s="225" t="s">
        <v>12</v>
      </c>
      <c r="F5" s="226"/>
      <c r="G5" s="227"/>
      <c r="H5" s="215" t="str">
        <f>TRIM(Data!BF5)</f>
        <v>Leurs, Nigel</v>
      </c>
      <c r="I5" s="3"/>
      <c r="J5" s="3"/>
      <c r="K5" s="3"/>
      <c r="L5" s="3"/>
      <c r="M5" s="3"/>
      <c r="N5" s="211"/>
      <c r="O5" s="212"/>
      <c r="P5" s="213"/>
    </row>
    <row r="6" spans="1:16" s="58" customFormat="1" ht="49.95" customHeight="1">
      <c r="A6" s="188" t="str">
        <f>IF(Data!AV11="","",'Job Sheet'!A6)</f>
        <v>Retail Customer</v>
      </c>
      <c r="B6" s="188"/>
      <c r="C6" s="188"/>
      <c r="D6" s="188"/>
      <c r="E6" s="228"/>
      <c r="F6" s="229"/>
      <c r="G6" s="230"/>
      <c r="H6" s="3" t="str">
        <f>CONCATENATE(Data!BH5," ",Data!BI5," ",Data!BJ5," ",Data!BK5," ",Data!BL5)</f>
        <v xml:space="preserve"> 30  Timbertop Drive </v>
      </c>
      <c r="I6" s="3"/>
      <c r="J6" s="3"/>
      <c r="K6" s="3"/>
      <c r="L6" s="3"/>
      <c r="M6" s="3"/>
      <c r="N6" s="211"/>
      <c r="O6" s="212"/>
      <c r="P6" s="213"/>
    </row>
    <row r="7" spans="1:16" s="58" customFormat="1" ht="49.95" customHeight="1">
      <c r="A7" s="188"/>
      <c r="B7" s="188"/>
      <c r="C7" s="220"/>
      <c r="D7" s="220"/>
      <c r="E7" s="231"/>
      <c r="F7" s="232"/>
      <c r="G7" s="233"/>
      <c r="H7" s="235" t="str">
        <f>CONCATENATE(Data!BM5," ",Data!BN5," ",Data!BO5," ",Data!BP5)</f>
        <v>Mount Helen VIC 3350 Australia</v>
      </c>
      <c r="I7" s="235"/>
      <c r="J7" s="235"/>
      <c r="K7" s="235"/>
      <c r="L7" s="235"/>
      <c r="M7" s="235"/>
      <c r="N7" s="211"/>
      <c r="O7" s="212"/>
      <c r="P7" s="213"/>
    </row>
    <row r="8" spans="1:16" ht="36" customHeight="1">
      <c r="A8" s="216" t="s">
        <v>142</v>
      </c>
      <c r="B8" s="217" t="s">
        <v>120</v>
      </c>
      <c r="C8" s="221" t="s">
        <v>282</v>
      </c>
      <c r="D8" s="222"/>
      <c r="E8" s="222"/>
      <c r="F8" s="222"/>
      <c r="G8" s="222"/>
      <c r="H8" s="223"/>
      <c r="I8" s="239" t="s">
        <v>300</v>
      </c>
      <c r="J8" s="240"/>
      <c r="K8" s="241"/>
      <c r="L8" s="241"/>
      <c r="M8" s="241"/>
      <c r="N8" s="242"/>
      <c r="O8" s="194" t="s">
        <v>5</v>
      </c>
      <c r="P8" s="4" t="s">
        <v>487</v>
      </c>
    </row>
    <row r="9" spans="1:16" ht="18.75" customHeight="1">
      <c r="A9" s="216"/>
      <c r="B9" s="217"/>
      <c r="C9" s="224" t="s">
        <v>225</v>
      </c>
      <c r="D9" s="4" t="s">
        <v>271</v>
      </c>
      <c r="E9" s="4" t="s">
        <v>495</v>
      </c>
      <c r="F9" s="219" t="s">
        <v>272</v>
      </c>
      <c r="G9" s="219" t="s">
        <v>274</v>
      </c>
      <c r="H9" s="218" t="s">
        <v>496</v>
      </c>
      <c r="I9" s="234" t="s">
        <v>492</v>
      </c>
      <c r="J9" s="214" t="s">
        <v>666</v>
      </c>
      <c r="K9" s="214" t="s">
        <v>493</v>
      </c>
      <c r="L9" s="214" t="s">
        <v>494</v>
      </c>
      <c r="M9" s="214" t="s">
        <v>497</v>
      </c>
      <c r="N9" s="238" t="s">
        <v>498</v>
      </c>
      <c r="O9" s="194"/>
      <c r="P9" s="4"/>
    </row>
    <row r="10" spans="1:16" ht="113.4" customHeight="1">
      <c r="A10" s="216"/>
      <c r="B10" s="217"/>
      <c r="C10" s="224"/>
      <c r="D10" s="4"/>
      <c r="E10" s="4"/>
      <c r="F10" s="219"/>
      <c r="G10" s="219"/>
      <c r="H10" s="218"/>
      <c r="I10" s="234"/>
      <c r="J10" s="214"/>
      <c r="K10" s="214"/>
      <c r="L10" s="214"/>
      <c r="M10" s="214"/>
      <c r="N10" s="238"/>
      <c r="O10" s="194"/>
      <c r="P10" s="4"/>
    </row>
    <row r="11" spans="1:16" ht="70.5">
      <c r="A11" s="87">
        <f>IF(Data!AV11="","",Data!AW11)</f>
        <v>1</v>
      </c>
      <c r="B11" s="89" t="str">
        <f>IF(Data!AV11="","",'Job Sheet'!C11)</f>
        <v>Rumpus</v>
      </c>
      <c r="C11" s="90" t="str">
        <f>IF(Data!AV11="","",VLOOKUP(CONCATENATE(Data!BO11,'Job Sheet'!AE11),DoorType,2,FALSE))</f>
        <v>Standard</v>
      </c>
      <c r="D11" s="91" t="str">
        <f>IF(Data!AV11="","",IF(Data!BP11="Powdercoat",'Job Sheet'!AA11,Data!BP11))</f>
        <v>Paperbark</v>
      </c>
      <c r="E11" s="92" t="str">
        <f>IF(Data!AV11="","",CONCATENATE('Job Sheet'!BH11," x 2 ",'Job Sheet'!BI11," x 2"))</f>
        <v>936 x 2 2036 x 2</v>
      </c>
      <c r="F11" s="93" t="str">
        <f>IF(Data!AV11="","",IF(VLOOKUP(CONCATENATE(Data!BO11,'Job Sheet'!AE11),DoorType,3,FALSE)="N/A","",VLOOKUP(CONCATENATE(Data!BO11,'Job Sheet'!AE11),DoorType,3,FALSE)))</f>
        <v>1.6mm</v>
      </c>
      <c r="G11" s="94" t="str">
        <f>IF(OR(F11="",Data!AW11=""),"",IF('Straight Cutting'!Q11&lt;&gt;"",CONCATENATE('Job Sheet'!BM11," x 4 ",'Job Sheet'!BN11-Guillotine!I12," x 2 ",Guillotine!I12," x 2"),CONCATENATE('Job Sheet'!BM11," x 2 ",'Job Sheet'!BN11," x 2")))</f>
        <v>822 x 2 1922 x 2</v>
      </c>
      <c r="H11" s="95" t="str">
        <f>IF(Data!AW11="","",IF(VLOOKUP(CONCATENATE(Data!BO11,'Job Sheet'!AE11),DoorType,4,FALSE)="Yes",CONCATENATE('Job Sheet'!BH11-98," x 2 ",'Job Sheet'!BI11-96," x 2"),""))</f>
        <v>838 x 2 1940 x 2</v>
      </c>
      <c r="I11" s="96" t="str">
        <f>'Job Sheet'!AM11</f>
        <v/>
      </c>
      <c r="J11" s="171" t="str">
        <f>IF('Job Sheet'!AN11="Same as Door",D11,'Job Sheet'!AN11)</f>
        <v/>
      </c>
      <c r="K11" s="97" t="str">
        <f>IF('Job Sheet'!AO11="Yes, Included in Other Door","Included in Other Door",IF(AND('Job Sheet'!AO11="Yes",(OR(I11="Long Leg Left, Right and Top",I11="Short Leg Left, Right and Top"))),CONCATENATE("2 x ",'Job Sheet'!E11+30," 1 x ",'Job Sheet'!AP11+60),IF(OR(I11="Long Leg Left, Right and Top",I11="Short Leg Left, Right and Top"),CONCATENATE("2 x ",'Job Sheet'!E11+30," 1 x ",'Job Sheet'!D11+60),IF(OR(I11="Long Leg 1 Side",I11="Short Leg 1 Side"),'Job Sheet'!E11+30,""))))</f>
        <v/>
      </c>
      <c r="L11" s="97" t="str">
        <f>IF('Job Sheet'!AV11="Yes","9mm Black Flyscreen","")</f>
        <v/>
      </c>
      <c r="M11" s="97" t="str">
        <f>IF(Data!AV11="","",IF('Job Sheet'!AV11="Yes",VLOOKUP(CONCATENATE('Job Sheet'!AW11,'Job Sheet'!AY11),DogDoor,2,FALSE),""))</f>
        <v/>
      </c>
      <c r="N11" s="98" t="str">
        <f>IF(Data!AV11="","",IF('Job Sheet'!AV11="Yes",VLOOKUP(CONCATENATE('Job Sheet'!AW11,'Job Sheet'!AY11),DogDoor,3,FALSE),""))</f>
        <v/>
      </c>
      <c r="O11" s="99" t="str">
        <f>'Job Sheet'!BF11</f>
        <v/>
      </c>
      <c r="P11" s="181">
        <f>A11</f>
        <v>1</v>
      </c>
    </row>
    <row r="12" spans="1:16" ht="70.5">
      <c r="A12" s="87">
        <f>IF(Data!AV12="","",Data!AW12)</f>
        <v>2</v>
      </c>
      <c r="B12" s="89" t="str">
        <f>IF(Data!AV12="","",'Job Sheet'!C12)</f>
        <v>Laundry</v>
      </c>
      <c r="C12" s="90" t="str">
        <f>IF(Data!AV12="","",VLOOKUP(CONCATENATE(Data!BO12,'Job Sheet'!AE12),DoorType,2,FALSE))</f>
        <v>Standard</v>
      </c>
      <c r="D12" s="91" t="str">
        <f>IF(Data!AV12="","",IF(Data!BP12="Powdercoat",'Job Sheet'!AA12,Data!BP12))</f>
        <v>Paperbark</v>
      </c>
      <c r="E12" s="92" t="str">
        <f>IF(Data!AV12="","",CONCATENATE('Job Sheet'!BH12," x 2 ",'Job Sheet'!BI12," x 2"))</f>
        <v>814 x 2 2039 x 2</v>
      </c>
      <c r="F12" s="93" t="str">
        <f>IF(Data!AV12="","",IF(VLOOKUP(CONCATENATE(Data!BO12,'Job Sheet'!AE12),DoorType,3,FALSE)="N/A","",VLOOKUP(CONCATENATE(Data!BO12,'Job Sheet'!AE12),DoorType,3,FALSE)))</f>
        <v>1.6mm</v>
      </c>
      <c r="G12" s="94" t="str">
        <f>IF(OR(F12="",Data!AW12=""),"",IF('Straight Cutting'!Q12&lt;&gt;"",CONCATENATE('Job Sheet'!BM12," x 4 ",'Job Sheet'!BN12-Guillotine!I13," x 2 ",Guillotine!I13," x 2"),CONCATENATE('Job Sheet'!BM12," x 2 ",'Job Sheet'!BN12," x 2")))</f>
        <v>700 x 2 1925 x 2</v>
      </c>
      <c r="H12" s="95" t="str">
        <f>IF(Data!AW12="","",IF(VLOOKUP(CONCATENATE(Data!BO12,'Job Sheet'!AE12),DoorType,4,FALSE)="Yes",CONCATENATE('Job Sheet'!BH12-98," x 2 ",'Job Sheet'!BI12-96," x 2"),""))</f>
        <v>716 x 2 1943 x 2</v>
      </c>
      <c r="I12" s="96" t="str">
        <f>'Job Sheet'!AM12</f>
        <v/>
      </c>
      <c r="J12" s="171" t="str">
        <f>IF('Job Sheet'!AN12="Same as Door",D12,'Job Sheet'!AN12)</f>
        <v/>
      </c>
      <c r="K12" s="97" t="str">
        <f>IF('Job Sheet'!AO12="Yes, Included in Other Door","Included in Other Door",IF(AND('Job Sheet'!AO12="Yes",(OR(I12="Long Leg Left, Right and Top",I12="Short Leg Left, Right and Top"))),CONCATENATE("2 x ",'Job Sheet'!E12+30," 1 x ",'Job Sheet'!AP12+60),IF(OR(I12="Long Leg Left, Right and Top",I12="Short Leg Left, Right and Top"),CONCATENATE("2 x ",'Job Sheet'!E12+30," 1 x ",'Job Sheet'!D12+60),IF(OR(I12="Long Leg 1 Side",I12="Short Leg 1 Side"),'Job Sheet'!E12+30,""))))</f>
        <v/>
      </c>
      <c r="L12" s="97" t="str">
        <f>IF('Job Sheet'!AV12="Yes","9mm Black Flyscreen","")</f>
        <v/>
      </c>
      <c r="M12" s="97" t="str">
        <f>IF(Data!AV12="","",IF('Job Sheet'!AV12="Yes",VLOOKUP(CONCATENATE('Job Sheet'!AW12,'Job Sheet'!AY12),DogDoor,2,FALSE),""))</f>
        <v/>
      </c>
      <c r="N12" s="98" t="str">
        <f>IF(Data!AV12="","",IF('Job Sheet'!AV12="Yes",VLOOKUP(CONCATENATE('Job Sheet'!AW12,'Job Sheet'!AY12),DogDoor,3,FALSE),""))</f>
        <v/>
      </c>
      <c r="O12" s="99" t="str">
        <f>'Job Sheet'!BF12</f>
        <v/>
      </c>
      <c r="P12" s="181">
        <f t="shared" si="0" ref="P12:P20">A12</f>
        <v>2</v>
      </c>
    </row>
    <row r="13" spans="1:16" ht="70.5">
      <c r="A13" s="87">
        <f>IF(Data!AV13="","",Data!AW13)</f>
        <v>3</v>
      </c>
      <c r="B13" s="89" t="str">
        <f>IF(Data!AV13="","",'Job Sheet'!C13)</f>
        <v>Kitchen</v>
      </c>
      <c r="C13" s="90" t="str">
        <f>IF(Data!AV13="","",VLOOKUP(CONCATENATE(Data!BO13,'Job Sheet'!AE13),DoorType,2,FALSE))</f>
        <v>Standard</v>
      </c>
      <c r="D13" s="91" t="str">
        <f>IF(Data!AV13="","",IF(Data!BP13="Powdercoat",'Job Sheet'!AA13,Data!BP13))</f>
        <v>Paperbark</v>
      </c>
      <c r="E13" s="92" t="str">
        <f>IF(Data!AV13="","",CONCATENATE('Job Sheet'!BH13," x 2 ",'Job Sheet'!BI13," x 2"))</f>
        <v>904 x 2 2068 x 2</v>
      </c>
      <c r="F13" s="93" t="str">
        <f>IF(Data!AV13="","",IF(VLOOKUP(CONCATENATE(Data!BO13,'Job Sheet'!AE13),DoorType,3,FALSE)="N/A","",VLOOKUP(CONCATENATE(Data!BO13,'Job Sheet'!AE13),DoorType,3,FALSE)))</f>
        <v>1.6mm</v>
      </c>
      <c r="G13" s="94" t="str">
        <f>IF(OR(F13="",Data!AW13=""),"",IF('Straight Cutting'!Q13&lt;&gt;"",CONCATENATE('Job Sheet'!BM13," x 4 ",'Job Sheet'!BN13-Guillotine!I14," x 2 ",Guillotine!I14," x 2"),CONCATENATE('Job Sheet'!BM13," x 2 ",'Job Sheet'!BN13," x 2")))</f>
        <v>790 x 2 1954 x 2</v>
      </c>
      <c r="H13" s="95" t="str">
        <f>IF(Data!AW13="","",IF(VLOOKUP(CONCATENATE(Data!BO13,'Job Sheet'!AE13),DoorType,4,FALSE)="Yes",CONCATENATE('Job Sheet'!BH13-98," x 2 ",'Job Sheet'!BI13-96," x 2"),""))</f>
        <v>806 x 2 1972 x 2</v>
      </c>
      <c r="I13" s="96" t="str">
        <f>'Job Sheet'!AM13</f>
        <v/>
      </c>
      <c r="J13" s="171" t="str">
        <f>IF('Job Sheet'!AN13="Same as Door",D13,'Job Sheet'!AN13)</f>
        <v/>
      </c>
      <c r="K13" s="97" t="str">
        <f>IF('Job Sheet'!AO13="Yes, Included in Other Door","Included in Other Door",IF(AND('Job Sheet'!AO13="Yes",(OR(I13="Long Leg Left, Right and Top",I13="Short Leg Left, Right and Top"))),CONCATENATE("2 x ",'Job Sheet'!E13+30," 1 x ",'Job Sheet'!AP13+60),IF(OR(I13="Long Leg Left, Right and Top",I13="Short Leg Left, Right and Top"),CONCATENATE("2 x ",'Job Sheet'!E13+30," 1 x ",'Job Sheet'!D13+60),IF(OR(I13="Long Leg 1 Side",I13="Short Leg 1 Side"),'Job Sheet'!E13+30,""))))</f>
        <v/>
      </c>
      <c r="L13" s="97" t="str">
        <f>IF('Job Sheet'!AV13="Yes","9mm Black Flyscreen","")</f>
        <v/>
      </c>
      <c r="M13" s="97" t="str">
        <f>IF(Data!AV13="","",IF('Job Sheet'!AV13="Yes",VLOOKUP(CONCATENATE('Job Sheet'!AW13,'Job Sheet'!AY13),DogDoor,2,FALSE),""))</f>
        <v/>
      </c>
      <c r="N13" s="98" t="str">
        <f>IF(Data!AV13="","",IF('Job Sheet'!AV13="Yes",VLOOKUP(CONCATENATE('Job Sheet'!AW13,'Job Sheet'!AY13),DogDoor,3,FALSE),""))</f>
        <v/>
      </c>
      <c r="O13" s="99" t="str">
        <f>'Job Sheet'!BF13</f>
        <v/>
      </c>
      <c r="P13" s="181">
        <f t="shared" si="0"/>
        <v>3</v>
      </c>
    </row>
    <row r="14" spans="1:16" ht="60" customHeight="1">
      <c r="A14" s="87" t="str">
        <f>IF(Data!AV14="","",Data!AW14)</f>
        <v/>
      </c>
      <c r="B14" s="89" t="str">
        <f>IF(Data!AV14="","",'Job Sheet'!C14)</f>
        <v/>
      </c>
      <c r="C14" s="90" t="str">
        <f>IF(Data!AV14="","",VLOOKUP(CONCATENATE(Data!BO14,'Job Sheet'!AE14),DoorType,2,FALSE))</f>
        <v/>
      </c>
      <c r="D14" s="91" t="str">
        <f>IF(Data!AV14="","",IF(Data!BP14="Powdercoat",'Job Sheet'!AA14,Data!BP14))</f>
        <v/>
      </c>
      <c r="E14" s="92" t="str">
        <f>IF(Data!AV14="","",CONCATENATE('Job Sheet'!BH14," x 2 ",'Job Sheet'!BI14," x 2"))</f>
        <v/>
      </c>
      <c r="F14" s="93" t="str">
        <f>IF(Data!AV14="","",IF(VLOOKUP(CONCATENATE(Data!BO14,'Job Sheet'!AE14),DoorType,3,FALSE)="N/A","",VLOOKUP(CONCATENATE(Data!BO14,'Job Sheet'!AE14),DoorType,3,FALSE)))</f>
        <v/>
      </c>
      <c r="G14" s="94" t="str">
        <f>IF(OR(F14="",Data!AW14=""),"",IF('Straight Cutting'!Q14&lt;&gt;"",CONCATENATE('Job Sheet'!BM14," x 4 ",'Job Sheet'!BN14-Guillotine!I15," x 2 ",Guillotine!I15," x 2"),CONCATENATE('Job Sheet'!BM14," x 2 ",'Job Sheet'!BN14," x 2")))</f>
        <v/>
      </c>
      <c r="H14" s="95" t="str">
        <f>IF(Data!AW14="","",IF(VLOOKUP(CONCATENATE(Data!BO14,'Job Sheet'!AE14),DoorType,4,FALSE)="Yes",CONCATENATE('Job Sheet'!BH14-98," x 2 ",'Job Sheet'!BI14-96," x 2"),""))</f>
        <v/>
      </c>
      <c r="I14" s="96" t="str">
        <f>'Job Sheet'!AM14</f>
        <v/>
      </c>
      <c r="J14" s="171" t="str">
        <f>IF('Job Sheet'!AN14="Same as Door",D14,'Job Sheet'!AN14)</f>
        <v/>
      </c>
      <c r="K14" s="97" t="str">
        <f>IF('Job Sheet'!AO14="Yes, Included in Other Door","Included in Other Door",IF(AND('Job Sheet'!AO14="Yes",(OR(I14="Long Leg Left, Right and Top",I14="Short Leg Left, Right and Top"))),CONCATENATE("2 x ",'Job Sheet'!E14+30," 1 x ",'Job Sheet'!AP14+60),IF(OR(I14="Long Leg Left, Right and Top",I14="Short Leg Left, Right and Top"),CONCATENATE("2 x ",'Job Sheet'!E14+30," 1 x ",'Job Sheet'!D14+60),IF(OR(I14="Long Leg 1 Side",I14="Short Leg 1 Side"),'Job Sheet'!E14+30,""))))</f>
        <v/>
      </c>
      <c r="L14" s="97" t="str">
        <f>IF('Job Sheet'!AV14="Yes","9mm Black Flyscreen","")</f>
        <v/>
      </c>
      <c r="M14" s="97" t="str">
        <f>IF(Data!AV14="","",IF('Job Sheet'!AV14="Yes",VLOOKUP(CONCATENATE('Job Sheet'!AW14,'Job Sheet'!AY14),DogDoor,2,FALSE),""))</f>
        <v/>
      </c>
      <c r="N14" s="98" t="str">
        <f>IF(Data!AV14="","",IF('Job Sheet'!AV14="Yes",VLOOKUP(CONCATENATE('Job Sheet'!AW14,'Job Sheet'!AY14),DogDoor,3,FALSE),""))</f>
        <v/>
      </c>
      <c r="O14" s="99" t="str">
        <f>'Job Sheet'!BF14</f>
        <v/>
      </c>
      <c r="P14" s="181" t="str">
        <f t="shared" si="0"/>
        <v/>
      </c>
    </row>
    <row r="15" spans="1:16" ht="60" customHeight="1">
      <c r="A15" s="87" t="str">
        <f>IF(Data!AV15="","",Data!AW15)</f>
        <v/>
      </c>
      <c r="B15" s="89" t="str">
        <f>IF(Data!AV15="","",'Job Sheet'!C15)</f>
        <v/>
      </c>
      <c r="C15" s="90" t="str">
        <f>IF(Data!AV15="","",VLOOKUP(CONCATENATE(Data!BO15,'Job Sheet'!AE15),DoorType,2,FALSE))</f>
        <v/>
      </c>
      <c r="D15" s="91" t="str">
        <f>IF(Data!AV15="","",IF(Data!BP15="Powdercoat",'Job Sheet'!AA15,Data!BP15))</f>
        <v/>
      </c>
      <c r="E15" s="92" t="str">
        <f>IF(Data!AV15="","",CONCATENATE('Job Sheet'!BH15," x 2 ",'Job Sheet'!BI15," x 2"))</f>
        <v/>
      </c>
      <c r="F15" s="93" t="str">
        <f>IF(Data!AV15="","",IF(VLOOKUP(CONCATENATE(Data!BO15,'Job Sheet'!AE15),DoorType,3,FALSE)="N/A","",VLOOKUP(CONCATENATE(Data!BO15,'Job Sheet'!AE15),DoorType,3,FALSE)))</f>
        <v/>
      </c>
      <c r="G15" s="94" t="str">
        <f>IF(OR(F15="",Data!AW15=""),"",IF('Straight Cutting'!Q15&lt;&gt;"",CONCATENATE('Job Sheet'!BM15," x 4 ",'Job Sheet'!BN15-Guillotine!I16," x 2 ",Guillotine!I16," x 2"),CONCATENATE('Job Sheet'!BM15," x 2 ",'Job Sheet'!BN15," x 2")))</f>
        <v/>
      </c>
      <c r="H15" s="95" t="str">
        <f>IF(Data!AW15="","",IF(VLOOKUP(CONCATENATE(Data!BO15,'Job Sheet'!AE15),DoorType,4,FALSE)="Yes",CONCATENATE('Job Sheet'!BH15-98," x 2 ",'Job Sheet'!BI15-96," x 2"),""))</f>
        <v/>
      </c>
      <c r="I15" s="96" t="str">
        <f>'Job Sheet'!AM15</f>
        <v/>
      </c>
      <c r="J15" s="171" t="str">
        <f>IF('Job Sheet'!AN15="Same as Door",D15,'Job Sheet'!AN15)</f>
        <v/>
      </c>
      <c r="K15" s="97" t="str">
        <f>IF('Job Sheet'!AO15="Yes, Included in Other Door","Included in Other Door",IF(AND('Job Sheet'!AO15="Yes",(OR(I15="Long Leg Left, Right and Top",I15="Short Leg Left, Right and Top"))),CONCATENATE("2 x ",'Job Sheet'!E15+30," 1 x ",'Job Sheet'!AP15+60),IF(OR(I15="Long Leg Left, Right and Top",I15="Short Leg Left, Right and Top"),CONCATENATE("2 x ",'Job Sheet'!E15+30," 1 x ",'Job Sheet'!D15+60),IF(OR(I15="Long Leg 1 Side",I15="Short Leg 1 Side"),'Job Sheet'!E15+30,""))))</f>
        <v/>
      </c>
      <c r="L15" s="97" t="str">
        <f>IF('Job Sheet'!AV15="Yes","9mm Black Flyscreen","")</f>
        <v/>
      </c>
      <c r="M15" s="97" t="str">
        <f>IF(Data!AV15="","",IF('Job Sheet'!AV15="Yes",VLOOKUP(CONCATENATE('Job Sheet'!AW15,'Job Sheet'!AY15),DogDoor,2,FALSE),""))</f>
        <v/>
      </c>
      <c r="N15" s="98" t="str">
        <f>IF(Data!AV15="","",IF('Job Sheet'!AV15="Yes",VLOOKUP(CONCATENATE('Job Sheet'!AW15,'Job Sheet'!AY15),DogDoor,3,FALSE),""))</f>
        <v/>
      </c>
      <c r="O15" s="99" t="str">
        <f>'Job Sheet'!BF15</f>
        <v/>
      </c>
      <c r="P15" s="181" t="str">
        <f t="shared" si="0"/>
        <v/>
      </c>
    </row>
    <row r="16" spans="1:16" ht="60" customHeight="1">
      <c r="A16" s="87" t="str">
        <f>IF(Data!AV16="","",Data!AW16)</f>
        <v/>
      </c>
      <c r="B16" s="89" t="str">
        <f>IF(Data!AV16="","",'Job Sheet'!C16)</f>
        <v/>
      </c>
      <c r="C16" s="90" t="str">
        <f>IF(Data!AV16="","",VLOOKUP(CONCATENATE(Data!BO16,'Job Sheet'!AE16),DoorType,2,FALSE))</f>
        <v/>
      </c>
      <c r="D16" s="91" t="str">
        <f>IF(Data!AV16="","",IF(Data!BP16="Powdercoat",'Job Sheet'!AA16,Data!BP16))</f>
        <v/>
      </c>
      <c r="E16" s="92" t="str">
        <f>IF(Data!AV16="","",CONCATENATE('Job Sheet'!BH16," x 2 ",'Job Sheet'!BI16," x 2"))</f>
        <v/>
      </c>
      <c r="F16" s="93" t="str">
        <f>IF(Data!AV16="","",IF(VLOOKUP(CONCATENATE(Data!BO16,'Job Sheet'!AE16),DoorType,3,FALSE)="N/A","",VLOOKUP(CONCATENATE(Data!BO16,'Job Sheet'!AE16),DoorType,3,FALSE)))</f>
        <v/>
      </c>
      <c r="G16" s="94" t="str">
        <f>IF(OR(F16="",Data!AW16=""),"",IF('Straight Cutting'!Q16&lt;&gt;"",CONCATENATE('Job Sheet'!BM16," x 4 ",'Job Sheet'!BN16-Guillotine!I17," x 2 ",Guillotine!I17," x 2"),CONCATENATE('Job Sheet'!BM16," x 2 ",'Job Sheet'!BN16," x 2")))</f>
        <v/>
      </c>
      <c r="H16" s="95" t="str">
        <f>IF(Data!AW16="","",IF(VLOOKUP(CONCATENATE(Data!BO16,'Job Sheet'!AE16),DoorType,4,FALSE)="Yes",CONCATENATE('Job Sheet'!BH16-98," x 2 ",'Job Sheet'!BI16-96," x 2"),""))</f>
        <v/>
      </c>
      <c r="I16" s="96" t="str">
        <f>'Job Sheet'!AM16</f>
        <v/>
      </c>
      <c r="J16" s="171" t="str">
        <f>IF('Job Sheet'!AN16="Same as Door",D16,'Job Sheet'!AN16)</f>
        <v/>
      </c>
      <c r="K16" s="97" t="str">
        <f>IF('Job Sheet'!AO16="Yes, Included in Other Door","Included in Other Door",IF(AND('Job Sheet'!AO16="Yes",(OR(I16="Long Leg Left, Right and Top",I16="Short Leg Left, Right and Top"))),CONCATENATE("2 x ",'Job Sheet'!E16+30," 1 x ",'Job Sheet'!AP16+60),IF(OR(I16="Long Leg Left, Right and Top",I16="Short Leg Left, Right and Top"),CONCATENATE("2 x ",'Job Sheet'!E16+30," 1 x ",'Job Sheet'!D16+60),IF(OR(I16="Long Leg 1 Side",I16="Short Leg 1 Side"),'Job Sheet'!E16+30,""))))</f>
        <v/>
      </c>
      <c r="L16" s="97" t="str">
        <f>IF('Job Sheet'!AV16="Yes","9mm Black Flyscreen","")</f>
        <v/>
      </c>
      <c r="M16" s="97" t="str">
        <f>IF(Data!AV16="","",IF('Job Sheet'!AV16="Yes",VLOOKUP(CONCATENATE('Job Sheet'!AW16,'Job Sheet'!AY16),DogDoor,2,FALSE),""))</f>
        <v/>
      </c>
      <c r="N16" s="98" t="str">
        <f>IF(Data!AV16="","",IF('Job Sheet'!AV16="Yes",VLOOKUP(CONCATENATE('Job Sheet'!AW16,'Job Sheet'!AY16),DogDoor,3,FALSE),""))</f>
        <v/>
      </c>
      <c r="O16" s="99" t="str">
        <f>'Job Sheet'!BF16</f>
        <v/>
      </c>
      <c r="P16" s="181" t="str">
        <f t="shared" si="0"/>
        <v/>
      </c>
    </row>
    <row r="17" spans="1:16" ht="60" customHeight="1">
      <c r="A17" s="87" t="str">
        <f>IF(Data!AV17="","",Data!AW17)</f>
        <v/>
      </c>
      <c r="B17" s="89" t="str">
        <f>IF(Data!AV17="","",'Job Sheet'!C17)</f>
        <v/>
      </c>
      <c r="C17" s="90" t="str">
        <f>IF(Data!AV17="","",VLOOKUP(CONCATENATE(Data!BO17,'Job Sheet'!AE17),DoorType,2,FALSE))</f>
        <v/>
      </c>
      <c r="D17" s="91" t="str">
        <f>IF(Data!AV17="","",IF(Data!BP17="Powdercoat",'Job Sheet'!AA17,Data!BP17))</f>
        <v/>
      </c>
      <c r="E17" s="92" t="str">
        <f>IF(Data!AV17="","",CONCATENATE('Job Sheet'!BH17," x 2 ",'Job Sheet'!BI17," x 2"))</f>
        <v/>
      </c>
      <c r="F17" s="93" t="str">
        <f>IF(Data!AV17="","",IF(VLOOKUP(CONCATENATE(Data!BO17,'Job Sheet'!AE17),DoorType,3,FALSE)="N/A","",VLOOKUP(CONCATENATE(Data!BO17,'Job Sheet'!AE17),DoorType,3,FALSE)))</f>
        <v/>
      </c>
      <c r="G17" s="94" t="str">
        <f>IF(OR(F17="",Data!AW17=""),"",IF('Straight Cutting'!Q17&lt;&gt;"",CONCATENATE('Job Sheet'!BM17," x 4 ",'Job Sheet'!BN17-Guillotine!I18," x 2 ",Guillotine!I18," x 2"),CONCATENATE('Job Sheet'!BM17," x 2 ",'Job Sheet'!BN17," x 2")))</f>
        <v/>
      </c>
      <c r="H17" s="95" t="str">
        <f>IF(Data!AW17="","",IF(VLOOKUP(CONCATENATE(Data!BO17,'Job Sheet'!AE17),DoorType,4,FALSE)="Yes",CONCATENATE('Job Sheet'!BH17-98," x 2 ",'Job Sheet'!BI17-96," x 2"),""))</f>
        <v/>
      </c>
      <c r="I17" s="96" t="str">
        <f>'Job Sheet'!AM17</f>
        <v/>
      </c>
      <c r="J17" s="171" t="str">
        <f>IF('Job Sheet'!AN17="Same as Door",D17,'Job Sheet'!AN17)</f>
        <v/>
      </c>
      <c r="K17" s="97" t="str">
        <f>IF('Job Sheet'!AO17="Yes, Included in Other Door","Included in Other Door",IF(AND('Job Sheet'!AO17="Yes",(OR(I17="Long Leg Left, Right and Top",I17="Short Leg Left, Right and Top"))),CONCATENATE("2 x ",'Job Sheet'!E17+30," 1 x ",'Job Sheet'!AP17+60),IF(OR(I17="Long Leg Left, Right and Top",I17="Short Leg Left, Right and Top"),CONCATENATE("2 x ",'Job Sheet'!E17+30," 1 x ",'Job Sheet'!D17+60),IF(OR(I17="Long Leg 1 Side",I17="Short Leg 1 Side"),'Job Sheet'!E17+30,""))))</f>
        <v/>
      </c>
      <c r="L17" s="97" t="str">
        <f>IF('Job Sheet'!AV17="Yes","9mm Black Flyscreen","")</f>
        <v/>
      </c>
      <c r="M17" s="97" t="str">
        <f>IF(Data!AV17="","",IF('Job Sheet'!AV17="Yes",VLOOKUP(CONCATENATE('Job Sheet'!AW17,'Job Sheet'!AY17),DogDoor,2,FALSE),""))</f>
        <v/>
      </c>
      <c r="N17" s="98" t="str">
        <f>IF(Data!AV17="","",IF('Job Sheet'!AV17="Yes",VLOOKUP(CONCATENATE('Job Sheet'!AW17,'Job Sheet'!AY17),DogDoor,3,FALSE),""))</f>
        <v/>
      </c>
      <c r="O17" s="99" t="str">
        <f>'Job Sheet'!BF17</f>
        <v/>
      </c>
      <c r="P17" s="181" t="str">
        <f t="shared" si="0"/>
        <v/>
      </c>
    </row>
    <row r="18" spans="1:16" ht="60" customHeight="1">
      <c r="A18" s="87" t="str">
        <f>IF(Data!AV18="","",Data!AW18)</f>
        <v/>
      </c>
      <c r="B18" s="89" t="str">
        <f>IF(Data!AV18="","",'Job Sheet'!C18)</f>
        <v/>
      </c>
      <c r="C18" s="90" t="str">
        <f>IF(Data!AV18="","",VLOOKUP(CONCATENATE(Data!BO18,'Job Sheet'!AE18),DoorType,2,FALSE))</f>
        <v/>
      </c>
      <c r="D18" s="91" t="str">
        <f>IF(Data!AV18="","",IF(Data!BP18="Powdercoat",'Job Sheet'!AA18,Data!BP18))</f>
        <v/>
      </c>
      <c r="E18" s="92" t="str">
        <f>IF(Data!AV18="","",CONCATENATE('Job Sheet'!BH18," x 2 ",'Job Sheet'!BI18," x 2"))</f>
        <v/>
      </c>
      <c r="F18" s="93" t="str">
        <f>IF(Data!AV18="","",IF(VLOOKUP(CONCATENATE(Data!BO18,'Job Sheet'!AE18),DoorType,3,FALSE)="N/A","",VLOOKUP(CONCATENATE(Data!BO18,'Job Sheet'!AE18),DoorType,3,FALSE)))</f>
        <v/>
      </c>
      <c r="G18" s="94" t="str">
        <f>IF(OR(F18="",Data!AW18=""),"",IF('Straight Cutting'!Q18&lt;&gt;"",CONCATENATE('Job Sheet'!BM18," x 4 ",'Job Sheet'!BN18-Guillotine!I19," x 2 ",Guillotine!I19," x 2"),CONCATENATE('Job Sheet'!BM18," x 2 ",'Job Sheet'!BN18," x 2")))</f>
        <v/>
      </c>
      <c r="H18" s="95" t="str">
        <f>IF(Data!AW18="","",IF(VLOOKUP(CONCATENATE(Data!BO18,'Job Sheet'!AE18),DoorType,4,FALSE)="Yes",CONCATENATE('Job Sheet'!BH18-98," x 2 ",'Job Sheet'!BI18-96," x 2"),""))</f>
        <v/>
      </c>
      <c r="I18" s="96" t="str">
        <f>'Job Sheet'!AM18</f>
        <v/>
      </c>
      <c r="J18" s="171" t="str">
        <f>IF('Job Sheet'!AN18="Same as Door",D18,'Job Sheet'!AN18)</f>
        <v/>
      </c>
      <c r="K18" s="97" t="str">
        <f>IF('Job Sheet'!AO18="Yes, Included in Other Door","Included in Other Door",IF(AND('Job Sheet'!AO18="Yes",(OR(I18="Long Leg Left, Right and Top",I18="Short Leg Left, Right and Top"))),CONCATENATE("2 x ",'Job Sheet'!E18+30," 1 x ",'Job Sheet'!AP18+60),IF(OR(I18="Long Leg Left, Right and Top",I18="Short Leg Left, Right and Top"),CONCATENATE("2 x ",'Job Sheet'!E18+30," 1 x ",'Job Sheet'!D18+60),IF(OR(I18="Long Leg 1 Side",I18="Short Leg 1 Side"),'Job Sheet'!E18+30,""))))</f>
        <v/>
      </c>
      <c r="L18" s="97" t="str">
        <f>IF('Job Sheet'!AV18="Yes","9mm Black Flyscreen","")</f>
        <v/>
      </c>
      <c r="M18" s="97" t="str">
        <f>IF(Data!AV18="","",IF('Job Sheet'!AV18="Yes",VLOOKUP(CONCATENATE('Job Sheet'!AW18,'Job Sheet'!AY18),DogDoor,2,FALSE),""))</f>
        <v/>
      </c>
      <c r="N18" s="98" t="str">
        <f>IF(Data!AV18="","",IF('Job Sheet'!AV18="Yes",VLOOKUP(CONCATENATE('Job Sheet'!AW18,'Job Sheet'!AY18),DogDoor,3,FALSE),""))</f>
        <v/>
      </c>
      <c r="O18" s="99" t="str">
        <f>'Job Sheet'!BF18</f>
        <v/>
      </c>
      <c r="P18" s="181" t="str">
        <f t="shared" si="0"/>
        <v/>
      </c>
    </row>
    <row r="19" spans="1:16" ht="60" customHeight="1">
      <c r="A19" s="87" t="str">
        <f>IF(Data!AV19="","",Data!AW19)</f>
        <v/>
      </c>
      <c r="B19" s="89" t="str">
        <f>IF(Data!AV19="","",'Job Sheet'!C19)</f>
        <v/>
      </c>
      <c r="C19" s="90" t="str">
        <f>IF(Data!AV19="","",VLOOKUP(CONCATENATE(Data!BO19,'Job Sheet'!AE19),DoorType,2,FALSE))</f>
        <v/>
      </c>
      <c r="D19" s="91" t="str">
        <f>IF(Data!AV19="","",IF(Data!BP19="Powdercoat",'Job Sheet'!AA19,Data!BP19))</f>
        <v/>
      </c>
      <c r="E19" s="92" t="str">
        <f>IF(Data!AV19="","",CONCATENATE('Job Sheet'!BH19," x 2 ",'Job Sheet'!BI19," x 2"))</f>
        <v/>
      </c>
      <c r="F19" s="93" t="str">
        <f>IF(Data!AV19="","",IF(VLOOKUP(CONCATENATE(Data!BO19,'Job Sheet'!AE19),DoorType,3,FALSE)="N/A","",VLOOKUP(CONCATENATE(Data!BO19,'Job Sheet'!AE19),DoorType,3,FALSE)))</f>
        <v/>
      </c>
      <c r="G19" s="94" t="str">
        <f>IF(OR(F19="",Data!AW19=""),"",IF('Straight Cutting'!Q19&lt;&gt;"",CONCATENATE('Job Sheet'!BM19," x 4 ",'Job Sheet'!BN19-Guillotine!I20," x 2 ",Guillotine!I20," x 2"),CONCATENATE('Job Sheet'!BM19," x 2 ",'Job Sheet'!BN19," x 2")))</f>
        <v/>
      </c>
      <c r="H19" s="95" t="str">
        <f>IF(Data!AW19="","",IF(VLOOKUP(CONCATENATE(Data!BO19,'Job Sheet'!AE19),DoorType,4,FALSE)="Yes",CONCATENATE('Job Sheet'!BH19-98," x 2 ",'Job Sheet'!BI19-96," x 2"),""))</f>
        <v/>
      </c>
      <c r="I19" s="96" t="str">
        <f>'Job Sheet'!AM19</f>
        <v/>
      </c>
      <c r="J19" s="171" t="str">
        <f>IF('Job Sheet'!AN19="Same as Door",D19,'Job Sheet'!AN19)</f>
        <v/>
      </c>
      <c r="K19" s="97" t="str">
        <f>IF('Job Sheet'!AO19="Yes, Included in Other Door","Included in Other Door",IF(AND('Job Sheet'!AO19="Yes",(OR(I19="Long Leg Left, Right and Top",I19="Short Leg Left, Right and Top"))),CONCATENATE("2 x ",'Job Sheet'!E19+30," 1 x ",'Job Sheet'!AP19+60),IF(OR(I19="Long Leg Left, Right and Top",I19="Short Leg Left, Right and Top"),CONCATENATE("2 x ",'Job Sheet'!E19+30," 1 x ",'Job Sheet'!D19+60),IF(OR(I19="Long Leg 1 Side",I19="Short Leg 1 Side"),'Job Sheet'!E19+30,""))))</f>
        <v/>
      </c>
      <c r="L19" s="97" t="str">
        <f>IF('Job Sheet'!AV19="Yes","9mm Black Flyscreen","")</f>
        <v/>
      </c>
      <c r="M19" s="97" t="str">
        <f>IF(Data!AV19="","",IF('Job Sheet'!AV19="Yes",VLOOKUP(CONCATENATE('Job Sheet'!AW19,'Job Sheet'!AY19),DogDoor,2,FALSE),""))</f>
        <v/>
      </c>
      <c r="N19" s="98" t="str">
        <f>IF(Data!AV19="","",IF('Job Sheet'!AV19="Yes",VLOOKUP(CONCATENATE('Job Sheet'!AW19,'Job Sheet'!AY19),DogDoor,3,FALSE),""))</f>
        <v/>
      </c>
      <c r="O19" s="99" t="str">
        <f>'Job Sheet'!BF19</f>
        <v/>
      </c>
      <c r="P19" s="181" t="str">
        <f t="shared" si="0"/>
        <v/>
      </c>
    </row>
    <row r="20" spans="1:16" ht="60" customHeight="1">
      <c r="A20" s="87" t="str">
        <f>IF(Data!AV20="","",Data!AW20)</f>
        <v/>
      </c>
      <c r="B20" s="89" t="str">
        <f>IF(Data!AV20="","",'Job Sheet'!C20)</f>
        <v/>
      </c>
      <c r="C20" s="100" t="str">
        <f>IF(Data!AV20="","",VLOOKUP(CONCATENATE(Data!BO20,'Job Sheet'!AE20),DoorType,2,FALSE))</f>
        <v/>
      </c>
      <c r="D20" s="91" t="str">
        <f>IF(Data!AV20="","",IF(Data!BP20="Powdercoat",'Job Sheet'!AA20,Data!BP20))</f>
        <v/>
      </c>
      <c r="E20" s="101" t="str">
        <f>IF(Data!AV20="","",CONCATENATE('Job Sheet'!BH20," x 2 ",'Job Sheet'!BI20," x 2"))</f>
        <v/>
      </c>
      <c r="F20" s="102" t="str">
        <f>IF(Data!AV20="","",IF(VLOOKUP(CONCATENATE(Data!BO20,'Job Sheet'!AE20),DoorType,3,FALSE)="N/A","",VLOOKUP(CONCATENATE(Data!BO20,'Job Sheet'!AE20),DoorType,3,FALSE)))</f>
        <v/>
      </c>
      <c r="G20" s="94" t="str">
        <f>IF(OR(F20="",Data!AW20=""),"",IF('Straight Cutting'!Q20&lt;&gt;"",CONCATENATE('Job Sheet'!BM20," x 4 ",'Job Sheet'!BN20-Guillotine!I21," x 2 ",Guillotine!I21," x 2"),CONCATENATE('Job Sheet'!BM20," x 2 ",'Job Sheet'!BN20," x 2")))</f>
        <v/>
      </c>
      <c r="H20" s="103" t="str">
        <f>IF(Data!AW20="","",IF(VLOOKUP(CONCATENATE(Data!BO20,'Job Sheet'!AE20),DoorType,4,FALSE)="Yes",CONCATENATE('Job Sheet'!BH20-98," x 2 ",'Job Sheet'!BI20-96," x 2"),""))</f>
        <v/>
      </c>
      <c r="I20" s="104" t="str">
        <f>'Job Sheet'!AM20</f>
        <v/>
      </c>
      <c r="J20" s="171" t="str">
        <f>IF('Job Sheet'!AN20="Same as Door",D20,'Job Sheet'!AN20)</f>
        <v/>
      </c>
      <c r="K20" s="105" t="str">
        <f>IF('Job Sheet'!AO20="Yes, Included in Other Door","Included in Other Door",IF(AND('Job Sheet'!AO20="Yes",(OR(I20="Long Leg Left, Right and Top",I20="Short Leg Left, Right and Top"))),CONCATENATE("2 x ",'Job Sheet'!E20+30," 1 x ",'Job Sheet'!AP20+60),IF(OR(I20="Long Leg Left, Right and Top",I20="Short Leg Left, Right and Top"),CONCATENATE("2 x ",'Job Sheet'!E20+30," 1 x ",'Job Sheet'!D20+60),IF(OR(I20="Long Leg 1 Side",I20="Short Leg 1 Side"),'Job Sheet'!E20+30,""))))</f>
        <v/>
      </c>
      <c r="L20" s="105" t="str">
        <f>IF('Job Sheet'!AV20="Yes","9mm Black Flyscreen","")</f>
        <v/>
      </c>
      <c r="M20" s="105" t="str">
        <f>IF(Data!AV20="","",IF('Job Sheet'!AV20="Yes",VLOOKUP(CONCATENATE('Job Sheet'!AW20,'Job Sheet'!AY20),DogDoor,2,FALSE),""))</f>
        <v/>
      </c>
      <c r="N20" s="106" t="str">
        <f>IF(Data!AV20="","",IF('Job Sheet'!AV20="Yes",VLOOKUP(CONCATENATE('Job Sheet'!AW20,'Job Sheet'!AY20),DogDoor,3,FALSE),""))</f>
        <v/>
      </c>
      <c r="O20" s="99" t="str">
        <f>'Job Sheet'!BF20</f>
        <v/>
      </c>
      <c r="P20" s="181" t="str">
        <f t="shared" si="0"/>
        <v/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</sheetData>
  <mergeCells count="40">
    <mergeCell ref="C4:D4"/>
    <mergeCell ref="C3:D3"/>
    <mergeCell ref="C2:D2"/>
    <mergeCell ref="A5:B5"/>
    <mergeCell ref="A4:B4"/>
    <mergeCell ref="A3:B3"/>
    <mergeCell ref="A2:B2"/>
    <mergeCell ref="N9:N10"/>
    <mergeCell ref="I8:N8"/>
    <mergeCell ref="E2:G2"/>
    <mergeCell ref="H2:M2"/>
    <mergeCell ref="E3:G3"/>
    <mergeCell ref="H3:M3"/>
    <mergeCell ref="D9:D10"/>
    <mergeCell ref="E5:G7"/>
    <mergeCell ref="I9:I10"/>
    <mergeCell ref="H5:M5"/>
    <mergeCell ref="H6:M6"/>
    <mergeCell ref="E9:E10"/>
    <mergeCell ref="M9:M10"/>
    <mergeCell ref="K9:K10"/>
    <mergeCell ref="H7:M7"/>
    <mergeCell ref="C5:D5"/>
    <mergeCell ref="J9:J10"/>
    <mergeCell ref="A1:P1"/>
    <mergeCell ref="N2:P2"/>
    <mergeCell ref="N3:P7"/>
    <mergeCell ref="P8:P10"/>
    <mergeCell ref="O8:O10"/>
    <mergeCell ref="L9:L10"/>
    <mergeCell ref="H4:M4"/>
    <mergeCell ref="A8:A10"/>
    <mergeCell ref="B8:B10"/>
    <mergeCell ref="E4:G4"/>
    <mergeCell ref="H9:H10"/>
    <mergeCell ref="F9:F10"/>
    <mergeCell ref="G9:G10"/>
    <mergeCell ref="A6:D7"/>
    <mergeCell ref="C8:H8"/>
    <mergeCell ref="C9:C10"/>
  </mergeCells>
  <pageMargins left="0.645669291338609" right="0.645669291338609" top="0.236220472440945" bottom="0.236220472440945" header="0.236220472440945" footer="0.236220472440945"/>
  <pageSetup fitToHeight="0" orientation="landscape" paperSize="9" scale="1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A5AC9-8A0E-4758-86F8-3CAF8ECFAFA9}">
  <sheetPr codeName="Sheet11">
    <pageSetUpPr fitToPage="1"/>
  </sheetPr>
  <dimension ref="A1:Z20"/>
  <sheetViews>
    <sheetView view="pageBreakPreview" zoomScale="40" zoomScaleNormal="50" zoomScaleSheetLayoutView="40" workbookViewId="0" topLeftCell="A1">
      <selection pane="topLeft" activeCell="A11" sqref="A11:XFD20"/>
    </sheetView>
  </sheetViews>
  <sheetFormatPr defaultColWidth="9.109375" defaultRowHeight="13.5"/>
  <cols>
    <col min="1" max="1" width="8.85714285714286" style="57" customWidth="1"/>
    <col min="2" max="2" width="37.2857142857143" style="57" customWidth="1"/>
    <col min="3" max="3" width="31.8571428571429" style="57" customWidth="1"/>
    <col min="4" max="4" width="15.4285714285714" style="57" customWidth="1"/>
    <col min="5" max="6" width="19.7142857142857" style="57" customWidth="1"/>
    <col min="7" max="7" width="18" style="57" customWidth="1"/>
    <col min="8" max="8" width="20.7142857142857" style="57" customWidth="1"/>
    <col min="9" max="9" width="21.2857142857143" style="57" customWidth="1"/>
    <col min="10" max="10" width="17.4285714285714" style="57" customWidth="1"/>
    <col min="11" max="11" width="24.2857142857143" style="57" customWidth="1"/>
    <col min="12" max="12" width="17.7142857142857" style="57" customWidth="1"/>
    <col min="13" max="13" width="20.1428571428571" style="57" customWidth="1"/>
    <col min="14" max="14" width="18.4285714285714" style="57" customWidth="1"/>
    <col min="15" max="15" width="25.5714285714286" style="57" customWidth="1"/>
    <col min="16" max="16" width="24.4285714285714" style="57" customWidth="1"/>
    <col min="17" max="17" width="15.2857142857143" style="57" customWidth="1"/>
    <col min="18" max="18" width="15.7142857142857" customWidth="1"/>
    <col min="19" max="20" width="23.2857142857143" customWidth="1"/>
    <col min="21" max="21" width="21.4285714285714" customWidth="1"/>
    <col min="22" max="22" width="24.2857142857143" customWidth="1"/>
    <col min="23" max="23" width="24.4285714285714" customWidth="1"/>
    <col min="24" max="24" width="24.2857142857143" customWidth="1"/>
    <col min="25" max="25" width="43.5714285714286" customWidth="1"/>
    <col min="26" max="26" width="18.2857142857143" customWidth="1"/>
  </cols>
  <sheetData>
    <row r="1" spans="1:26" ht="282.6" customHeight="1">
      <c r="A1" s="255" t="s">
        <v>641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5"/>
      <c r="P1" s="255"/>
      <c r="Q1" s="255"/>
      <c r="R1" s="255"/>
      <c r="S1" s="255"/>
      <c r="T1" s="255"/>
      <c r="U1" s="255"/>
      <c r="V1" s="255"/>
      <c r="W1" s="255"/>
      <c r="X1" s="255"/>
      <c r="Y1" s="255"/>
      <c r="Z1" s="255"/>
    </row>
    <row r="2" spans="1:26" s="58" customFormat="1" ht="49.95" customHeight="1">
      <c r="A2" s="183" t="s">
        <v>7</v>
      </c>
      <c r="B2" s="183"/>
      <c r="C2" s="184"/>
      <c r="D2" s="184"/>
      <c r="E2" s="184" t="s">
        <v>118</v>
      </c>
      <c r="F2" s="184"/>
      <c r="G2" s="184"/>
      <c r="H2" s="3" t="str">
        <f>IF(Data!AV11="","",Data!BF5)</f>
        <v>Leurs, Nigel</v>
      </c>
      <c r="I2" s="3"/>
      <c r="J2" s="3"/>
      <c r="K2" s="3"/>
      <c r="L2" s="3"/>
      <c r="M2" s="3"/>
      <c r="N2" s="3"/>
      <c r="O2" s="4" t="s">
        <v>4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s="58" customFormat="1" ht="49.95" customHeight="1">
      <c r="A3" s="2" t="s">
        <v>143</v>
      </c>
      <c r="B3" s="2"/>
      <c r="C3" s="182" t="str">
        <f>IF(Data!AV11="","",Data!BC5)</f>
        <v>12201</v>
      </c>
      <c r="D3" s="182"/>
      <c r="E3" s="187" t="s">
        <v>8</v>
      </c>
      <c r="F3" s="187"/>
      <c r="G3" s="187"/>
      <c r="H3" s="215" t="str">
        <f>IF(Data!AV11="","",Data!AX5)</f>
        <v>Barrier Doors </v>
      </c>
      <c r="I3" s="215"/>
      <c r="J3" s="215"/>
      <c r="K3" s="215"/>
      <c r="L3" s="215"/>
      <c r="M3" s="215"/>
      <c r="N3" s="215"/>
      <c r="O3" s="256" t="str">
        <f>TRIM(Data!BG5)</f>
        <v/>
      </c>
      <c r="P3" s="256"/>
      <c r="Q3" s="256"/>
      <c r="R3" s="256"/>
      <c r="S3" s="256"/>
      <c r="T3" s="256"/>
      <c r="U3" s="256"/>
      <c r="V3" s="256"/>
      <c r="W3" s="256"/>
      <c r="X3" s="256"/>
      <c r="Y3" s="256"/>
      <c r="Z3" s="256"/>
    </row>
    <row r="4" spans="1:26" s="58" customFormat="1" ht="49.95" customHeight="1">
      <c r="A4" s="186" t="s">
        <v>15</v>
      </c>
      <c r="B4" s="186"/>
      <c r="C4" s="182" t="str">
        <f>IF(Data!AV11="","",Data!BD5)</f>
        <v>A</v>
      </c>
      <c r="D4" s="182"/>
      <c r="E4" s="187" t="s">
        <v>137</v>
      </c>
      <c r="F4" s="187"/>
      <c r="G4" s="187"/>
      <c r="H4" s="215" t="str">
        <f>IF(Data!AV11="","",Data!BA5)</f>
        <v>22/09/2026 12:00:00 AM</v>
      </c>
      <c r="I4" s="215"/>
      <c r="J4" s="215"/>
      <c r="K4" s="215"/>
      <c r="L4" s="215"/>
      <c r="M4" s="215"/>
      <c r="N4" s="215"/>
      <c r="O4" s="256"/>
      <c r="P4" s="256"/>
      <c r="Q4" s="256"/>
      <c r="R4" s="256"/>
      <c r="S4" s="256"/>
      <c r="T4" s="256"/>
      <c r="U4" s="256"/>
      <c r="V4" s="256"/>
      <c r="W4" s="256"/>
      <c r="X4" s="256"/>
      <c r="Y4" s="256"/>
      <c r="Z4" s="256"/>
    </row>
    <row r="5" spans="1:26" s="58" customFormat="1" ht="49.95" customHeight="1">
      <c r="A5" s="259" t="s">
        <v>9</v>
      </c>
      <c r="B5" s="259"/>
      <c r="C5" s="1" t="str">
        <f>IF(Data!AV11="","",Data!AY5)</f>
        <v>26/08/2026 12:00:00 AM</v>
      </c>
      <c r="D5" s="1"/>
      <c r="E5" s="182" t="s">
        <v>12</v>
      </c>
      <c r="F5" s="182"/>
      <c r="G5" s="182"/>
      <c r="H5" s="215" t="str">
        <f>TRIM(Data!BF5)</f>
        <v>Leurs, Nigel</v>
      </c>
      <c r="I5" s="215"/>
      <c r="J5" s="215"/>
      <c r="K5" s="215"/>
      <c r="L5" s="215"/>
      <c r="M5" s="215"/>
      <c r="N5" s="215"/>
      <c r="O5" s="256"/>
      <c r="P5" s="256"/>
      <c r="Q5" s="256"/>
      <c r="R5" s="256"/>
      <c r="S5" s="256"/>
      <c r="T5" s="256"/>
      <c r="U5" s="256"/>
      <c r="V5" s="256"/>
      <c r="W5" s="256"/>
      <c r="X5" s="256"/>
      <c r="Y5" s="256"/>
      <c r="Z5" s="256"/>
    </row>
    <row r="6" spans="1:26" s="58" customFormat="1" ht="49.95" customHeight="1">
      <c r="A6" s="188" t="str">
        <f>IF(Data!AV11="","",'Job Sheet'!A6)</f>
        <v>Retail Customer</v>
      </c>
      <c r="B6" s="188"/>
      <c r="C6" s="188"/>
      <c r="D6" s="188"/>
      <c r="E6" s="182"/>
      <c r="F6" s="182"/>
      <c r="G6" s="182"/>
      <c r="H6" s="3" t="str">
        <f>CONCATENATE(Data!BH5," ",Data!BI5," ",Data!BJ5," ",Data!BK5," ",Data!BL5)</f>
        <v xml:space="preserve"> 30  Timbertop Drive </v>
      </c>
      <c r="I6" s="3"/>
      <c r="J6" s="3"/>
      <c r="K6" s="3"/>
      <c r="L6" s="3"/>
      <c r="M6" s="3"/>
      <c r="N6" s="3"/>
      <c r="O6" s="256"/>
      <c r="P6" s="256"/>
      <c r="Q6" s="256"/>
      <c r="R6" s="256"/>
      <c r="S6" s="256"/>
      <c r="T6" s="256"/>
      <c r="U6" s="256"/>
      <c r="V6" s="256"/>
      <c r="W6" s="256"/>
      <c r="X6" s="256"/>
      <c r="Y6" s="256"/>
      <c r="Z6" s="256"/>
    </row>
    <row r="7" spans="1:26" s="58" customFormat="1" ht="49.95" customHeight="1">
      <c r="A7" s="188"/>
      <c r="B7" s="188"/>
      <c r="C7" s="188"/>
      <c r="D7" s="188"/>
      <c r="E7" s="182"/>
      <c r="F7" s="182"/>
      <c r="G7" s="182"/>
      <c r="H7" s="3" t="str">
        <f>CONCATENATE(Data!BM5," ",Data!BN5," ",Data!BO5," ",Data!BP5)</f>
        <v>Mount Helen VIC 3350 Australia</v>
      </c>
      <c r="I7" s="3"/>
      <c r="J7" s="3"/>
      <c r="K7" s="3"/>
      <c r="L7" s="3"/>
      <c r="M7" s="3"/>
      <c r="N7" s="3"/>
      <c r="O7" s="256"/>
      <c r="P7" s="256"/>
      <c r="Q7" s="256"/>
      <c r="R7" s="256"/>
      <c r="S7" s="256"/>
      <c r="T7" s="256"/>
      <c r="U7" s="256"/>
      <c r="V7" s="256"/>
      <c r="W7" s="256"/>
      <c r="X7" s="256"/>
      <c r="Y7" s="256"/>
      <c r="Z7" s="256"/>
    </row>
    <row r="8" spans="1:26" ht="36" customHeight="1">
      <c r="A8" s="216" t="s">
        <v>142</v>
      </c>
      <c r="B8" s="262" t="s">
        <v>120</v>
      </c>
      <c r="C8" s="262" t="s">
        <v>271</v>
      </c>
      <c r="D8" s="264" t="s">
        <v>283</v>
      </c>
      <c r="E8" s="264"/>
      <c r="F8" s="264"/>
      <c r="G8" s="264"/>
      <c r="H8" s="264"/>
      <c r="I8" s="264"/>
      <c r="J8" s="264"/>
      <c r="K8" s="264"/>
      <c r="L8" s="264"/>
      <c r="M8" s="264"/>
      <c r="N8" s="264"/>
      <c r="O8" s="264"/>
      <c r="P8" s="264"/>
      <c r="Q8" s="264"/>
      <c r="R8" s="264"/>
      <c r="S8" s="261" t="s">
        <v>300</v>
      </c>
      <c r="T8" s="261"/>
      <c r="U8" s="261"/>
      <c r="V8" s="261"/>
      <c r="W8" s="261"/>
      <c r="X8" s="261"/>
      <c r="Y8" s="4" t="s">
        <v>5</v>
      </c>
      <c r="Z8" s="4" t="s">
        <v>487</v>
      </c>
    </row>
    <row r="9" spans="1:26" ht="18.75" customHeight="1">
      <c r="A9" s="216"/>
      <c r="B9" s="262"/>
      <c r="C9" s="262"/>
      <c r="D9" s="4" t="s">
        <v>488</v>
      </c>
      <c r="E9" s="4" t="s">
        <v>270</v>
      </c>
      <c r="F9" s="258" t="s">
        <v>382</v>
      </c>
      <c r="G9" s="258" t="s">
        <v>501</v>
      </c>
      <c r="H9" s="263" t="s">
        <v>281</v>
      </c>
      <c r="I9" s="263" t="s">
        <v>280</v>
      </c>
      <c r="J9" s="260" t="s">
        <v>256</v>
      </c>
      <c r="K9" s="4" t="s">
        <v>344</v>
      </c>
      <c r="L9" s="260" t="s">
        <v>491</v>
      </c>
      <c r="M9" s="260" t="s">
        <v>345</v>
      </c>
      <c r="N9" s="260" t="s">
        <v>391</v>
      </c>
      <c r="O9" s="257" t="s">
        <v>359</v>
      </c>
      <c r="P9" s="258" t="s">
        <v>664</v>
      </c>
      <c r="Q9" s="4" t="s">
        <v>665</v>
      </c>
      <c r="R9" s="4" t="s">
        <v>500</v>
      </c>
      <c r="S9" s="214" t="s">
        <v>492</v>
      </c>
      <c r="T9" s="214" t="s">
        <v>666</v>
      </c>
      <c r="U9" s="214" t="s">
        <v>493</v>
      </c>
      <c r="V9" s="214" t="s">
        <v>494</v>
      </c>
      <c r="W9" s="214" t="s">
        <v>302</v>
      </c>
      <c r="X9" s="214" t="s">
        <v>301</v>
      </c>
      <c r="Y9" s="4"/>
      <c r="Z9" s="4"/>
    </row>
    <row r="10" spans="1:26" ht="126" customHeight="1">
      <c r="A10" s="216"/>
      <c r="B10" s="262"/>
      <c r="C10" s="262"/>
      <c r="D10" s="4"/>
      <c r="E10" s="4"/>
      <c r="F10" s="258"/>
      <c r="G10" s="258"/>
      <c r="H10" s="263"/>
      <c r="I10" s="263"/>
      <c r="J10" s="260"/>
      <c r="K10" s="4"/>
      <c r="L10" s="260"/>
      <c r="M10" s="260"/>
      <c r="N10" s="260"/>
      <c r="O10" s="257"/>
      <c r="P10" s="258"/>
      <c r="Q10" s="4"/>
      <c r="R10" s="4"/>
      <c r="S10" s="214"/>
      <c r="T10" s="214"/>
      <c r="U10" s="214"/>
      <c r="V10" s="214"/>
      <c r="W10" s="214"/>
      <c r="X10" s="214"/>
      <c r="Y10" s="4"/>
      <c r="Z10" s="4"/>
    </row>
    <row r="11" spans="1:26" ht="66">
      <c r="A11" s="15">
        <f>IF(Data!AV11="","",Data!AW11)</f>
        <v>1</v>
      </c>
      <c r="B11" s="88" t="str">
        <f>IF(Data!AV11="","",'Job Sheet'!C11)</f>
        <v>Rumpus</v>
      </c>
      <c r="C11" s="88" t="str">
        <f>IF(Data!AV11="","",'Mitred Cutting'!D11)</f>
        <v>Paperbark</v>
      </c>
      <c r="D11" s="92">
        <f>IF(A11="","",IF(E11="Bug Strip Frame",CONCATENATE('Job Sheet'!BJ11," &amp; ",'Job Sheet'!BI11-50),'Job Sheet'!BJ11))</f>
        <v>931</v>
      </c>
      <c r="E11" s="177" t="str">
        <f>'Job Sheet'!AL11</f>
        <v>F &amp; Z Frames</v>
      </c>
      <c r="F11" s="92">
        <f>IF(OR(E11="F &amp; Z Frames",E11="F Frame Only",E11="F &amp; High Step Z Frame"),'Job Sheet'!BI11-50,"")</f>
        <v>1986</v>
      </c>
      <c r="G11" s="92">
        <f>IF(OR(E11="F &amp; Z Frames",E11="F &amp; High Step Z Frame"),'Job Sheet'!BI11-50,"")</f>
        <v>1986</v>
      </c>
      <c r="H11" s="92" t="str">
        <f>IF(OR('Job Sheet'!AQ11="H Receiving Channel",'Job Sheet'!AR11="H Receiving Channel"),'Job Sheet'!BI11,"")</f>
        <v/>
      </c>
      <c r="I11" s="92">
        <f>IF(OR('Job Sheet'!AQ11="U Receiving Channel",'Job Sheet'!AR11="U Receiving Channel"),'Job Sheet'!BI11,"")</f>
        <v>2036</v>
      </c>
      <c r="J11" s="92" t="str">
        <f>IF('Job Sheet'!AQ11="T Mullion with Cutouts and 2 Lock Bolts",'Job Sheet'!BI11,"")</f>
        <v/>
      </c>
      <c r="K11" s="170" t="str">
        <f>IF(Data!AV11="","",IF(OR('Job Sheet'!AS11="U Channel",'Job Sheet'!AS11="U Channel &amp; Bottom Fix Bottom Track",'Job Sheet'!AS11="U Channel &amp; Face Fix Bottom Track",'Job Sheet'!AS11="U Channel &amp; H Shaped Bottom Track"),"U Channel",IF('Job Sheet'!AS11="U Channel with Pip &amp; Face Fix Bottom Track","U Channel with Pip","")))</f>
        <v/>
      </c>
      <c r="L11" s="92" t="str">
        <f>IF(Data!AW11="","",IF(OR(K11="U Channel",K11="U Channel with Pip"),'Job Sheet'!AT11,""))</f>
        <v/>
      </c>
      <c r="M11" s="170" t="str">
        <f>IF(OR(Data!AV11="",'Job Sheet'!AS11="U Channel",'Job Sheet'!AS11="No",'Job Sheet'!AS11="Existing Track"),"",IF('Job Sheet'!AS11="U Channel with Pip &amp; Face Fix Bottom Track","Face Fix Bottom Track",'Job Sheet'!AS11))</f>
        <v/>
      </c>
      <c r="N11" s="92" t="str">
        <f>IF(OR(Data!AW11="",M11=""),"",'Job Sheet'!AT11)</f>
        <v/>
      </c>
      <c r="O11" s="178" t="str">
        <f>IF(Data!AW11="","",IF(R11&lt;&gt;"",CONCATENATE('Job Sheet'!BO11," x 4 ",'Job Sheet'!BQ11," x 2 ",'Job Sheet'!BP11," x 2"),IF('Mitred Cutting'!C11="Invisi-Gard",CONCATENATE('Job Sheet'!BO11," x 2 ",'Job Sheet'!BP11," x 2"),"")))</f>
        <v/>
      </c>
      <c r="P11" s="92" t="str">
        <f>IF('Job Sheet'!AK11="Same as Door",C11,'Job Sheet'!AK11)</f>
        <v/>
      </c>
      <c r="Q11" s="92" t="str">
        <f>IF(AND('Mitred Cutting'!C11="Standard",(OR('Job Sheet'!AI11="Yes - Centre",'Job Sheet'!AI11="Yes"))),'Job Sheet'!BH11-115,"")</f>
        <v/>
      </c>
      <c r="R11" s="92" t="str">
        <f>IF(AND('Mitred Cutting'!C11="Invisi-Gard",(OR('Job Sheet'!AI11="Yes - Centre",'Job Sheet'!AI11="Yes"))),'Job Sheet'!BH11-149,"")</f>
        <v/>
      </c>
      <c r="S11" s="97" t="str">
        <f>'Job Sheet'!AM11</f>
        <v/>
      </c>
      <c r="T11" s="97" t="str">
        <f>IF('Job Sheet'!AN11="Same as Door",C11,'Job Sheet'!AN11)</f>
        <v/>
      </c>
      <c r="U11" s="97" t="str">
        <f>IF('Job Sheet'!AO11="Yes, Included in Other Door","Included in Other Door",IF(AND('Job Sheet'!AO11="Yes",(OR(S11="Long Leg Left, Right and Top",S11="Short Leg Left, Right and Top"))),CONCATENATE("2 x ",'Job Sheet'!E11+30," 1 x ",'Job Sheet'!AP11+60),IF(OR(S11="Long Leg Left, Right and Top",S11="Short Leg Left, Right and Top"),CONCATENATE("2 x ",'Job Sheet'!E11+30," 1 x ",'Job Sheet'!D11+60),IF(OR(S11="Long Leg 1 Side",S11="Short Leg 1 Side"),'Job Sheet'!E11+30,""))))</f>
        <v/>
      </c>
      <c r="V11" s="97" t="str">
        <f>IF('Job Sheet'!AV11="Yes","9mm Black Flyscreen","")</f>
        <v/>
      </c>
      <c r="W11" s="97" t="str">
        <f>IF(Data!AV11="","",IF('Job Sheet'!AV11="Yes",VLOOKUP(CONCATENATE('Job Sheet'!AW11,'Job Sheet'!AY11),DogDoor,2,FALSE),""))</f>
        <v/>
      </c>
      <c r="X11" s="97" t="str">
        <f>IF(Data!AV11="","",IF('Job Sheet'!AV11="Yes",VLOOKUP(CONCATENATE('Job Sheet'!AW11,'Job Sheet'!AY11),DogDoor,3,FALSE),""))</f>
        <v/>
      </c>
      <c r="Y11" s="15" t="str">
        <f>'Job Sheet'!BF11</f>
        <v/>
      </c>
      <c r="Z11" s="132">
        <f>A11</f>
        <v>1</v>
      </c>
    </row>
    <row r="12" spans="1:26" ht="60" customHeight="1">
      <c r="A12" s="15">
        <f>IF(Data!AV12="","",Data!AW12)</f>
        <v>2</v>
      </c>
      <c r="B12" s="88" t="str">
        <f>IF(Data!AV12="","",'Job Sheet'!C12)</f>
        <v>Laundry</v>
      </c>
      <c r="C12" s="88" t="str">
        <f>IF(Data!AV12="","",'Mitred Cutting'!D12)</f>
        <v>Paperbark</v>
      </c>
      <c r="D12" s="92">
        <f>IF(A12="","",IF(E12="Bug Strip Frame",CONCATENATE('Job Sheet'!BJ12," &amp; ",'Job Sheet'!BI12-50),'Job Sheet'!BJ12))</f>
        <v>812</v>
      </c>
      <c r="E12" s="177" t="str">
        <f>'Job Sheet'!AL12</f>
        <v/>
      </c>
      <c r="F12" s="92" t="str">
        <f>IF(OR(E12="F &amp; Z Frames",E12="F Frame Only",E12="F &amp; High Step Z Frame"),'Job Sheet'!BI12-50,"")</f>
        <v/>
      </c>
      <c r="G12" s="92" t="str">
        <f>IF(OR(E12="F &amp; Z Frames",E12="F &amp; High Step Z Frame"),'Job Sheet'!BI12-50,"")</f>
        <v/>
      </c>
      <c r="H12" s="92" t="str">
        <f>IF(OR('Job Sheet'!AQ12="H Receiving Channel",'Job Sheet'!AR12="H Receiving Channel"),'Job Sheet'!BI12,"")</f>
        <v/>
      </c>
      <c r="I12" s="92" t="str">
        <f>IF(OR('Job Sheet'!AQ12="U Receiving Channel",'Job Sheet'!AR12="U Receiving Channel"),'Job Sheet'!BI12,"")</f>
        <v/>
      </c>
      <c r="J12" s="92" t="str">
        <f>IF('Job Sheet'!AQ12="T Mullion with Cutouts and 2 Lock Bolts",'Job Sheet'!BI12,"")</f>
        <v/>
      </c>
      <c r="K12" s="170" t="str">
        <f>IF(Data!AV12="","",IF(OR('Job Sheet'!AS12="U Channel",'Job Sheet'!AS12="U Channel &amp; Bottom Fix Bottom Track",'Job Sheet'!AS12="U Channel &amp; Face Fix Bottom Track",'Job Sheet'!AS12="U Channel &amp; H Shaped Bottom Track"),"U Channel",IF('Job Sheet'!AS12="U Channel with Pip &amp; Face Fix Bottom Track","U Channel with Pip","")))</f>
        <v/>
      </c>
      <c r="L12" s="92" t="str">
        <f>IF(Data!AW12="","",IF(OR(K12="U Channel",K12="U Channel with Pip"),'Job Sheet'!AT12,""))</f>
        <v/>
      </c>
      <c r="M12" s="170" t="str">
        <f>IF(OR(Data!AV12="",'Job Sheet'!AS12="U Channel",'Job Sheet'!AS12="No",'Job Sheet'!AS12="Existing Track"),"",IF('Job Sheet'!AS12="U Channel with Pip &amp; Face Fix Bottom Track","Face Fix Bottom Track",'Job Sheet'!AS12))</f>
        <v/>
      </c>
      <c r="N12" s="92" t="str">
        <f>IF(OR(Data!AW12="",M12=""),"",'Job Sheet'!AT12)</f>
        <v/>
      </c>
      <c r="O12" s="178" t="str">
        <f>IF(Data!AW12="","",IF(R12&lt;&gt;"",CONCATENATE('Job Sheet'!BO12," x 4 ",'Job Sheet'!BQ12," x 2 ",'Job Sheet'!BP12," x 2"),IF('Mitred Cutting'!C12="Invisi-Gard",CONCATENATE('Job Sheet'!BO12," x 2 ",'Job Sheet'!BP12," x 2"),"")))</f>
        <v/>
      </c>
      <c r="P12" s="92" t="str">
        <f>IF('Job Sheet'!AK12="Same as Door",C12,'Job Sheet'!AK12)</f>
        <v/>
      </c>
      <c r="Q12" s="92" t="str">
        <f>IF(AND('Mitred Cutting'!C12="Standard",(OR('Job Sheet'!AI12="Yes - Centre",'Job Sheet'!AI12="Yes"))),'Job Sheet'!BH12-115,"")</f>
        <v/>
      </c>
      <c r="R12" s="92" t="str">
        <f>IF(AND('Mitred Cutting'!C12="Invisi-Gard",(OR('Job Sheet'!AI12="Yes - Centre",'Job Sheet'!AI12="Yes"))),'Job Sheet'!BH12-149,"")</f>
        <v/>
      </c>
      <c r="S12" s="97" t="str">
        <f>'Job Sheet'!AM12</f>
        <v/>
      </c>
      <c r="T12" s="97" t="str">
        <f>IF('Job Sheet'!AN12="Same as Door",C12,'Job Sheet'!AN12)</f>
        <v/>
      </c>
      <c r="U12" s="97" t="str">
        <f>IF('Job Sheet'!AO12="Yes, Included in Other Door","Included in Other Door",IF(AND('Job Sheet'!AO12="Yes",(OR(S12="Long Leg Left, Right and Top",S12="Short Leg Left, Right and Top"))),CONCATENATE("2 x ",'Job Sheet'!E12+30," 1 x ",'Job Sheet'!AP12+60),IF(OR(S12="Long Leg Left, Right and Top",S12="Short Leg Left, Right and Top"),CONCATENATE("2 x ",'Job Sheet'!E12+30," 1 x ",'Job Sheet'!D12+60),IF(OR(S12="Long Leg 1 Side",S12="Short Leg 1 Side"),'Job Sheet'!E12+30,""))))</f>
        <v/>
      </c>
      <c r="V12" s="97" t="str">
        <f>IF('Job Sheet'!AV12="Yes","9mm Black Flyscreen","")</f>
        <v/>
      </c>
      <c r="W12" s="97" t="str">
        <f>IF(Data!AV12="","",IF('Job Sheet'!AV12="Yes",VLOOKUP(CONCATENATE('Job Sheet'!AW12,'Job Sheet'!AY12),DogDoor,2,FALSE),""))</f>
        <v/>
      </c>
      <c r="X12" s="97" t="str">
        <f>IF(Data!AV12="","",IF('Job Sheet'!AV12="Yes",VLOOKUP(CONCATENATE('Job Sheet'!AW12,'Job Sheet'!AY12),DogDoor,3,FALSE),""))</f>
        <v/>
      </c>
      <c r="Y12" s="15" t="str">
        <f>'Job Sheet'!BF12</f>
        <v/>
      </c>
      <c r="Z12" s="132">
        <f t="shared" si="0" ref="Z12:Z20">A12</f>
        <v>2</v>
      </c>
    </row>
    <row r="13" spans="1:26" ht="66">
      <c r="A13" s="15">
        <f>IF(Data!AV13="","",Data!AW13)</f>
        <v>3</v>
      </c>
      <c r="B13" s="88" t="str">
        <f>IF(Data!AV13="","",'Job Sheet'!C13)</f>
        <v>Kitchen</v>
      </c>
      <c r="C13" s="88" t="str">
        <f>IF(Data!AV13="","",'Mitred Cutting'!D13)</f>
        <v>Paperbark</v>
      </c>
      <c r="D13" s="92">
        <f>IF(A13="","",IF(E13="Bug Strip Frame",CONCATENATE('Job Sheet'!BJ13," &amp; ",'Job Sheet'!BI13-50),'Job Sheet'!BJ13))</f>
        <v>899</v>
      </c>
      <c r="E13" s="177" t="str">
        <f>'Job Sheet'!AL13</f>
        <v>F &amp; Z Frames</v>
      </c>
      <c r="F13" s="92">
        <f>IF(OR(E13="F &amp; Z Frames",E13="F Frame Only",E13="F &amp; High Step Z Frame"),'Job Sheet'!BI13-50,"")</f>
        <v>2018</v>
      </c>
      <c r="G13" s="92">
        <f>IF(OR(E13="F &amp; Z Frames",E13="F &amp; High Step Z Frame"),'Job Sheet'!BI13-50,"")</f>
        <v>2018</v>
      </c>
      <c r="H13" s="92" t="str">
        <f>IF(OR('Job Sheet'!AQ13="H Receiving Channel",'Job Sheet'!AR13="H Receiving Channel"),'Job Sheet'!BI13,"")</f>
        <v/>
      </c>
      <c r="I13" s="92" t="str">
        <f>IF(OR('Job Sheet'!AQ13="U Receiving Channel",'Job Sheet'!AR13="U Receiving Channel"),'Job Sheet'!BI13,"")</f>
        <v/>
      </c>
      <c r="J13" s="92" t="str">
        <f>IF('Job Sheet'!AQ13="T Mullion with Cutouts and 2 Lock Bolts",'Job Sheet'!BI13,"")</f>
        <v/>
      </c>
      <c r="K13" s="170" t="str">
        <f>IF(Data!AV13="","",IF(OR('Job Sheet'!AS13="U Channel",'Job Sheet'!AS13="U Channel &amp; Bottom Fix Bottom Track",'Job Sheet'!AS13="U Channel &amp; Face Fix Bottom Track",'Job Sheet'!AS13="U Channel &amp; H Shaped Bottom Track"),"U Channel",IF('Job Sheet'!AS13="U Channel with Pip &amp; Face Fix Bottom Track","U Channel with Pip","")))</f>
        <v/>
      </c>
      <c r="L13" s="92" t="str">
        <f>IF(Data!AW13="","",IF(OR(K13="U Channel",K13="U Channel with Pip"),'Job Sheet'!AT13,""))</f>
        <v/>
      </c>
      <c r="M13" s="170" t="str">
        <f>IF(OR(Data!AV13="",'Job Sheet'!AS13="U Channel",'Job Sheet'!AS13="No",'Job Sheet'!AS13="Existing Track"),"",IF('Job Sheet'!AS13="U Channel with Pip &amp; Face Fix Bottom Track","Face Fix Bottom Track",'Job Sheet'!AS13))</f>
        <v/>
      </c>
      <c r="N13" s="92" t="str">
        <f>IF(OR(Data!AW13="",M13=""),"",'Job Sheet'!AT13)</f>
        <v/>
      </c>
      <c r="O13" s="178" t="str">
        <f>IF(Data!AW13="","",IF(R13&lt;&gt;"",CONCATENATE('Job Sheet'!BO13," x 4 ",'Job Sheet'!BQ13," x 2 ",'Job Sheet'!BP13," x 2"),IF('Mitred Cutting'!C13="Invisi-Gard",CONCATENATE('Job Sheet'!BO13," x 2 ",'Job Sheet'!BP13," x 2"),"")))</f>
        <v/>
      </c>
      <c r="P13" s="92" t="str">
        <f>IF('Job Sheet'!AK13="Same as Door",C13,'Job Sheet'!AK13)</f>
        <v/>
      </c>
      <c r="Q13" s="92" t="str">
        <f>IF(AND('Mitred Cutting'!C13="Standard",(OR('Job Sheet'!AI13="Yes - Centre",'Job Sheet'!AI13="Yes"))),'Job Sheet'!BH13-115,"")</f>
        <v/>
      </c>
      <c r="R13" s="92" t="str">
        <f>IF(AND('Mitred Cutting'!C13="Invisi-Gard",(OR('Job Sheet'!AI13="Yes - Centre",'Job Sheet'!AI13="Yes"))),'Job Sheet'!BH13-149,"")</f>
        <v/>
      </c>
      <c r="S13" s="97" t="str">
        <f>'Job Sheet'!AM13</f>
        <v/>
      </c>
      <c r="T13" s="97" t="str">
        <f>IF('Job Sheet'!AN13="Same as Door",C13,'Job Sheet'!AN13)</f>
        <v/>
      </c>
      <c r="U13" s="97" t="str">
        <f>IF('Job Sheet'!AO13="Yes, Included in Other Door","Included in Other Door",IF(AND('Job Sheet'!AO13="Yes",(OR(S13="Long Leg Left, Right and Top",S13="Short Leg Left, Right and Top"))),CONCATENATE("2 x ",'Job Sheet'!E13+30," 1 x ",'Job Sheet'!AP13+60),IF(OR(S13="Long Leg Left, Right and Top",S13="Short Leg Left, Right and Top"),CONCATENATE("2 x ",'Job Sheet'!E13+30," 1 x ",'Job Sheet'!D13+60),IF(OR(S13="Long Leg 1 Side",S13="Short Leg 1 Side"),'Job Sheet'!E13+30,""))))</f>
        <v/>
      </c>
      <c r="V13" s="97" t="str">
        <f>IF('Job Sheet'!AV13="Yes","9mm Black Flyscreen","")</f>
        <v/>
      </c>
      <c r="W13" s="97" t="str">
        <f>IF(Data!AV13="","",IF('Job Sheet'!AV13="Yes",VLOOKUP(CONCATENATE('Job Sheet'!AW13,'Job Sheet'!AY13),DogDoor,2,FALSE),""))</f>
        <v/>
      </c>
      <c r="X13" s="97" t="str">
        <f>IF(Data!AV13="","",IF('Job Sheet'!AV13="Yes",VLOOKUP(CONCATENATE('Job Sheet'!AW13,'Job Sheet'!AY13),DogDoor,3,FALSE),""))</f>
        <v/>
      </c>
      <c r="Y13" s="15" t="str">
        <f>'Job Sheet'!BF13</f>
        <v/>
      </c>
      <c r="Z13" s="132">
        <f t="shared" si="0"/>
        <v>3</v>
      </c>
    </row>
    <row r="14" spans="1:26" ht="60" customHeight="1">
      <c r="A14" s="15" t="str">
        <f>IF(Data!AV14="","",Data!AW14)</f>
        <v/>
      </c>
      <c r="B14" s="88" t="str">
        <f>IF(Data!AV14="","",'Job Sheet'!C14)</f>
        <v/>
      </c>
      <c r="C14" s="88" t="str">
        <f>IF(Data!AV14="","",'Mitred Cutting'!D14)</f>
        <v/>
      </c>
      <c r="D14" s="92" t="str">
        <f>IF(A14="","",IF(E14="Bug Strip Frame",CONCATENATE('Job Sheet'!BJ14," &amp; ",'Job Sheet'!BI14-50),'Job Sheet'!BJ14))</f>
        <v/>
      </c>
      <c r="E14" s="177" t="str">
        <f>'Job Sheet'!AL14</f>
        <v/>
      </c>
      <c r="F14" s="92" t="str">
        <f>IF(OR(E14="F &amp; Z Frames",E14="F Frame Only",E14="F &amp; High Step Z Frame"),'Job Sheet'!BI14-50,"")</f>
        <v/>
      </c>
      <c r="G14" s="92" t="str">
        <f>IF(OR(E14="F &amp; Z Frames",E14="F &amp; High Step Z Frame"),'Job Sheet'!BI14-50,"")</f>
        <v/>
      </c>
      <c r="H14" s="92" t="str">
        <f>IF(OR('Job Sheet'!AQ14="H Receiving Channel",'Job Sheet'!AR14="H Receiving Channel"),'Job Sheet'!BI14,"")</f>
        <v/>
      </c>
      <c r="I14" s="92" t="str">
        <f>IF(OR('Job Sheet'!AQ14="U Receiving Channel",'Job Sheet'!AR14="U Receiving Channel"),'Job Sheet'!BI14,"")</f>
        <v/>
      </c>
      <c r="J14" s="92" t="str">
        <f>IF('Job Sheet'!AQ14="T Mullion with Cutouts and 2 Lock Bolts",'Job Sheet'!BI14,"")</f>
        <v/>
      </c>
      <c r="K14" s="170" t="str">
        <f>IF(Data!AV14="","",IF(OR('Job Sheet'!AS14="U Channel",'Job Sheet'!AS14="U Channel &amp; Bottom Fix Bottom Track",'Job Sheet'!AS14="U Channel &amp; Face Fix Bottom Track",'Job Sheet'!AS14="U Channel &amp; H Shaped Bottom Track"),"U Channel",IF('Job Sheet'!AS14="U Channel with Pip &amp; Face Fix Bottom Track","U Channel with Pip","")))</f>
        <v/>
      </c>
      <c r="L14" s="92" t="str">
        <f>IF(Data!AW14="","",IF(OR(K14="U Channel",K14="U Channel with Pip"),'Job Sheet'!AT14,""))</f>
        <v/>
      </c>
      <c r="M14" s="170" t="str">
        <f>IF(OR(Data!AV14="",'Job Sheet'!AS14="U Channel",'Job Sheet'!AS14="No",'Job Sheet'!AS14="Existing Track"),"",IF('Job Sheet'!AS14="U Channel with Pip &amp; Face Fix Bottom Track","Face Fix Bottom Track",'Job Sheet'!AS14))</f>
        <v/>
      </c>
      <c r="N14" s="92" t="str">
        <f>IF(OR(Data!AW14="",M14=""),"",'Job Sheet'!AT14)</f>
        <v/>
      </c>
      <c r="O14" s="178" t="str">
        <f>IF(Data!AW14="","",IF(R14&lt;&gt;"",CONCATENATE('Job Sheet'!BO14," x 4 ",'Job Sheet'!BQ14," x 2 ",'Job Sheet'!BP14," x 2"),IF('Mitred Cutting'!C14="Invisi-Gard",CONCATENATE('Job Sheet'!BO14," x 2 ",'Job Sheet'!BP14," x 2"),"")))</f>
        <v/>
      </c>
      <c r="P14" s="92" t="str">
        <f>IF('Job Sheet'!AK14="Same as Door",C14,'Job Sheet'!AK14)</f>
        <v/>
      </c>
      <c r="Q14" s="92" t="str">
        <f>IF(AND('Mitred Cutting'!C14="Standard",(OR('Job Sheet'!AI14="Yes - Centre",'Job Sheet'!AI14="Yes"))),'Job Sheet'!BH14-115,"")</f>
        <v/>
      </c>
      <c r="R14" s="92" t="str">
        <f>IF(AND('Mitred Cutting'!C14="Invisi-Gard",(OR('Job Sheet'!AI14="Yes - Centre",'Job Sheet'!AI14="Yes"))),'Job Sheet'!BH14-149,"")</f>
        <v/>
      </c>
      <c r="S14" s="97" t="str">
        <f>'Job Sheet'!AM14</f>
        <v/>
      </c>
      <c r="T14" s="97" t="str">
        <f>IF('Job Sheet'!AN14="Same as Door",C14,'Job Sheet'!AN14)</f>
        <v/>
      </c>
      <c r="U14" s="97" t="str">
        <f>IF('Job Sheet'!AO14="Yes, Included in Other Door","Included in Other Door",IF(AND('Job Sheet'!AO14="Yes",(OR(S14="Long Leg Left, Right and Top",S14="Short Leg Left, Right and Top"))),CONCATENATE("2 x ",'Job Sheet'!E14+30," 1 x ",'Job Sheet'!AP14+60),IF(OR(S14="Long Leg Left, Right and Top",S14="Short Leg Left, Right and Top"),CONCATENATE("2 x ",'Job Sheet'!E14+30," 1 x ",'Job Sheet'!D14+60),IF(OR(S14="Long Leg 1 Side",S14="Short Leg 1 Side"),'Job Sheet'!E14+30,""))))</f>
        <v/>
      </c>
      <c r="V14" s="97" t="str">
        <f>IF('Job Sheet'!AV14="Yes","9mm Black Flyscreen","")</f>
        <v/>
      </c>
      <c r="W14" s="97" t="str">
        <f>IF(Data!AV14="","",IF('Job Sheet'!AV14="Yes",VLOOKUP(CONCATENATE('Job Sheet'!AW14,'Job Sheet'!AY14),DogDoor,2,FALSE),""))</f>
        <v/>
      </c>
      <c r="X14" s="97" t="str">
        <f>IF(Data!AV14="","",IF('Job Sheet'!AV14="Yes",VLOOKUP(CONCATENATE('Job Sheet'!AW14,'Job Sheet'!AY14),DogDoor,3,FALSE),""))</f>
        <v/>
      </c>
      <c r="Y14" s="15" t="str">
        <f>'Job Sheet'!BF14</f>
        <v/>
      </c>
      <c r="Z14" s="132" t="str">
        <f t="shared" si="0"/>
        <v/>
      </c>
    </row>
    <row r="15" spans="1:26" ht="60" customHeight="1">
      <c r="A15" s="15" t="str">
        <f>IF(Data!AV15="","",Data!AW15)</f>
        <v/>
      </c>
      <c r="B15" s="88" t="str">
        <f>IF(Data!AV15="","",'Job Sheet'!C15)</f>
        <v/>
      </c>
      <c r="C15" s="88" t="str">
        <f>IF(Data!AV15="","",'Mitred Cutting'!D15)</f>
        <v/>
      </c>
      <c r="D15" s="92" t="str">
        <f>IF(A15="","",IF(E15="Bug Strip Frame",CONCATENATE('Job Sheet'!BJ15," &amp; ",'Job Sheet'!BI15-50),'Job Sheet'!BJ15))</f>
        <v/>
      </c>
      <c r="E15" s="177" t="str">
        <f>'Job Sheet'!AL15</f>
        <v/>
      </c>
      <c r="F15" s="92" t="str">
        <f>IF(OR(E15="F &amp; Z Frames",E15="F Frame Only",E15="F &amp; High Step Z Frame"),'Job Sheet'!BI15-50,"")</f>
        <v/>
      </c>
      <c r="G15" s="92" t="str">
        <f>IF(OR(E15="F &amp; Z Frames",E15="F &amp; High Step Z Frame"),'Job Sheet'!BI15-50,"")</f>
        <v/>
      </c>
      <c r="H15" s="92" t="str">
        <f>IF(OR('Job Sheet'!AQ15="H Receiving Channel",'Job Sheet'!AR15="H Receiving Channel"),'Job Sheet'!BI15,"")</f>
        <v/>
      </c>
      <c r="I15" s="92" t="str">
        <f>IF(OR('Job Sheet'!AQ15="U Receiving Channel",'Job Sheet'!AR15="U Receiving Channel"),'Job Sheet'!BI15,"")</f>
        <v/>
      </c>
      <c r="J15" s="92" t="str">
        <f>IF('Job Sheet'!AQ15="T Mullion with Cutouts and 2 Lock Bolts",'Job Sheet'!BI15,"")</f>
        <v/>
      </c>
      <c r="K15" s="170" t="str">
        <f>IF(Data!AV15="","",IF(OR('Job Sheet'!AS15="U Channel",'Job Sheet'!AS15="U Channel &amp; Bottom Fix Bottom Track",'Job Sheet'!AS15="U Channel &amp; Face Fix Bottom Track",'Job Sheet'!AS15="U Channel &amp; H Shaped Bottom Track"),"U Channel",IF('Job Sheet'!AS15="U Channel with Pip &amp; Face Fix Bottom Track","U Channel with Pip","")))</f>
        <v/>
      </c>
      <c r="L15" s="92" t="str">
        <f>IF(Data!AW15="","",IF(OR(K15="U Channel",K15="U Channel with Pip"),'Job Sheet'!AT15,""))</f>
        <v/>
      </c>
      <c r="M15" s="170" t="str">
        <f>IF(OR(Data!AV15="",'Job Sheet'!AS15="U Channel",'Job Sheet'!AS15="No",'Job Sheet'!AS15="Existing Track"),"",IF('Job Sheet'!AS15="U Channel with Pip &amp; Face Fix Bottom Track","Face Fix Bottom Track",'Job Sheet'!AS15))</f>
        <v/>
      </c>
      <c r="N15" s="92" t="str">
        <f>IF(OR(Data!AW15="",M15=""),"",'Job Sheet'!AT15)</f>
        <v/>
      </c>
      <c r="O15" s="178" t="str">
        <f>IF(Data!AW15="","",IF(R15&lt;&gt;"",CONCATENATE('Job Sheet'!BO15," x 4 ",'Job Sheet'!BQ15," x 2 ",'Job Sheet'!BP15," x 2"),IF('Mitred Cutting'!C15="Invisi-Gard",CONCATENATE('Job Sheet'!BO15," x 2 ",'Job Sheet'!BP15," x 2"),"")))</f>
        <v/>
      </c>
      <c r="P15" s="92" t="str">
        <f>IF('Job Sheet'!AK15="Same as Door",C15,'Job Sheet'!AK15)</f>
        <v/>
      </c>
      <c r="Q15" s="92" t="str">
        <f>IF(AND('Mitred Cutting'!C15="Standard",(OR('Job Sheet'!AI15="Yes - Centre",'Job Sheet'!AI15="Yes"))),'Job Sheet'!BH15-115,"")</f>
        <v/>
      </c>
      <c r="R15" s="92" t="str">
        <f>IF(AND('Mitred Cutting'!C15="Invisi-Gard",(OR('Job Sheet'!AI15="Yes - Centre",'Job Sheet'!AI15="Yes"))),'Job Sheet'!BH15-149,"")</f>
        <v/>
      </c>
      <c r="S15" s="97" t="str">
        <f>'Job Sheet'!AM15</f>
        <v/>
      </c>
      <c r="T15" s="97" t="str">
        <f>IF('Job Sheet'!AN15="Same as Door",C15,'Job Sheet'!AN15)</f>
        <v/>
      </c>
      <c r="U15" s="97" t="str">
        <f>IF('Job Sheet'!AO15="Yes, Included in Other Door","Included in Other Door",IF(AND('Job Sheet'!AO15="Yes",(OR(S15="Long Leg Left, Right and Top",S15="Short Leg Left, Right and Top"))),CONCATENATE("2 x ",'Job Sheet'!E15+30," 1 x ",'Job Sheet'!AP15+60),IF(OR(S15="Long Leg Left, Right and Top",S15="Short Leg Left, Right and Top"),CONCATENATE("2 x ",'Job Sheet'!E15+30," 1 x ",'Job Sheet'!D15+60),IF(OR(S15="Long Leg 1 Side",S15="Short Leg 1 Side"),'Job Sheet'!E15+30,""))))</f>
        <v/>
      </c>
      <c r="V15" s="97" t="str">
        <f>IF('Job Sheet'!AV15="Yes","9mm Black Flyscreen","")</f>
        <v/>
      </c>
      <c r="W15" s="97" t="str">
        <f>IF(Data!AV15="","",IF('Job Sheet'!AV15="Yes",VLOOKUP(CONCATENATE('Job Sheet'!AW15,'Job Sheet'!AY15),DogDoor,2,FALSE),""))</f>
        <v/>
      </c>
      <c r="X15" s="97" t="str">
        <f>IF(Data!AV15="","",IF('Job Sheet'!AV15="Yes",VLOOKUP(CONCATENATE('Job Sheet'!AW15,'Job Sheet'!AY15),DogDoor,3,FALSE),""))</f>
        <v/>
      </c>
      <c r="Y15" s="15" t="str">
        <f>'Job Sheet'!BF15</f>
        <v/>
      </c>
      <c r="Z15" s="132" t="str">
        <f t="shared" si="0"/>
        <v/>
      </c>
    </row>
    <row r="16" spans="1:26" ht="60" customHeight="1">
      <c r="A16" s="15" t="str">
        <f>IF(Data!AV16="","",Data!AW16)</f>
        <v/>
      </c>
      <c r="B16" s="88" t="str">
        <f>IF(Data!AV16="","",'Job Sheet'!C16)</f>
        <v/>
      </c>
      <c r="C16" s="88" t="str">
        <f>IF(Data!AV16="","",'Mitred Cutting'!D16)</f>
        <v/>
      </c>
      <c r="D16" s="92" t="str">
        <f>IF(A16="","",IF(E16="Bug Strip Frame",CONCATENATE('Job Sheet'!BJ16," &amp; ",'Job Sheet'!BI16-50),'Job Sheet'!BJ16))</f>
        <v/>
      </c>
      <c r="E16" s="177" t="str">
        <f>'Job Sheet'!AL16</f>
        <v/>
      </c>
      <c r="F16" s="92" t="str">
        <f>IF(OR(E16="F &amp; Z Frames",E16="F Frame Only",E16="F &amp; High Step Z Frame"),'Job Sheet'!BI16-50,"")</f>
        <v/>
      </c>
      <c r="G16" s="92" t="str">
        <f>IF(OR(E16="F &amp; Z Frames",E16="F &amp; High Step Z Frame"),'Job Sheet'!BI16-50,"")</f>
        <v/>
      </c>
      <c r="H16" s="92" t="str">
        <f>IF(OR('Job Sheet'!AQ16="H Receiving Channel",'Job Sheet'!AR16="H Receiving Channel"),'Job Sheet'!BI16,"")</f>
        <v/>
      </c>
      <c r="I16" s="92" t="str">
        <f>IF(OR('Job Sheet'!AQ16="U Receiving Channel",'Job Sheet'!AR16="U Receiving Channel"),'Job Sheet'!BI16,"")</f>
        <v/>
      </c>
      <c r="J16" s="92" t="str">
        <f>IF('Job Sheet'!AQ16="T Mullion with Cutouts and 2 Lock Bolts",'Job Sheet'!BI16,"")</f>
        <v/>
      </c>
      <c r="K16" s="170" t="str">
        <f>IF(Data!AV16="","",IF(OR('Job Sheet'!AS16="U Channel",'Job Sheet'!AS16="U Channel &amp; Bottom Fix Bottom Track",'Job Sheet'!AS16="U Channel &amp; Face Fix Bottom Track",'Job Sheet'!AS16="U Channel &amp; H Shaped Bottom Track"),"U Channel",IF('Job Sheet'!AS16="U Channel with Pip &amp; Face Fix Bottom Track","U Channel with Pip","")))</f>
        <v/>
      </c>
      <c r="L16" s="92" t="str">
        <f>IF(Data!AW16="","",IF(OR(K16="U Channel",K16="U Channel with Pip"),'Job Sheet'!AT16,""))</f>
        <v/>
      </c>
      <c r="M16" s="170" t="str">
        <f>IF(OR(Data!AV16="",'Job Sheet'!AS16="U Channel",'Job Sheet'!AS16="No",'Job Sheet'!AS16="Existing Track"),"",IF('Job Sheet'!AS16="U Channel with Pip &amp; Face Fix Bottom Track","Face Fix Bottom Track",'Job Sheet'!AS16))</f>
        <v/>
      </c>
      <c r="N16" s="92" t="str">
        <f>IF(OR(Data!AW16="",M16=""),"",'Job Sheet'!AT16)</f>
        <v/>
      </c>
      <c r="O16" s="178" t="str">
        <f>IF(Data!AW16="","",IF(R16&lt;&gt;"",CONCATENATE('Job Sheet'!BO16," x 4 ",'Job Sheet'!BQ16," x 2 ",'Job Sheet'!BP16," x 2"),IF('Mitred Cutting'!C16="Invisi-Gard",CONCATENATE('Job Sheet'!BO16," x 2 ",'Job Sheet'!BP16," x 2"),"")))</f>
        <v/>
      </c>
      <c r="P16" s="92" t="str">
        <f>IF('Job Sheet'!AK16="Same as Door",C16,'Job Sheet'!AK16)</f>
        <v/>
      </c>
      <c r="Q16" s="92" t="str">
        <f>IF(AND('Mitred Cutting'!C16="Standard",(OR('Job Sheet'!AI16="Yes - Centre",'Job Sheet'!AI16="Yes"))),'Job Sheet'!BH16-115,"")</f>
        <v/>
      </c>
      <c r="R16" s="92" t="str">
        <f>IF(AND('Mitred Cutting'!C16="Invisi-Gard",(OR('Job Sheet'!AI16="Yes - Centre",'Job Sheet'!AI16="Yes"))),'Job Sheet'!BH16-149,"")</f>
        <v/>
      </c>
      <c r="S16" s="97" t="str">
        <f>'Job Sheet'!AM16</f>
        <v/>
      </c>
      <c r="T16" s="97" t="str">
        <f>IF('Job Sheet'!AN16="Same as Door",C16,'Job Sheet'!AN16)</f>
        <v/>
      </c>
      <c r="U16" s="97" t="str">
        <f>IF('Job Sheet'!AO16="Yes, Included in Other Door","Included in Other Door",IF(AND('Job Sheet'!AO16="Yes",(OR(S16="Long Leg Left, Right and Top",S16="Short Leg Left, Right and Top"))),CONCATENATE("2 x ",'Job Sheet'!E16+30," 1 x ",'Job Sheet'!AP16+60),IF(OR(S16="Long Leg Left, Right and Top",S16="Short Leg Left, Right and Top"),CONCATENATE("2 x ",'Job Sheet'!E16+30," 1 x ",'Job Sheet'!D16+60),IF(OR(S16="Long Leg 1 Side",S16="Short Leg 1 Side"),'Job Sheet'!E16+30,""))))</f>
        <v/>
      </c>
      <c r="V16" s="97" t="str">
        <f>IF('Job Sheet'!AV16="Yes","9mm Black Flyscreen","")</f>
        <v/>
      </c>
      <c r="W16" s="97" t="str">
        <f>IF(Data!AV16="","",IF('Job Sheet'!AV16="Yes",VLOOKUP(CONCATENATE('Job Sheet'!AW16,'Job Sheet'!AY16),DogDoor,2,FALSE),""))</f>
        <v/>
      </c>
      <c r="X16" s="97" t="str">
        <f>IF(Data!AV16="","",IF('Job Sheet'!AV16="Yes",VLOOKUP(CONCATENATE('Job Sheet'!AW16,'Job Sheet'!AY16),DogDoor,3,FALSE),""))</f>
        <v/>
      </c>
      <c r="Y16" s="15" t="str">
        <f>'Job Sheet'!BF16</f>
        <v/>
      </c>
      <c r="Z16" s="132" t="str">
        <f t="shared" si="0"/>
        <v/>
      </c>
    </row>
    <row r="17" spans="1:26" ht="60" customHeight="1">
      <c r="A17" s="15" t="str">
        <f>IF(Data!AV17="","",Data!AW17)</f>
        <v/>
      </c>
      <c r="B17" s="88" t="str">
        <f>IF(Data!AV17="","",'Job Sheet'!C17)</f>
        <v/>
      </c>
      <c r="C17" s="88" t="str">
        <f>IF(Data!AV17="","",'Mitred Cutting'!D17)</f>
        <v/>
      </c>
      <c r="D17" s="92" t="str">
        <f>IF(A17="","",IF(E17="Bug Strip Frame",CONCATENATE('Job Sheet'!BJ17," &amp; ",'Job Sheet'!BI17-50),'Job Sheet'!BJ17))</f>
        <v/>
      </c>
      <c r="E17" s="177" t="str">
        <f>'Job Sheet'!AL17</f>
        <v/>
      </c>
      <c r="F17" s="92" t="str">
        <f>IF(OR(E17="F &amp; Z Frames",E17="F Frame Only",E17="F &amp; High Step Z Frame"),'Job Sheet'!BI17-50,"")</f>
        <v/>
      </c>
      <c r="G17" s="92" t="str">
        <f>IF(OR(E17="F &amp; Z Frames",E17="F &amp; High Step Z Frame"),'Job Sheet'!BI17-50,"")</f>
        <v/>
      </c>
      <c r="H17" s="92" t="str">
        <f>IF(OR('Job Sheet'!AQ17="H Receiving Channel",'Job Sheet'!AR17="H Receiving Channel"),'Job Sheet'!BI17,"")</f>
        <v/>
      </c>
      <c r="I17" s="92" t="str">
        <f>IF(OR('Job Sheet'!AQ17="U Receiving Channel",'Job Sheet'!AR17="U Receiving Channel"),'Job Sheet'!BI17,"")</f>
        <v/>
      </c>
      <c r="J17" s="92" t="str">
        <f>IF('Job Sheet'!AQ17="T Mullion with Cutouts and 2 Lock Bolts",'Job Sheet'!BI17,"")</f>
        <v/>
      </c>
      <c r="K17" s="170" t="str">
        <f>IF(Data!AV17="","",IF(OR('Job Sheet'!AS17="U Channel",'Job Sheet'!AS17="U Channel &amp; Bottom Fix Bottom Track",'Job Sheet'!AS17="U Channel &amp; Face Fix Bottom Track",'Job Sheet'!AS17="U Channel &amp; H Shaped Bottom Track"),"U Channel",IF('Job Sheet'!AS17="U Channel with Pip &amp; Face Fix Bottom Track","U Channel with Pip","")))</f>
        <v/>
      </c>
      <c r="L17" s="92" t="str">
        <f>IF(Data!AW17="","",IF(OR(K17="U Channel",K17="U Channel with Pip"),'Job Sheet'!AT17,""))</f>
        <v/>
      </c>
      <c r="M17" s="170" t="str">
        <f>IF(OR(Data!AV17="",'Job Sheet'!AS17="U Channel",'Job Sheet'!AS17="No",'Job Sheet'!AS17="Existing Track"),"",IF('Job Sheet'!AS17="U Channel with Pip &amp; Face Fix Bottom Track","Face Fix Bottom Track",'Job Sheet'!AS17))</f>
        <v/>
      </c>
      <c r="N17" s="92" t="str">
        <f>IF(OR(Data!AW17="",M17=""),"",'Job Sheet'!AT17)</f>
        <v/>
      </c>
      <c r="O17" s="178" t="str">
        <f>IF(Data!AW17="","",IF(R17&lt;&gt;"",CONCATENATE('Job Sheet'!BO17," x 4 ",'Job Sheet'!BQ17," x 2 ",'Job Sheet'!BP17," x 2"),IF('Mitred Cutting'!C17="Invisi-Gard",CONCATENATE('Job Sheet'!BO17," x 2 ",'Job Sheet'!BP17," x 2"),"")))</f>
        <v/>
      </c>
      <c r="P17" s="92" t="str">
        <f>IF('Job Sheet'!AK17="Same as Door",C17,'Job Sheet'!AK17)</f>
        <v/>
      </c>
      <c r="Q17" s="92" t="str">
        <f>IF(AND('Mitred Cutting'!C17="Standard",(OR('Job Sheet'!AI17="Yes - Centre",'Job Sheet'!AI17="Yes"))),'Job Sheet'!BH17-115,"")</f>
        <v/>
      </c>
      <c r="R17" s="92" t="str">
        <f>IF(AND('Mitred Cutting'!C17="Invisi-Gard",(OR('Job Sheet'!AI17="Yes - Centre",'Job Sheet'!AI17="Yes"))),'Job Sheet'!BH17-149,"")</f>
        <v/>
      </c>
      <c r="S17" s="97" t="str">
        <f>'Job Sheet'!AM17</f>
        <v/>
      </c>
      <c r="T17" s="97" t="str">
        <f>IF('Job Sheet'!AN17="Same as Door",C17,'Job Sheet'!AN17)</f>
        <v/>
      </c>
      <c r="U17" s="97" t="str">
        <f>IF('Job Sheet'!AO17="Yes, Included in Other Door","Included in Other Door",IF(AND('Job Sheet'!AO17="Yes",(OR(S17="Long Leg Left, Right and Top",S17="Short Leg Left, Right and Top"))),CONCATENATE("2 x ",'Job Sheet'!E17+30," 1 x ",'Job Sheet'!AP17+60),IF(OR(S17="Long Leg Left, Right and Top",S17="Short Leg Left, Right and Top"),CONCATENATE("2 x ",'Job Sheet'!E17+30," 1 x ",'Job Sheet'!D17+60),IF(OR(S17="Long Leg 1 Side",S17="Short Leg 1 Side"),'Job Sheet'!E17+30,""))))</f>
        <v/>
      </c>
      <c r="V17" s="97" t="str">
        <f>IF('Job Sheet'!AV17="Yes","9mm Black Flyscreen","")</f>
        <v/>
      </c>
      <c r="W17" s="97" t="str">
        <f>IF(Data!AV17="","",IF('Job Sheet'!AV17="Yes",VLOOKUP(CONCATENATE('Job Sheet'!AW17,'Job Sheet'!AY17),DogDoor,2,FALSE),""))</f>
        <v/>
      </c>
      <c r="X17" s="97" t="str">
        <f>IF(Data!AV17="","",IF('Job Sheet'!AV17="Yes",VLOOKUP(CONCATENATE('Job Sheet'!AW17,'Job Sheet'!AY17),DogDoor,3,FALSE),""))</f>
        <v/>
      </c>
      <c r="Y17" s="15" t="str">
        <f>'Job Sheet'!BF17</f>
        <v/>
      </c>
      <c r="Z17" s="132" t="str">
        <f t="shared" si="0"/>
        <v/>
      </c>
    </row>
    <row r="18" spans="1:26" ht="60" customHeight="1">
      <c r="A18" s="15" t="str">
        <f>IF(Data!AV18="","",Data!AW18)</f>
        <v/>
      </c>
      <c r="B18" s="88" t="str">
        <f>IF(Data!AV18="","",'Job Sheet'!C18)</f>
        <v/>
      </c>
      <c r="C18" s="88" t="str">
        <f>IF(Data!AV18="","",'Mitred Cutting'!D18)</f>
        <v/>
      </c>
      <c r="D18" s="92" t="str">
        <f>IF(A18="","",IF(E18="Bug Strip Frame",CONCATENATE('Job Sheet'!BJ18," &amp; ",'Job Sheet'!BI18-50),'Job Sheet'!BJ18))</f>
        <v/>
      </c>
      <c r="E18" s="177" t="str">
        <f>'Job Sheet'!AL18</f>
        <v/>
      </c>
      <c r="F18" s="92" t="str">
        <f>IF(OR(E18="F &amp; Z Frames",E18="F Frame Only",E18="F &amp; High Step Z Frame"),'Job Sheet'!BI18-50,"")</f>
        <v/>
      </c>
      <c r="G18" s="92" t="str">
        <f>IF(OR(E18="F &amp; Z Frames",E18="F &amp; High Step Z Frame"),'Job Sheet'!BI18-50,"")</f>
        <v/>
      </c>
      <c r="H18" s="92" t="str">
        <f>IF(OR('Job Sheet'!AQ18="H Receiving Channel",'Job Sheet'!AR18="H Receiving Channel"),'Job Sheet'!BI18,"")</f>
        <v/>
      </c>
      <c r="I18" s="92" t="str">
        <f>IF(OR('Job Sheet'!AQ18="U Receiving Channel",'Job Sheet'!AR18="U Receiving Channel"),'Job Sheet'!BI18,"")</f>
        <v/>
      </c>
      <c r="J18" s="92" t="str">
        <f>IF('Job Sheet'!AQ18="T Mullion with Cutouts and 2 Lock Bolts",'Job Sheet'!BI18,"")</f>
        <v/>
      </c>
      <c r="K18" s="170" t="str">
        <f>IF(Data!AV18="","",IF(OR('Job Sheet'!AS18="U Channel",'Job Sheet'!AS18="U Channel &amp; Bottom Fix Bottom Track",'Job Sheet'!AS18="U Channel &amp; Face Fix Bottom Track",'Job Sheet'!AS18="U Channel &amp; H Shaped Bottom Track"),"U Channel",IF('Job Sheet'!AS18="U Channel with Pip &amp; Face Fix Bottom Track","U Channel with Pip","")))</f>
        <v/>
      </c>
      <c r="L18" s="92" t="str">
        <f>IF(Data!AW18="","",IF(OR(K18="U Channel",K18="U Channel with Pip"),'Job Sheet'!AT18,""))</f>
        <v/>
      </c>
      <c r="M18" s="170" t="str">
        <f>IF(OR(Data!AV18="",'Job Sheet'!AS18="U Channel",'Job Sheet'!AS18="No",'Job Sheet'!AS18="Existing Track"),"",IF('Job Sheet'!AS18="U Channel with Pip &amp; Face Fix Bottom Track","Face Fix Bottom Track",'Job Sheet'!AS18))</f>
        <v/>
      </c>
      <c r="N18" s="92" t="str">
        <f>IF(OR(Data!AW18="",M18=""),"",'Job Sheet'!AT18)</f>
        <v/>
      </c>
      <c r="O18" s="178" t="str">
        <f>IF(Data!AW18="","",IF(R18&lt;&gt;"",CONCATENATE('Job Sheet'!BO18," x 4 ",'Job Sheet'!BQ18," x 2 ",'Job Sheet'!BP18," x 2"),IF('Mitred Cutting'!C18="Invisi-Gard",CONCATENATE('Job Sheet'!BO18," x 2 ",'Job Sheet'!BP18," x 2"),"")))</f>
        <v/>
      </c>
      <c r="P18" s="92" t="str">
        <f>IF('Job Sheet'!AK18="Same as Door",C18,'Job Sheet'!AK18)</f>
        <v/>
      </c>
      <c r="Q18" s="92" t="str">
        <f>IF(AND('Mitred Cutting'!C18="Standard",(OR('Job Sheet'!AI18="Yes - Centre",'Job Sheet'!AI18="Yes"))),'Job Sheet'!BH18-115,"")</f>
        <v/>
      </c>
      <c r="R18" s="92" t="str">
        <f>IF(AND('Mitred Cutting'!C18="Invisi-Gard",(OR('Job Sheet'!AI18="Yes - Centre",'Job Sheet'!AI18="Yes"))),'Job Sheet'!BH18-149,"")</f>
        <v/>
      </c>
      <c r="S18" s="97" t="str">
        <f>'Job Sheet'!AM18</f>
        <v/>
      </c>
      <c r="T18" s="97" t="str">
        <f>IF('Job Sheet'!AN18="Same as Door",C18,'Job Sheet'!AN18)</f>
        <v/>
      </c>
      <c r="U18" s="97" t="str">
        <f>IF('Job Sheet'!AO18="Yes, Included in Other Door","Included in Other Door",IF(AND('Job Sheet'!AO18="Yes",(OR(S18="Long Leg Left, Right and Top",S18="Short Leg Left, Right and Top"))),CONCATENATE("2 x ",'Job Sheet'!E18+30," 1 x ",'Job Sheet'!AP18+60),IF(OR(S18="Long Leg Left, Right and Top",S18="Short Leg Left, Right and Top"),CONCATENATE("2 x ",'Job Sheet'!E18+30," 1 x ",'Job Sheet'!D18+60),IF(OR(S18="Long Leg 1 Side",S18="Short Leg 1 Side"),'Job Sheet'!E18+30,""))))</f>
        <v/>
      </c>
      <c r="V18" s="97" t="str">
        <f>IF('Job Sheet'!AV18="Yes","9mm Black Flyscreen","")</f>
        <v/>
      </c>
      <c r="W18" s="97" t="str">
        <f>IF(Data!AV18="","",IF('Job Sheet'!AV18="Yes",VLOOKUP(CONCATENATE('Job Sheet'!AW18,'Job Sheet'!AY18),DogDoor,2,FALSE),""))</f>
        <v/>
      </c>
      <c r="X18" s="97" t="str">
        <f>IF(Data!AV18="","",IF('Job Sheet'!AV18="Yes",VLOOKUP(CONCATENATE('Job Sheet'!AW18,'Job Sheet'!AY18),DogDoor,3,FALSE),""))</f>
        <v/>
      </c>
      <c r="Y18" s="15" t="str">
        <f>'Job Sheet'!BF18</f>
        <v/>
      </c>
      <c r="Z18" s="132" t="str">
        <f t="shared" si="0"/>
        <v/>
      </c>
    </row>
    <row r="19" spans="1:26" ht="60" customHeight="1">
      <c r="A19" s="15" t="str">
        <f>IF(Data!AV19="","",Data!AW19)</f>
        <v/>
      </c>
      <c r="B19" s="88" t="str">
        <f>IF(Data!AV19="","",'Job Sheet'!C19)</f>
        <v/>
      </c>
      <c r="C19" s="88" t="str">
        <f>IF(Data!AV19="","",'Mitred Cutting'!D19)</f>
        <v/>
      </c>
      <c r="D19" s="92" t="str">
        <f>IF(A19="","",IF(E19="Bug Strip Frame",CONCATENATE('Job Sheet'!BJ19," &amp; ",'Job Sheet'!BI19-50),'Job Sheet'!BJ19))</f>
        <v/>
      </c>
      <c r="E19" s="177" t="str">
        <f>'Job Sheet'!AL19</f>
        <v/>
      </c>
      <c r="F19" s="92" t="str">
        <f>IF(OR(E19="F &amp; Z Frames",E19="F Frame Only",E19="F &amp; High Step Z Frame"),'Job Sheet'!BI19-50,"")</f>
        <v/>
      </c>
      <c r="G19" s="92" t="str">
        <f>IF(OR(E19="F &amp; Z Frames",E19="F &amp; High Step Z Frame"),'Job Sheet'!BI19-50,"")</f>
        <v/>
      </c>
      <c r="H19" s="92" t="str">
        <f>IF(OR('Job Sheet'!AQ19="H Receiving Channel",'Job Sheet'!AR19="H Receiving Channel"),'Job Sheet'!BI19,"")</f>
        <v/>
      </c>
      <c r="I19" s="92" t="str">
        <f>IF(OR('Job Sheet'!AQ19="U Receiving Channel",'Job Sheet'!AR19="U Receiving Channel"),'Job Sheet'!BI19,"")</f>
        <v/>
      </c>
      <c r="J19" s="92" t="str">
        <f>IF('Job Sheet'!AQ19="T Mullion with Cutouts and 2 Lock Bolts",'Job Sheet'!BI19,"")</f>
        <v/>
      </c>
      <c r="K19" s="170" t="str">
        <f>IF(Data!AV19="","",IF(OR('Job Sheet'!AS19="U Channel",'Job Sheet'!AS19="U Channel &amp; Bottom Fix Bottom Track",'Job Sheet'!AS19="U Channel &amp; Face Fix Bottom Track",'Job Sheet'!AS19="U Channel &amp; H Shaped Bottom Track"),"U Channel",IF('Job Sheet'!AS19="U Channel with Pip &amp; Face Fix Bottom Track","U Channel with Pip","")))</f>
        <v/>
      </c>
      <c r="L19" s="92" t="str">
        <f>IF(Data!AW19="","",IF(OR(K19="U Channel",K19="U Channel with Pip"),'Job Sheet'!AT19,""))</f>
        <v/>
      </c>
      <c r="M19" s="170" t="str">
        <f>IF(OR(Data!AV19="",'Job Sheet'!AS19="U Channel",'Job Sheet'!AS19="No",'Job Sheet'!AS19="Existing Track"),"",IF('Job Sheet'!AS19="U Channel with Pip &amp; Face Fix Bottom Track","Face Fix Bottom Track",'Job Sheet'!AS19))</f>
        <v/>
      </c>
      <c r="N19" s="92" t="str">
        <f>IF(OR(Data!AW19="",M19=""),"",'Job Sheet'!AT19)</f>
        <v/>
      </c>
      <c r="O19" s="178" t="str">
        <f>IF(Data!AW19="","",IF(R19&lt;&gt;"",CONCATENATE('Job Sheet'!BO19," x 4 ",'Job Sheet'!BQ19," x 2 ",'Job Sheet'!BP19," x 2"),IF('Mitred Cutting'!C19="Invisi-Gard",CONCATENATE('Job Sheet'!BO19," x 2 ",'Job Sheet'!BP19," x 2"),"")))</f>
        <v/>
      </c>
      <c r="P19" s="92" t="str">
        <f>IF('Job Sheet'!AK19="Same as Door",C19,'Job Sheet'!AK19)</f>
        <v/>
      </c>
      <c r="Q19" s="92" t="str">
        <f>IF(AND('Mitred Cutting'!C19="Standard",(OR('Job Sheet'!AI19="Yes - Centre",'Job Sheet'!AI19="Yes"))),'Job Sheet'!BH19-115,"")</f>
        <v/>
      </c>
      <c r="R19" s="92" t="str">
        <f>IF(AND('Mitred Cutting'!C19="Invisi-Gard",(OR('Job Sheet'!AI19="Yes - Centre",'Job Sheet'!AI19="Yes"))),'Job Sheet'!BH19-149,"")</f>
        <v/>
      </c>
      <c r="S19" s="97" t="str">
        <f>'Job Sheet'!AM19</f>
        <v/>
      </c>
      <c r="T19" s="97" t="str">
        <f>IF('Job Sheet'!AN19="Same as Door",C19,'Job Sheet'!AN19)</f>
        <v/>
      </c>
      <c r="U19" s="97" t="str">
        <f>IF('Job Sheet'!AO19="Yes, Included in Other Door","Included in Other Door",IF(AND('Job Sheet'!AO19="Yes",(OR(S19="Long Leg Left, Right and Top",S19="Short Leg Left, Right and Top"))),CONCATENATE("2 x ",'Job Sheet'!E19+30," 1 x ",'Job Sheet'!AP19+60),IF(OR(S19="Long Leg Left, Right and Top",S19="Short Leg Left, Right and Top"),CONCATENATE("2 x ",'Job Sheet'!E19+30," 1 x ",'Job Sheet'!D19+60),IF(OR(S19="Long Leg 1 Side",S19="Short Leg 1 Side"),'Job Sheet'!E19+30,""))))</f>
        <v/>
      </c>
      <c r="V19" s="97" t="str">
        <f>IF('Job Sheet'!AV19="Yes","9mm Black Flyscreen","")</f>
        <v/>
      </c>
      <c r="W19" s="97" t="str">
        <f>IF(Data!AV19="","",IF('Job Sheet'!AV19="Yes",VLOOKUP(CONCATENATE('Job Sheet'!AW19,'Job Sheet'!AY19),DogDoor,2,FALSE),""))</f>
        <v/>
      </c>
      <c r="X19" s="97" t="str">
        <f>IF(Data!AV19="","",IF('Job Sheet'!AV19="Yes",VLOOKUP(CONCATENATE('Job Sheet'!AW19,'Job Sheet'!AY19),DogDoor,3,FALSE),""))</f>
        <v/>
      </c>
      <c r="Y19" s="15" t="str">
        <f>'Job Sheet'!BF19</f>
        <v/>
      </c>
      <c r="Z19" s="132" t="str">
        <f t="shared" si="0"/>
        <v/>
      </c>
    </row>
    <row r="20" spans="1:26" ht="60" customHeight="1">
      <c r="A20" s="15" t="str">
        <f>IF(Data!AV20="","",Data!AW20)</f>
        <v/>
      </c>
      <c r="B20" s="88" t="str">
        <f>IF(Data!AV20="","",'Job Sheet'!C20)</f>
        <v/>
      </c>
      <c r="C20" s="88" t="str">
        <f>IF(Data!AV20="","",'Mitred Cutting'!D20)</f>
        <v/>
      </c>
      <c r="D20" s="92" t="str">
        <f>IF(A20="","",IF(E20="Bug Strip Frame",CONCATENATE('Job Sheet'!BJ20," &amp; ",'Job Sheet'!BI20-50),'Job Sheet'!BJ20))</f>
        <v/>
      </c>
      <c r="E20" s="177" t="str">
        <f>'Job Sheet'!AL20</f>
        <v/>
      </c>
      <c r="F20" s="92" t="str">
        <f>IF(OR(E20="F &amp; Z Frames",E20="F Frame Only",E20="F &amp; High Step Z Frame"),'Job Sheet'!BI20-50,"")</f>
        <v/>
      </c>
      <c r="G20" s="92" t="str">
        <f>IF(OR(E20="F &amp; Z Frames",E20="F &amp; High Step Z Frame"),'Job Sheet'!BI20-50,"")</f>
        <v/>
      </c>
      <c r="H20" s="92" t="str">
        <f>IF(OR('Job Sheet'!AQ20="H Receiving Channel",'Job Sheet'!AR20="H Receiving Channel"),'Job Sheet'!BI20,"")</f>
        <v/>
      </c>
      <c r="I20" s="92" t="str">
        <f>IF(OR('Job Sheet'!AQ20="U Receiving Channel",'Job Sheet'!AR20="U Receiving Channel"),'Job Sheet'!BI20,"")</f>
        <v/>
      </c>
      <c r="J20" s="92" t="str">
        <f>IF('Job Sheet'!AQ20="T Mullion with Cutouts and 2 Lock Bolts",'Job Sheet'!BI20,"")</f>
        <v/>
      </c>
      <c r="K20" s="170" t="str">
        <f>IF(Data!AV20="","",IF(OR('Job Sheet'!AS20="U Channel",'Job Sheet'!AS20="U Channel &amp; Bottom Fix Bottom Track",'Job Sheet'!AS20="U Channel &amp; Face Fix Bottom Track",'Job Sheet'!AS20="U Channel &amp; H Shaped Bottom Track"),"U Channel",IF('Job Sheet'!AS20="U Channel with Pip &amp; Face Fix Bottom Track","U Channel with Pip","")))</f>
        <v/>
      </c>
      <c r="L20" s="92" t="str">
        <f>IF(Data!AW20="","",IF(OR(K20="U Channel",K20="U Channel with Pip"),'Job Sheet'!AT20,""))</f>
        <v/>
      </c>
      <c r="M20" s="170" t="str">
        <f>IF(OR(Data!AV20="",'Job Sheet'!AS20="U Channel",'Job Sheet'!AS20="No",'Job Sheet'!AS20="Existing Track"),"",IF('Job Sheet'!AS20="U Channel with Pip &amp; Face Fix Bottom Track","Face Fix Bottom Track",'Job Sheet'!AS20))</f>
        <v/>
      </c>
      <c r="N20" s="92" t="str">
        <f>IF(OR(Data!AW20="",M20=""),"",'Job Sheet'!AT20)</f>
        <v/>
      </c>
      <c r="O20" s="178" t="str">
        <f>IF(Data!AW20="","",IF(R20&lt;&gt;"",CONCATENATE('Job Sheet'!BO20," x 4 ",'Job Sheet'!BQ20," x 2 ",'Job Sheet'!BP20," x 2"),IF('Mitred Cutting'!C20="Invisi-Gard",CONCATENATE('Job Sheet'!BO20," x 2 ",'Job Sheet'!BP20," x 2"),"")))</f>
        <v/>
      </c>
      <c r="P20" s="92" t="str">
        <f>IF('Job Sheet'!AK20="Same as Door",C20,'Job Sheet'!AK20)</f>
        <v/>
      </c>
      <c r="Q20" s="92" t="str">
        <f>IF(AND('Mitred Cutting'!C20="Standard",(OR('Job Sheet'!AI20="Yes - Centre",'Job Sheet'!AI20="Yes"))),'Job Sheet'!BH20-115,"")</f>
        <v/>
      </c>
      <c r="R20" s="92" t="str">
        <f>IF(AND('Mitred Cutting'!C20="Invisi-Gard",(OR('Job Sheet'!AI20="Yes - Centre",'Job Sheet'!AI20="Yes"))),'Job Sheet'!BH20-149,"")</f>
        <v/>
      </c>
      <c r="S20" s="97" t="str">
        <f>'Job Sheet'!AM20</f>
        <v/>
      </c>
      <c r="T20" s="97" t="str">
        <f>IF('Job Sheet'!AN20="Same as Door",C20,'Job Sheet'!AN20)</f>
        <v/>
      </c>
      <c r="U20" s="97" t="str">
        <f>IF('Job Sheet'!AO20="Yes, Included in Other Door","Included in Other Door",IF(AND('Job Sheet'!AO20="Yes",(OR(S20="Long Leg Left, Right and Top",S20="Short Leg Left, Right and Top"))),CONCATENATE("2 x ",'Job Sheet'!E20+30," 1 x ",'Job Sheet'!AP20+60),IF(OR(S20="Long Leg Left, Right and Top",S20="Short Leg Left, Right and Top"),CONCATENATE("2 x ",'Job Sheet'!E20+30," 1 x ",'Job Sheet'!D20+60),IF(OR(S20="Long Leg 1 Side",S20="Short Leg 1 Side"),'Job Sheet'!E20+30,""))))</f>
        <v/>
      </c>
      <c r="V20" s="97" t="str">
        <f>IF('Job Sheet'!AV20="Yes","9mm Black Flyscreen","")</f>
        <v/>
      </c>
      <c r="W20" s="97" t="str">
        <f>IF(Data!AV20="","",IF('Job Sheet'!AV20="Yes",VLOOKUP(CONCATENATE('Job Sheet'!AW20,'Job Sheet'!AY20),DogDoor,2,FALSE),""))</f>
        <v/>
      </c>
      <c r="X20" s="97" t="str">
        <f>IF(Data!AV20="","",IF('Job Sheet'!AV20="Yes",VLOOKUP(CONCATENATE('Job Sheet'!AW20,'Job Sheet'!AY20),DogDoor,3,FALSE),""))</f>
        <v/>
      </c>
      <c r="Y20" s="15" t="str">
        <f>'Job Sheet'!BF20</f>
        <v/>
      </c>
      <c r="Z20" s="132" t="str">
        <f t="shared" si="0"/>
        <v/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</sheetData>
  <mergeCells count="50">
    <mergeCell ref="C2:D2"/>
    <mergeCell ref="C3:D3"/>
    <mergeCell ref="H2:N2"/>
    <mergeCell ref="H7:N7"/>
    <mergeCell ref="H6:N6"/>
    <mergeCell ref="H5:N5"/>
    <mergeCell ref="H4:N4"/>
    <mergeCell ref="H3:N3"/>
    <mergeCell ref="C4:D4"/>
    <mergeCell ref="E4:G4"/>
    <mergeCell ref="E5:G7"/>
    <mergeCell ref="Y8:Y10"/>
    <mergeCell ref="T9:T10"/>
    <mergeCell ref="A6:D7"/>
    <mergeCell ref="F9:F10"/>
    <mergeCell ref="D8:R8"/>
    <mergeCell ref="L9:L10"/>
    <mergeCell ref="G9:G10"/>
    <mergeCell ref="H9:H10"/>
    <mergeCell ref="A5:B5"/>
    <mergeCell ref="C5:D5"/>
    <mergeCell ref="N9:N10"/>
    <mergeCell ref="Q9:Q10"/>
    <mergeCell ref="S8:X8"/>
    <mergeCell ref="S9:S10"/>
    <mergeCell ref="U9:U10"/>
    <mergeCell ref="V9:V10"/>
    <mergeCell ref="W9:W10"/>
    <mergeCell ref="A8:A10"/>
    <mergeCell ref="B8:B10"/>
    <mergeCell ref="C8:C10"/>
    <mergeCell ref="M9:M10"/>
    <mergeCell ref="I9:I10"/>
    <mergeCell ref="J9:J10"/>
    <mergeCell ref="A1:Z1"/>
    <mergeCell ref="O2:Z2"/>
    <mergeCell ref="O3:Z7"/>
    <mergeCell ref="Z8:Z10"/>
    <mergeCell ref="D9:D10"/>
    <mergeCell ref="A2:B2"/>
    <mergeCell ref="E2:G2"/>
    <mergeCell ref="A3:B3"/>
    <mergeCell ref="E3:G3"/>
    <mergeCell ref="A4:B4"/>
    <mergeCell ref="X9:X10"/>
    <mergeCell ref="O9:O10"/>
    <mergeCell ref="K9:K10"/>
    <mergeCell ref="R9:R10"/>
    <mergeCell ref="E9:E10"/>
    <mergeCell ref="P9:P10"/>
  </mergeCells>
  <pageMargins left="0.645669291338609" right="0.645669291338609" top="0.236220472440945" bottom="0.236220472440945" header="0.236220472440945" footer="0.236220472440945"/>
  <pageSetup fitToHeight="0" orientation="landscape" paperSize="9" scale="1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7C817-F604-48C4-887E-192404F921DB}">
  <sheetPr codeName="Sheet7">
    <pageSetUpPr fitToPage="1"/>
  </sheetPr>
  <dimension ref="A1:U46"/>
  <sheetViews>
    <sheetView view="pageBreakPreview" zoomScale="50" zoomScaleNormal="50" zoomScaleSheetLayoutView="50" workbookViewId="0" topLeftCell="A2">
      <selection pane="topLeft" activeCell="A11" sqref="A11:XFD20"/>
    </sheetView>
  </sheetViews>
  <sheetFormatPr defaultColWidth="9.109375" defaultRowHeight="13.5"/>
  <cols>
    <col min="1" max="1" width="11.4285714285714" style="57" customWidth="1"/>
    <col min="2" max="2" width="23" style="57" bestFit="1" customWidth="1"/>
    <col min="3" max="3" width="39.2857142857143" style="57" customWidth="1"/>
    <col min="4" max="4" width="18.1428571428571" style="57" customWidth="1"/>
    <col min="5" max="5" width="53.5714285714286" style="57" customWidth="1"/>
    <col min="6" max="6" width="18.7142857142857" style="57" customWidth="1"/>
    <col min="7" max="7" width="15.4285714285714" customWidth="1"/>
    <col min="8" max="8" width="15.2857142857143" customWidth="1"/>
    <col min="9" max="9" width="16.7142857142857" customWidth="1"/>
    <col min="10" max="10" width="15.7142857142857" customWidth="1"/>
    <col min="11" max="11" width="20.7142857142857" customWidth="1"/>
    <col min="12" max="12" width="18.5714285714286" customWidth="1"/>
    <col min="13" max="13" width="87" customWidth="1"/>
    <col min="14" max="14" width="15.7142857142857" customWidth="1"/>
    <col min="16" max="16" width="17.7142857142857" bestFit="1" customWidth="1"/>
    <col min="17" max="17" width="19.5714285714286" bestFit="1" customWidth="1"/>
    <col min="18" max="18" width="22.7142857142857" bestFit="1" customWidth="1"/>
    <col min="19" max="19" width="34.2857142857143" bestFit="1" customWidth="1"/>
    <col min="20" max="20" width="85.1428571428571" bestFit="1" customWidth="1"/>
    <col min="21" max="21" width="16.7142857142857" bestFit="1" customWidth="1"/>
  </cols>
  <sheetData>
    <row r="1" spans="1:14" s="30" customFormat="1" ht="155.4" customHeight="1">
      <c r="A1" s="274" t="s">
        <v>640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</row>
    <row r="2" spans="1:14" s="32" customFormat="1" ht="50.1" customHeight="1">
      <c r="A2" s="2" t="s">
        <v>7</v>
      </c>
      <c r="B2" s="2"/>
      <c r="C2" s="184"/>
      <c r="D2" s="184"/>
      <c r="E2" s="16" t="s">
        <v>118</v>
      </c>
      <c r="F2" s="277" t="str">
        <f>IF(Data!AV11="","",Data!BF5)</f>
        <v>Leurs, Nigel</v>
      </c>
      <c r="G2" s="278"/>
      <c r="H2" s="278"/>
      <c r="I2" s="278"/>
      <c r="J2" s="278"/>
      <c r="K2" s="278"/>
      <c r="L2" s="279"/>
      <c r="M2" s="192" t="s">
        <v>4</v>
      </c>
      <c r="N2" s="194"/>
    </row>
    <row r="3" spans="1:14" s="32" customFormat="1" ht="50.1" customHeight="1">
      <c r="A3" s="2" t="s">
        <v>143</v>
      </c>
      <c r="B3" s="2"/>
      <c r="C3" s="182" t="str">
        <f>IF(Data!AV11="","",Data!BC5)</f>
        <v>12201</v>
      </c>
      <c r="D3" s="182"/>
      <c r="E3" s="20" t="s">
        <v>8</v>
      </c>
      <c r="F3" s="268" t="str">
        <f>IF(Data!AV11="","",Data!AX5)</f>
        <v>Barrier Doors </v>
      </c>
      <c r="G3" s="269"/>
      <c r="H3" s="269"/>
      <c r="I3" s="269"/>
      <c r="J3" s="269"/>
      <c r="K3" s="269"/>
      <c r="L3" s="270"/>
      <c r="M3" s="208" t="str">
        <f>TRIM(Data!BG5)</f>
        <v/>
      </c>
      <c r="N3" s="210"/>
    </row>
    <row r="4" spans="1:14" s="21" customFormat="1" ht="50.1" customHeight="1">
      <c r="A4" s="186" t="s">
        <v>15</v>
      </c>
      <c r="B4" s="186"/>
      <c r="C4" s="182" t="str">
        <f>IF(Data!AV11="","",Data!BD5)</f>
        <v>A</v>
      </c>
      <c r="D4" s="182"/>
      <c r="E4" s="20" t="s">
        <v>137</v>
      </c>
      <c r="F4" s="268" t="str">
        <f>IF(Data!AV11="","",Data!BA5)</f>
        <v>22/09/2026 12:00:00 AM</v>
      </c>
      <c r="G4" s="269"/>
      <c r="H4" s="269"/>
      <c r="I4" s="269"/>
      <c r="J4" s="269"/>
      <c r="K4" s="269"/>
      <c r="L4" s="270"/>
      <c r="M4" s="211"/>
      <c r="N4" s="213"/>
    </row>
    <row r="5" spans="1:14" s="21" customFormat="1" ht="50.1" customHeight="1">
      <c r="A5" s="185" t="s">
        <v>9</v>
      </c>
      <c r="B5" s="185"/>
      <c r="C5" s="1" t="str">
        <f>IF(Data!AV11="","",Data!AY5)</f>
        <v>26/08/2026 12:00:00 AM</v>
      </c>
      <c r="D5" s="1"/>
      <c r="E5" s="182" t="s">
        <v>12</v>
      </c>
      <c r="F5" s="277" t="str">
        <f>TRIM(Data!BF5)</f>
        <v>Leurs, Nigel</v>
      </c>
      <c r="G5" s="278"/>
      <c r="H5" s="278"/>
      <c r="I5" s="278"/>
      <c r="J5" s="278"/>
      <c r="K5" s="278"/>
      <c r="L5" s="279"/>
      <c r="M5" s="211"/>
      <c r="N5" s="213"/>
    </row>
    <row r="6" spans="1:14" s="21" customFormat="1" ht="50.1" customHeight="1">
      <c r="A6" s="188" t="str">
        <f>IF(Data!AV11="","",'Job Sheet'!A6)</f>
        <v>Retail Customer</v>
      </c>
      <c r="B6" s="188"/>
      <c r="C6" s="188"/>
      <c r="D6" s="188"/>
      <c r="E6" s="182"/>
      <c r="F6" s="277" t="str">
        <f>CONCATENATE(Data!BH5," ",Data!BI5," ",Data!BJ5," ",Data!BK5," ",Data!BL5)</f>
        <v xml:space="preserve"> 30  Timbertop Drive </v>
      </c>
      <c r="G6" s="278"/>
      <c r="H6" s="278"/>
      <c r="I6" s="278"/>
      <c r="J6" s="278"/>
      <c r="K6" s="278"/>
      <c r="L6" s="279"/>
      <c r="M6" s="211"/>
      <c r="N6" s="213"/>
    </row>
    <row r="7" spans="1:14" s="21" customFormat="1" ht="50.1" customHeight="1">
      <c r="A7" s="188"/>
      <c r="B7" s="188"/>
      <c r="C7" s="188"/>
      <c r="D7" s="188"/>
      <c r="E7" s="182"/>
      <c r="F7" s="277" t="str">
        <f>CONCATENATE(Data!BM5," ",Data!BN5," ",Data!BO5," ",Data!BP5)</f>
        <v>Mount Helen VIC 3350 Australia</v>
      </c>
      <c r="G7" s="278"/>
      <c r="H7" s="278"/>
      <c r="I7" s="278"/>
      <c r="J7" s="278"/>
      <c r="K7" s="278"/>
      <c r="L7" s="279"/>
      <c r="M7" s="275"/>
      <c r="N7" s="276"/>
    </row>
    <row r="8" spans="1:14" s="61" customFormat="1" ht="50.1" customHeight="1">
      <c r="A8" s="266" t="s">
        <v>142</v>
      </c>
      <c r="B8" s="267" t="s">
        <v>515</v>
      </c>
      <c r="C8" s="267" t="s">
        <v>120</v>
      </c>
      <c r="D8" s="265" t="s">
        <v>167</v>
      </c>
      <c r="E8" s="265" t="s">
        <v>225</v>
      </c>
      <c r="F8" s="265" t="s">
        <v>159</v>
      </c>
      <c r="G8" s="260" t="s">
        <v>469</v>
      </c>
      <c r="H8" s="260" t="s">
        <v>265</v>
      </c>
      <c r="I8" s="260" t="s">
        <v>263</v>
      </c>
      <c r="J8" s="260" t="s">
        <v>264</v>
      </c>
      <c r="K8" s="273" t="s">
        <v>313</v>
      </c>
      <c r="L8" s="271" t="s">
        <v>514</v>
      </c>
      <c r="M8" s="260" t="s">
        <v>5</v>
      </c>
      <c r="N8" s="260" t="s">
        <v>487</v>
      </c>
    </row>
    <row r="9" spans="1:14" s="62" customFormat="1" ht="64.2" customHeight="1">
      <c r="A9" s="266"/>
      <c r="B9" s="267"/>
      <c r="C9" s="267"/>
      <c r="D9" s="265"/>
      <c r="E9" s="265"/>
      <c r="F9" s="265"/>
      <c r="G9" s="260"/>
      <c r="H9" s="260"/>
      <c r="I9" s="260"/>
      <c r="J9" s="260"/>
      <c r="K9" s="273"/>
      <c r="L9" s="272"/>
      <c r="M9" s="260"/>
      <c r="N9" s="260"/>
    </row>
    <row r="10" spans="1:14" s="62" customFormat="1" ht="7.5" customHeight="1" hidden="1">
      <c r="A10" s="85"/>
      <c r="B10" s="88" t="e">
        <f>IF(Data!AV11="","",'Job Sheet'!CL11)</f>
        <v>#N/A</v>
      </c>
      <c r="C10" s="86"/>
      <c r="D10" s="128"/>
      <c r="E10" s="128"/>
      <c r="F10" s="128"/>
      <c r="G10" s="55" t="str">
        <f t="array" ref="G10">bpLOOKUP(Data!$AV10,"HINGESIDE",CustOrdOpt,6,FALSE)</f>
        <v/>
      </c>
      <c r="H10" s="108"/>
      <c r="I10" s="108"/>
      <c r="J10" s="108"/>
      <c r="K10" s="120"/>
      <c r="L10" s="108"/>
      <c r="M10" s="18"/>
      <c r="N10" s="109"/>
    </row>
    <row r="11" spans="1:21" s="37" customFormat="1" ht="81">
      <c r="A11" s="110">
        <f>IF(Data!AV11="","",Data!AW11)</f>
        <v>1</v>
      </c>
      <c r="B11" s="161" t="str">
        <f>IF(Data!AV11="","",VLOOKUP(CONCATENATE(D11,E11,F11,'Job Sheet'!V11),PunchingProcedure,2,FALSE))</f>
        <v>D</v>
      </c>
      <c r="C11" s="111" t="str">
        <f>IF(Data!AV11="","",'Job Sheet'!C11)</f>
        <v>Rumpus</v>
      </c>
      <c r="D11" s="129" t="str">
        <f>'Job Sheet'!J11</f>
        <v>Sliding</v>
      </c>
      <c r="E11" s="129" t="str">
        <f>'Mitred Cutting'!C11</f>
        <v>Standard</v>
      </c>
      <c r="F11" s="129" t="str">
        <f>IF('Job Sheet'!M11="Push 2 Go Single Lock","Single Lock",IF(OR('Job Sheet'!M11="Push 2 Go Triple Lock",'Job Sheet'!M11="Ultra Secua Digital Triple Lock"),"Triple Lock",'Job Sheet'!M11))</f>
        <v>Single Lock</v>
      </c>
      <c r="G11" s="112" t="str">
        <f>IF('Job Sheet'!Y11="Right","Left",IF('Job Sheet'!Y11="Left","Right",'Job Sheet'!P11))</f>
        <v>Left</v>
      </c>
      <c r="H11" s="112" t="str">
        <f>IF(OR(Data!AV11="",'Job Sheet'!CK11=""),"",IF(AND('Job Sheet'!F11="Opening",'Job Sheet'!S11&lt;&gt;""),'Job Sheet'!S11-7,IF('Job Sheet'!S11&lt;&gt;"",'Job Sheet'!S11,IF(OR(K11="Hinged Adjustable",K11="Sliding Adjustable"),200,IF(OR('Job Sheet'!CK11="Hinged High",'Job Sheet'!CK11="Sliding High",'Job Sheet'!CK11="Stacker High"),'Job Sheet'!BY11,IF(OR('Job Sheet'!CK11="Hinged Low",'Job Sheet'!CK11="Sliding Low",'Job Sheet'!CK11="Stacker Low"),'Job Sheet'!CC11,IF(OR('Job Sheet'!CK11="Hinged Pool",'Job Sheet'!CK11="Sliding Pool",'Job Sheet'!CK11="Stacker Pool"),'Job Sheet'!CG11,"")))))))</f>
        <v/>
      </c>
      <c r="I11" s="112">
        <f>IF(AND('Job Sheet'!J11="Hinged",'Job Sheet'!M11="Not Required"),CONCATENATE('Job Sheet'!BX11+32," Single Punch"),'Job Sheet'!BX11)</f>
        <v>1205</v>
      </c>
      <c r="J11" s="112" t="str">
        <f>IF(OR(Data!AV11="",'Job Sheet'!CK11=""),"",IF(AND('Job Sheet'!T11&lt;&gt;"",'Job Sheet'!F11="Opening"),'Job Sheet'!T11-7,IF('Job Sheet'!T11&lt;&gt;"",'Job Sheet'!T11,IF(OR(K11="Hinged Adjustable",K11="Sliding Adjustable"),'Job Sheet'!BI11-200,IF(OR('Job Sheet'!CK11="Hinged High",'Job Sheet'!CK11="Sliding High",'Job Sheet'!CK11="Stacker High"),'Job Sheet'!BZ11,IF(OR('Job Sheet'!CK11="Hinged Low",'Job Sheet'!CK11="Sliding Low",'Job Sheet'!CK11="Stacker Low"),'Job Sheet'!CD11,IF(OR('Job Sheet'!CK11="Hinged Pool",'Job Sheet'!CK11="Sliding Pool",'Job Sheet'!CK11="Stacker Pool"),'Job Sheet'!CH11,"")))))))</f>
        <v/>
      </c>
      <c r="K11" s="121" t="str">
        <f>'Job Sheet'!BU11</f>
        <v/>
      </c>
      <c r="L11" s="112" t="str">
        <f>IF(OR(D11="Sliding",D11="Stacker"),"150mm Top &amp; Bottom","")</f>
        <v>150mm Top &amp; Bottom</v>
      </c>
      <c r="M11" s="112" t="str">
        <f>'Job Sheet'!BF11</f>
        <v/>
      </c>
      <c r="N11" s="131">
        <f>A11</f>
        <v>1</v>
      </c>
      <c r="P11" s="160" t="s">
        <v>167</v>
      </c>
      <c r="Q11" s="160" t="s">
        <v>225</v>
      </c>
      <c r="R11" s="160" t="s">
        <v>159</v>
      </c>
      <c r="S11" s="69" t="s">
        <v>650</v>
      </c>
      <c r="T11" s="160" t="s">
        <v>643</v>
      </c>
      <c r="U11" s="160" t="s">
        <v>515</v>
      </c>
    </row>
    <row r="12" spans="1:21" s="37" customFormat="1" ht="60" customHeight="1">
      <c r="A12" s="110">
        <f>IF(Data!AV12="","",Data!AW12)</f>
        <v>2</v>
      </c>
      <c r="B12" s="161" t="str">
        <f>IF(Data!AV12="","",VLOOKUP(CONCATENATE(D12,E12,F12,'Job Sheet'!V12),PunchingProcedure,2,FALSE))</f>
        <v>A</v>
      </c>
      <c r="C12" s="111" t="str">
        <f>IF(Data!AV12="","",'Job Sheet'!C12)</f>
        <v>Laundry</v>
      </c>
      <c r="D12" s="129" t="str">
        <f>'Job Sheet'!J12</f>
        <v>Hinged</v>
      </c>
      <c r="E12" s="129" t="str">
        <f>'Mitred Cutting'!C12</f>
        <v>Standard</v>
      </c>
      <c r="F12" s="129" t="str">
        <f>IF('Job Sheet'!M12="Push 2 Go Single Lock","Single Lock",IF(OR('Job Sheet'!M12="Push 2 Go Triple Lock",'Job Sheet'!M12="Ultra Secua Digital Triple Lock"),"Triple Lock",'Job Sheet'!M12))</f>
        <v>Single Lock</v>
      </c>
      <c r="G12" s="112" t="str">
        <f>IF('Job Sheet'!Y12="Right","Left",IF('Job Sheet'!Y12="Left","Right",'Job Sheet'!P12))</f>
        <v>Right</v>
      </c>
      <c r="H12" s="112" t="str">
        <f>IF(OR(Data!AV12="",'Job Sheet'!CK12=""),"",IF(AND('Job Sheet'!F12="Opening",'Job Sheet'!S12&lt;&gt;""),'Job Sheet'!S12-7,IF('Job Sheet'!S12&lt;&gt;"",'Job Sheet'!S12,IF(OR(K12="Hinged Adjustable",K12="Sliding Adjustable"),200,IF(OR('Job Sheet'!CK12="Hinged High",'Job Sheet'!CK12="Sliding High",'Job Sheet'!CK12="Stacker High"),'Job Sheet'!BY12,IF(OR('Job Sheet'!CK12="Hinged Low",'Job Sheet'!CK12="Sliding Low",'Job Sheet'!CK12="Stacker Low"),'Job Sheet'!CC12,IF(OR('Job Sheet'!CK12="Hinged Pool",'Job Sheet'!CK12="Sliding Pool",'Job Sheet'!CK12="Stacker Pool"),'Job Sheet'!CG12,"")))))))</f>
        <v/>
      </c>
      <c r="I12" s="112">
        <f>IF(AND('Job Sheet'!J12="Hinged",'Job Sheet'!M12="Not Required"),CONCATENATE('Job Sheet'!BX12+32," Single Punch"),'Job Sheet'!BX12)</f>
        <v>1068</v>
      </c>
      <c r="J12" s="112" t="str">
        <f>IF(OR(Data!AV12="",'Job Sheet'!CK12=""),"",IF(AND('Job Sheet'!T12&lt;&gt;"",'Job Sheet'!F12="Opening"),'Job Sheet'!T12-7,IF('Job Sheet'!T12&lt;&gt;"",'Job Sheet'!T12,IF(OR(K12="Hinged Adjustable",K12="Sliding Adjustable"),'Job Sheet'!BI12-200,IF(OR('Job Sheet'!CK12="Hinged High",'Job Sheet'!CK12="Sliding High",'Job Sheet'!CK12="Stacker High"),'Job Sheet'!BZ12,IF(OR('Job Sheet'!CK12="Hinged Low",'Job Sheet'!CK12="Sliding Low",'Job Sheet'!CK12="Stacker Low"),'Job Sheet'!CD12,IF(OR('Job Sheet'!CK12="Hinged Pool",'Job Sheet'!CK12="Sliding Pool",'Job Sheet'!CK12="Stacker Pool"),'Job Sheet'!CH12,"")))))))</f>
        <v/>
      </c>
      <c r="K12" s="121" t="str">
        <f>IF(F12="Ultra Secua Digital Triple Lock","Hinged Adjustable",'Job Sheet'!BU12)</f>
        <v/>
      </c>
      <c r="L12" s="112" t="str">
        <f t="shared" si="0" ref="L12:L20">IF(OR(D12="Sliding",D12="Stacker"),"150mm Top &amp; Bottom","")</f>
        <v/>
      </c>
      <c r="M12" s="112" t="str">
        <f>'Job Sheet'!BF12</f>
        <v/>
      </c>
      <c r="N12" s="131">
        <f t="shared" si="1" ref="N12:N20">A12</f>
        <v>2</v>
      </c>
      <c r="P12" s="159" t="s">
        <v>178</v>
      </c>
      <c r="Q12" s="159" t="s">
        <v>234</v>
      </c>
      <c r="R12" s="159" t="s">
        <v>279</v>
      </c>
      <c r="S12" s="159"/>
      <c r="T12" s="159" t="str">
        <f>CONCATENATE(P12,Q12,R12,S12)</f>
        <v>HingedStandardSingle Lock</v>
      </c>
      <c r="U12" s="160" t="s">
        <v>153</v>
      </c>
    </row>
    <row r="13" spans="1:21" s="37" customFormat="1" ht="81">
      <c r="A13" s="110">
        <f>IF(Data!AV13="","",Data!AW13)</f>
        <v>3</v>
      </c>
      <c r="B13" s="161" t="str">
        <f>IF(Data!AV13="","",VLOOKUP(CONCATENATE(D13,E13,F13,'Job Sheet'!V13),PunchingProcedure,2,FALSE))</f>
        <v>D</v>
      </c>
      <c r="C13" s="111" t="str">
        <f>IF(Data!AV13="","",'Job Sheet'!C13)</f>
        <v>Kitchen</v>
      </c>
      <c r="D13" s="129" t="str">
        <f>'Job Sheet'!J13</f>
        <v>Sliding</v>
      </c>
      <c r="E13" s="129" t="str">
        <f>'Mitred Cutting'!C13</f>
        <v>Standard</v>
      </c>
      <c r="F13" s="129" t="str">
        <f>IF('Job Sheet'!M13="Push 2 Go Single Lock","Single Lock",IF(OR('Job Sheet'!M13="Push 2 Go Triple Lock",'Job Sheet'!M13="Ultra Secua Digital Triple Lock"),"Triple Lock",'Job Sheet'!M13))</f>
        <v>Single Lock</v>
      </c>
      <c r="G13" s="112" t="str">
        <f>IF('Job Sheet'!Y13="Right","Left",IF('Job Sheet'!Y13="Left","Right",'Job Sheet'!P13))</f>
        <v>Right</v>
      </c>
      <c r="H13" s="112" t="str">
        <f>IF(OR(Data!AV13="",'Job Sheet'!CK13=""),"",IF(AND('Job Sheet'!F13="Opening",'Job Sheet'!S13&lt;&gt;""),'Job Sheet'!S13-7,IF('Job Sheet'!S13&lt;&gt;"",'Job Sheet'!S13,IF(OR(K13="Hinged Adjustable",K13="Sliding Adjustable"),200,IF(OR('Job Sheet'!CK13="Hinged High",'Job Sheet'!CK13="Sliding High",'Job Sheet'!CK13="Stacker High"),'Job Sheet'!BY13,IF(OR('Job Sheet'!CK13="Hinged Low",'Job Sheet'!CK13="Sliding Low",'Job Sheet'!CK13="Stacker Low"),'Job Sheet'!CC13,IF(OR('Job Sheet'!CK13="Hinged Pool",'Job Sheet'!CK13="Sliding Pool",'Job Sheet'!CK13="Stacker Pool"),'Job Sheet'!CG13,"")))))))</f>
        <v/>
      </c>
      <c r="I13" s="112">
        <f>IF(AND('Job Sheet'!J13="Hinged",'Job Sheet'!M13="Not Required"),CONCATENATE('Job Sheet'!BX13+32," Single Punch"),'Job Sheet'!BX13)</f>
        <v>1245</v>
      </c>
      <c r="J13" s="112" t="str">
        <f>IF(OR(Data!AV13="",'Job Sheet'!CK13=""),"",IF(AND('Job Sheet'!T13&lt;&gt;"",'Job Sheet'!F13="Opening"),'Job Sheet'!T13-7,IF('Job Sheet'!T13&lt;&gt;"",'Job Sheet'!T13,IF(OR(K13="Hinged Adjustable",K13="Sliding Adjustable"),'Job Sheet'!BI13-200,IF(OR('Job Sheet'!CK13="Hinged High",'Job Sheet'!CK13="Sliding High",'Job Sheet'!CK13="Stacker High"),'Job Sheet'!BZ13,IF(OR('Job Sheet'!CK13="Hinged Low",'Job Sheet'!CK13="Sliding Low",'Job Sheet'!CK13="Stacker Low"),'Job Sheet'!CD13,IF(OR('Job Sheet'!CK13="Hinged Pool",'Job Sheet'!CK13="Sliding Pool",'Job Sheet'!CK13="Stacker Pool"),'Job Sheet'!CH13,"")))))))</f>
        <v/>
      </c>
      <c r="K13" s="121" t="str">
        <f>IF(F13="Ultra Secua Digital Triple Lock","Hinged Adjustable",'Job Sheet'!BU13)</f>
        <v/>
      </c>
      <c r="L13" s="112" t="str">
        <f t="shared" si="0"/>
        <v>150mm Top &amp; Bottom</v>
      </c>
      <c r="M13" s="112" t="str">
        <f>'Job Sheet'!BF13</f>
        <v/>
      </c>
      <c r="N13" s="131">
        <f t="shared" si="1"/>
        <v>3</v>
      </c>
      <c r="P13" s="159" t="s">
        <v>178</v>
      </c>
      <c r="Q13" s="159" t="s">
        <v>234</v>
      </c>
      <c r="R13" s="159" t="s">
        <v>275</v>
      </c>
      <c r="S13" s="159"/>
      <c r="T13" s="159" t="str">
        <f>CONCATENATE(P13,Q13,R13,S13)</f>
        <v>HingedStandardTriple Lock</v>
      </c>
      <c r="U13" s="160" t="s">
        <v>516</v>
      </c>
    </row>
    <row r="14" spans="1:21" s="37" customFormat="1" ht="60" customHeight="1">
      <c r="A14" s="110" t="str">
        <f>IF(Data!AV14="","",Data!AW14)</f>
        <v/>
      </c>
      <c r="B14" s="161" t="str">
        <f>IF(Data!AV14="","",VLOOKUP(CONCATENATE(D14,E14,F14,'Job Sheet'!V14),PunchingProcedure,2,FALSE))</f>
        <v/>
      </c>
      <c r="C14" s="111" t="str">
        <f>IF(Data!AV14="","",'Job Sheet'!C14)</f>
        <v/>
      </c>
      <c r="D14" s="129" t="str">
        <f>'Job Sheet'!J14</f>
        <v/>
      </c>
      <c r="E14" s="129" t="str">
        <f>'Mitred Cutting'!C14</f>
        <v/>
      </c>
      <c r="F14" s="129" t="str">
        <f>IF('Job Sheet'!M14="Push 2 Go Single Lock","Single Lock",IF(OR('Job Sheet'!M14="Push 2 Go Triple Lock",'Job Sheet'!M14="Ultra Secua Digital Triple Lock"),"Triple Lock",'Job Sheet'!M14))</f>
        <v/>
      </c>
      <c r="G14" s="112" t="str">
        <f>IF('Job Sheet'!Y14="Right","Left",IF('Job Sheet'!Y14="Left","Right",'Job Sheet'!P14))</f>
        <v/>
      </c>
      <c r="H14" s="112" t="str">
        <f>IF(OR(Data!AV14="",'Job Sheet'!CK14=""),"",IF(AND('Job Sheet'!F14="Opening",'Job Sheet'!S14&lt;&gt;""),'Job Sheet'!S14-7,IF('Job Sheet'!S14&lt;&gt;"",'Job Sheet'!S14,IF(OR(K14="Hinged Adjustable",K14="Sliding Adjustable"),200,IF(OR('Job Sheet'!CK14="Hinged High",'Job Sheet'!CK14="Sliding High",'Job Sheet'!CK14="Stacker High"),'Job Sheet'!BY14,IF(OR('Job Sheet'!CK14="Hinged Low",'Job Sheet'!CK14="Sliding Low",'Job Sheet'!CK14="Stacker Low"),'Job Sheet'!CC14,IF(OR('Job Sheet'!CK14="Hinged Pool",'Job Sheet'!CK14="Sliding Pool",'Job Sheet'!CK14="Stacker Pool"),'Job Sheet'!CG14,"")))))))</f>
        <v/>
      </c>
      <c r="I14" s="112" t="str">
        <f>IF(AND('Job Sheet'!J14="Hinged",'Job Sheet'!M14="Not Required"),CONCATENATE('Job Sheet'!BX14+32," Single Punch"),'Job Sheet'!BX14)</f>
        <v/>
      </c>
      <c r="J14" s="112" t="str">
        <f>IF(OR(Data!AV14="",'Job Sheet'!CK14=""),"",IF(AND('Job Sheet'!T14&lt;&gt;"",'Job Sheet'!F14="Opening"),'Job Sheet'!T14-7,IF('Job Sheet'!T14&lt;&gt;"",'Job Sheet'!T14,IF(OR(K14="Hinged Adjustable",K14="Sliding Adjustable"),'Job Sheet'!BI14-200,IF(OR('Job Sheet'!CK14="Hinged High",'Job Sheet'!CK14="Sliding High",'Job Sheet'!CK14="Stacker High"),'Job Sheet'!BZ14,IF(OR('Job Sheet'!CK14="Hinged Low",'Job Sheet'!CK14="Sliding Low",'Job Sheet'!CK14="Stacker Low"),'Job Sheet'!CD14,IF(OR('Job Sheet'!CK14="Hinged Pool",'Job Sheet'!CK14="Sliding Pool",'Job Sheet'!CK14="Stacker Pool"),'Job Sheet'!CH14,"")))))))</f>
        <v/>
      </c>
      <c r="K14" s="121" t="str">
        <f>IF(F14="Ultra Secua Digital Triple Lock","Hinged Adjustable",'Job Sheet'!BU14)</f>
        <v/>
      </c>
      <c r="L14" s="112" t="str">
        <f t="shared" si="0"/>
        <v/>
      </c>
      <c r="M14" s="112" t="str">
        <f>'Job Sheet'!BF14</f>
        <v/>
      </c>
      <c r="N14" s="131" t="str">
        <f t="shared" si="1"/>
        <v/>
      </c>
      <c r="P14" s="159" t="s">
        <v>178</v>
      </c>
      <c r="Q14" s="159" t="s">
        <v>235</v>
      </c>
      <c r="R14" s="159" t="s">
        <v>275</v>
      </c>
      <c r="S14" s="159"/>
      <c r="T14" s="159" t="str">
        <f>CONCATENATE(P14,Q14,R14,S14)</f>
        <v>HingedInvisi-GardTriple Lock</v>
      </c>
      <c r="U14" s="160" t="s">
        <v>517</v>
      </c>
    </row>
    <row r="15" spans="1:21" s="37" customFormat="1" ht="60" customHeight="1">
      <c r="A15" s="110" t="str">
        <f>IF(Data!AV15="","",Data!AW15)</f>
        <v/>
      </c>
      <c r="B15" s="161" t="str">
        <f>IF(Data!AV15="","",VLOOKUP(CONCATENATE(D15,E15,F15,'Job Sheet'!V15),PunchingProcedure,2,FALSE))</f>
        <v/>
      </c>
      <c r="C15" s="111" t="str">
        <f>IF(Data!AV15="","",'Job Sheet'!C15)</f>
        <v/>
      </c>
      <c r="D15" s="129" t="str">
        <f>'Job Sheet'!J15</f>
        <v/>
      </c>
      <c r="E15" s="129" t="str">
        <f>'Mitred Cutting'!C15</f>
        <v/>
      </c>
      <c r="F15" s="129" t="str">
        <f>IF('Job Sheet'!M15="Push 2 Go Single Lock","Single Lock",IF(OR('Job Sheet'!M15="Push 2 Go Triple Lock",'Job Sheet'!M15="Ultra Secua Digital Triple Lock"),"Triple Lock",'Job Sheet'!M15))</f>
        <v/>
      </c>
      <c r="G15" s="112" t="str">
        <f>IF('Job Sheet'!Y15="Right","Left",IF('Job Sheet'!Y15="Left","Right",'Job Sheet'!P15))</f>
        <v/>
      </c>
      <c r="H15" s="112" t="str">
        <f>IF(OR(Data!AV15="",'Job Sheet'!CK15=""),"",IF(AND('Job Sheet'!F15="Opening",'Job Sheet'!S15&lt;&gt;""),'Job Sheet'!S15-7,IF('Job Sheet'!S15&lt;&gt;"",'Job Sheet'!S15,IF(OR(K15="Hinged Adjustable",K15="Sliding Adjustable"),200,IF(OR('Job Sheet'!CK15="Hinged High",'Job Sheet'!CK15="Sliding High",'Job Sheet'!CK15="Stacker High"),'Job Sheet'!BY15,IF(OR('Job Sheet'!CK15="Hinged Low",'Job Sheet'!CK15="Sliding Low",'Job Sheet'!CK15="Stacker Low"),'Job Sheet'!CC15,IF(OR('Job Sheet'!CK15="Hinged Pool",'Job Sheet'!CK15="Sliding Pool",'Job Sheet'!CK15="Stacker Pool"),'Job Sheet'!CG15,"")))))))</f>
        <v/>
      </c>
      <c r="I15" s="112" t="str">
        <f>IF(AND('Job Sheet'!J15="Hinged",'Job Sheet'!M15="Not Required"),CONCATENATE('Job Sheet'!BX15+32," Single Punch"),'Job Sheet'!BX15)</f>
        <v/>
      </c>
      <c r="J15" s="112" t="str">
        <f>IF(OR(Data!AV15="",'Job Sheet'!CK15=""),"",IF(AND('Job Sheet'!T15&lt;&gt;"",'Job Sheet'!F15="Opening"),'Job Sheet'!T15-7,IF('Job Sheet'!T15&lt;&gt;"",'Job Sheet'!T15,IF(OR(K15="Hinged Adjustable",K15="Sliding Adjustable"),'Job Sheet'!BI15-200,IF(OR('Job Sheet'!CK15="Hinged High",'Job Sheet'!CK15="Sliding High",'Job Sheet'!CK15="Stacker High"),'Job Sheet'!BZ15,IF(OR('Job Sheet'!CK15="Hinged Low",'Job Sheet'!CK15="Sliding Low",'Job Sheet'!CK15="Stacker Low"),'Job Sheet'!CD15,IF(OR('Job Sheet'!CK15="Hinged Pool",'Job Sheet'!CK15="Sliding Pool",'Job Sheet'!CK15="Stacker Pool"),'Job Sheet'!CH15,"")))))))</f>
        <v/>
      </c>
      <c r="K15" s="121" t="str">
        <f>IF(F15="Ultra Secua Digital Triple Lock","Hinged Adjustable",'Job Sheet'!BU15)</f>
        <v/>
      </c>
      <c r="L15" s="112" t="str">
        <f t="shared" si="0"/>
        <v/>
      </c>
      <c r="M15" s="112" t="str">
        <f>'Job Sheet'!BF15</f>
        <v/>
      </c>
      <c r="N15" s="131" t="str">
        <f t="shared" si="1"/>
        <v/>
      </c>
      <c r="P15" s="159" t="s">
        <v>179</v>
      </c>
      <c r="Q15" s="159" t="s">
        <v>234</v>
      </c>
      <c r="R15" s="159" t="s">
        <v>279</v>
      </c>
      <c r="S15" s="159"/>
      <c r="T15" s="159" t="str">
        <f t="shared" si="2" ref="T15:T21">CONCATENATE(P15,Q15,R15,S15)</f>
        <v>SlidingStandardSingle Lock</v>
      </c>
      <c r="U15" s="160" t="s">
        <v>518</v>
      </c>
    </row>
    <row r="16" spans="1:21" s="37" customFormat="1" ht="60" customHeight="1">
      <c r="A16" s="110" t="str">
        <f>IF(Data!AV16="","",Data!AW16)</f>
        <v/>
      </c>
      <c r="B16" s="161" t="str">
        <f>IF(Data!AV16="","",VLOOKUP(CONCATENATE(D16,E16,F16,'Job Sheet'!V16),PunchingProcedure,2,FALSE))</f>
        <v/>
      </c>
      <c r="C16" s="111" t="str">
        <f>IF(Data!AV16="","",'Job Sheet'!C16)</f>
        <v/>
      </c>
      <c r="D16" s="129" t="str">
        <f>'Job Sheet'!J16</f>
        <v/>
      </c>
      <c r="E16" s="129" t="str">
        <f>'Mitred Cutting'!C16</f>
        <v/>
      </c>
      <c r="F16" s="129" t="str">
        <f>IF('Job Sheet'!M16="Push 2 Go Single Lock","Single Lock",IF(OR('Job Sheet'!M16="Push 2 Go Triple Lock",'Job Sheet'!M16="Ultra Secua Digital Triple Lock"),"Triple Lock",'Job Sheet'!M16))</f>
        <v/>
      </c>
      <c r="G16" s="112" t="str">
        <f>IF('Job Sheet'!Y16="Right","Left",IF('Job Sheet'!Y16="Left","Right",'Job Sheet'!P16))</f>
        <v/>
      </c>
      <c r="H16" s="112" t="str">
        <f>IF(OR(Data!AV16="",'Job Sheet'!CK16=""),"",IF(AND('Job Sheet'!F16="Opening",'Job Sheet'!S16&lt;&gt;""),'Job Sheet'!S16-7,IF('Job Sheet'!S16&lt;&gt;"",'Job Sheet'!S16,IF(OR(K16="Hinged Adjustable",K16="Sliding Adjustable"),200,IF(OR('Job Sheet'!CK16="Hinged High",'Job Sheet'!CK16="Sliding High",'Job Sheet'!CK16="Stacker High"),'Job Sheet'!BY16,IF(OR('Job Sheet'!CK16="Hinged Low",'Job Sheet'!CK16="Sliding Low",'Job Sheet'!CK16="Stacker Low"),'Job Sheet'!CC16,IF(OR('Job Sheet'!CK16="Hinged Pool",'Job Sheet'!CK16="Sliding Pool",'Job Sheet'!CK16="Stacker Pool"),'Job Sheet'!CG16,"")))))))</f>
        <v/>
      </c>
      <c r="I16" s="112" t="str">
        <f>IF(AND('Job Sheet'!J16="Hinged",'Job Sheet'!M16="Not Required"),CONCATENATE('Job Sheet'!BX16+32," Single Punch"),'Job Sheet'!BX16)</f>
        <v/>
      </c>
      <c r="J16" s="112" t="str">
        <f>IF(OR(Data!AV16="",'Job Sheet'!CK16=""),"",IF(AND('Job Sheet'!T16&lt;&gt;"",'Job Sheet'!F16="Opening"),'Job Sheet'!T16-7,IF('Job Sheet'!T16&lt;&gt;"",'Job Sheet'!T16,IF(OR(K16="Hinged Adjustable",K16="Sliding Adjustable"),'Job Sheet'!BI16-200,IF(OR('Job Sheet'!CK16="Hinged High",'Job Sheet'!CK16="Sliding High",'Job Sheet'!CK16="Stacker High"),'Job Sheet'!BZ16,IF(OR('Job Sheet'!CK16="Hinged Low",'Job Sheet'!CK16="Sliding Low",'Job Sheet'!CK16="Stacker Low"),'Job Sheet'!CD16,IF(OR('Job Sheet'!CK16="Hinged Pool",'Job Sheet'!CK16="Sliding Pool",'Job Sheet'!CK16="Stacker Pool"),'Job Sheet'!CH16,"")))))))</f>
        <v/>
      </c>
      <c r="K16" s="121" t="str">
        <f>IF(F16="Ultra Secua Digital Triple Lock","Hinged Adjustable",'Job Sheet'!BU16)</f>
        <v/>
      </c>
      <c r="L16" s="112" t="str">
        <f t="shared" si="0"/>
        <v/>
      </c>
      <c r="M16" s="112" t="str">
        <f>'Job Sheet'!BF16</f>
        <v/>
      </c>
      <c r="N16" s="131" t="str">
        <f t="shared" si="1"/>
        <v/>
      </c>
      <c r="P16" s="159" t="s">
        <v>220</v>
      </c>
      <c r="Q16" s="159" t="s">
        <v>234</v>
      </c>
      <c r="R16" s="159" t="s">
        <v>279</v>
      </c>
      <c r="S16" s="159"/>
      <c r="T16" s="159" t="str">
        <f t="shared" si="2"/>
        <v>StackerStandardSingle Lock</v>
      </c>
      <c r="U16" s="160" t="s">
        <v>518</v>
      </c>
    </row>
    <row r="17" spans="1:21" s="37" customFormat="1" ht="60" customHeight="1">
      <c r="A17" s="110" t="str">
        <f>IF(Data!AV17="","",Data!AW17)</f>
        <v/>
      </c>
      <c r="B17" s="161" t="str">
        <f>IF(Data!AV17="","",VLOOKUP(CONCATENATE(D17,E17,F17,'Job Sheet'!V17),PunchingProcedure,2,FALSE))</f>
        <v/>
      </c>
      <c r="C17" s="111" t="str">
        <f>IF(Data!AV17="","",'Job Sheet'!C17)</f>
        <v/>
      </c>
      <c r="D17" s="129" t="str">
        <f>'Job Sheet'!J17</f>
        <v/>
      </c>
      <c r="E17" s="129" t="str">
        <f>'Mitred Cutting'!C17</f>
        <v/>
      </c>
      <c r="F17" s="129" t="str">
        <f>IF('Job Sheet'!M17="Push 2 Go Single Lock","Single Lock",IF(OR('Job Sheet'!M17="Push 2 Go Triple Lock",'Job Sheet'!M17="Ultra Secua Digital Triple Lock"),"Triple Lock",'Job Sheet'!M17))</f>
        <v/>
      </c>
      <c r="G17" s="112" t="str">
        <f>IF('Job Sheet'!Y17="Right","Left",IF('Job Sheet'!Y17="Left","Right",'Job Sheet'!P17))</f>
        <v/>
      </c>
      <c r="H17" s="112" t="str">
        <f>IF(OR(Data!AV17="",'Job Sheet'!CK17=""),"",IF(AND('Job Sheet'!F17="Opening",'Job Sheet'!S17&lt;&gt;""),'Job Sheet'!S17-7,IF('Job Sheet'!S17&lt;&gt;"",'Job Sheet'!S17,IF(OR(K17="Hinged Adjustable",K17="Sliding Adjustable"),200,IF(OR('Job Sheet'!CK17="Hinged High",'Job Sheet'!CK17="Sliding High",'Job Sheet'!CK17="Stacker High"),'Job Sheet'!BY17,IF(OR('Job Sheet'!CK17="Hinged Low",'Job Sheet'!CK17="Sliding Low",'Job Sheet'!CK17="Stacker Low"),'Job Sheet'!CC17,IF(OR('Job Sheet'!CK17="Hinged Pool",'Job Sheet'!CK17="Sliding Pool",'Job Sheet'!CK17="Stacker Pool"),'Job Sheet'!CG17,"")))))))</f>
        <v/>
      </c>
      <c r="I17" s="112" t="str">
        <f>IF(AND('Job Sheet'!J17="Hinged",'Job Sheet'!M17="Not Required"),CONCATENATE('Job Sheet'!BX17+32," Single Punch"),'Job Sheet'!BX17)</f>
        <v/>
      </c>
      <c r="J17" s="112" t="str">
        <f>IF(OR(Data!AV17="",'Job Sheet'!CK17=""),"",IF(AND('Job Sheet'!T17&lt;&gt;"",'Job Sheet'!F17="Opening"),'Job Sheet'!T17-7,IF('Job Sheet'!T17&lt;&gt;"",'Job Sheet'!T17,IF(OR(K17="Hinged Adjustable",K17="Sliding Adjustable"),'Job Sheet'!BI17-200,IF(OR('Job Sheet'!CK17="Hinged High",'Job Sheet'!CK17="Sliding High",'Job Sheet'!CK17="Stacker High"),'Job Sheet'!BZ17,IF(OR('Job Sheet'!CK17="Hinged Low",'Job Sheet'!CK17="Sliding Low",'Job Sheet'!CK17="Stacker Low"),'Job Sheet'!CD17,IF(OR('Job Sheet'!CK17="Hinged Pool",'Job Sheet'!CK17="Sliding Pool",'Job Sheet'!CK17="Stacker Pool"),'Job Sheet'!CH17,"")))))))</f>
        <v/>
      </c>
      <c r="K17" s="121" t="str">
        <f>IF(F17="Ultra Secua Digital Triple Lock","Hinged Adjustable",'Job Sheet'!BU17)</f>
        <v/>
      </c>
      <c r="L17" s="112" t="str">
        <f t="shared" si="0"/>
        <v/>
      </c>
      <c r="M17" s="112" t="str">
        <f>'Job Sheet'!BF17</f>
        <v/>
      </c>
      <c r="N17" s="131" t="str">
        <f t="shared" si="1"/>
        <v/>
      </c>
      <c r="P17" s="159" t="s">
        <v>179</v>
      </c>
      <c r="Q17" s="159" t="s">
        <v>234</v>
      </c>
      <c r="R17" s="159" t="s">
        <v>275</v>
      </c>
      <c r="S17" s="159"/>
      <c r="T17" s="159" t="str">
        <f t="shared" si="2"/>
        <v>SlidingStandardTriple Lock</v>
      </c>
      <c r="U17" s="160" t="s">
        <v>519</v>
      </c>
    </row>
    <row r="18" spans="1:21" s="37" customFormat="1" ht="60" customHeight="1">
      <c r="A18" s="110" t="str">
        <f>IF(Data!AV18="","",Data!AW18)</f>
        <v/>
      </c>
      <c r="B18" s="161" t="str">
        <f>IF(Data!AV18="","",VLOOKUP(CONCATENATE(D18,E18,F18,'Job Sheet'!V18),PunchingProcedure,2,FALSE))</f>
        <v/>
      </c>
      <c r="C18" s="111" t="str">
        <f>IF(Data!AV18="","",'Job Sheet'!C18)</f>
        <v/>
      </c>
      <c r="D18" s="129" t="str">
        <f>'Job Sheet'!J18</f>
        <v/>
      </c>
      <c r="E18" s="129" t="str">
        <f>'Mitred Cutting'!C18</f>
        <v/>
      </c>
      <c r="F18" s="129" t="str">
        <f>IF('Job Sheet'!M18="Push 2 Go Single Lock","Single Lock",IF(OR('Job Sheet'!M18="Push 2 Go Triple Lock",'Job Sheet'!M18="Ultra Secua Digital Triple Lock"),"Triple Lock",'Job Sheet'!M18))</f>
        <v/>
      </c>
      <c r="G18" s="112" t="str">
        <f>IF('Job Sheet'!Y18="Right","Left",IF('Job Sheet'!Y18="Left","Right",'Job Sheet'!P18))</f>
        <v/>
      </c>
      <c r="H18" s="112" t="str">
        <f>IF(OR(Data!AV18="",'Job Sheet'!CK18=""),"",IF(AND('Job Sheet'!F18="Opening",'Job Sheet'!S18&lt;&gt;""),'Job Sheet'!S18-7,IF('Job Sheet'!S18&lt;&gt;"",'Job Sheet'!S18,IF(OR(K18="Hinged Adjustable",K18="Sliding Adjustable"),200,IF(OR('Job Sheet'!CK18="Hinged High",'Job Sheet'!CK18="Sliding High",'Job Sheet'!CK18="Stacker High"),'Job Sheet'!BY18,IF(OR('Job Sheet'!CK18="Hinged Low",'Job Sheet'!CK18="Sliding Low",'Job Sheet'!CK18="Stacker Low"),'Job Sheet'!CC18,IF(OR('Job Sheet'!CK18="Hinged Pool",'Job Sheet'!CK18="Sliding Pool",'Job Sheet'!CK18="Stacker Pool"),'Job Sheet'!CG18,"")))))))</f>
        <v/>
      </c>
      <c r="I18" s="112" t="str">
        <f>IF(AND('Job Sheet'!J18="Hinged",'Job Sheet'!M18="Not Required"),CONCATENATE('Job Sheet'!BX18+32," Single Punch"),'Job Sheet'!BX18)</f>
        <v/>
      </c>
      <c r="J18" s="112" t="str">
        <f>IF(OR(Data!AV18="",'Job Sheet'!CK18=""),"",IF(AND('Job Sheet'!T18&lt;&gt;"",'Job Sheet'!F18="Opening"),'Job Sheet'!T18-7,IF('Job Sheet'!T18&lt;&gt;"",'Job Sheet'!T18,IF(OR(K18="Hinged Adjustable",K18="Sliding Adjustable"),'Job Sheet'!BI18-200,IF(OR('Job Sheet'!CK18="Hinged High",'Job Sheet'!CK18="Sliding High",'Job Sheet'!CK18="Stacker High"),'Job Sheet'!BZ18,IF(OR('Job Sheet'!CK18="Hinged Low",'Job Sheet'!CK18="Sliding Low",'Job Sheet'!CK18="Stacker Low"),'Job Sheet'!CD18,IF(OR('Job Sheet'!CK18="Hinged Pool",'Job Sheet'!CK18="Sliding Pool",'Job Sheet'!CK18="Stacker Pool"),'Job Sheet'!CH18,"")))))))</f>
        <v/>
      </c>
      <c r="K18" s="121" t="str">
        <f>IF(F18="Ultra Secua Digital Triple Lock","Hinged Adjustable",'Job Sheet'!BU18)</f>
        <v/>
      </c>
      <c r="L18" s="112" t="str">
        <f t="shared" si="0"/>
        <v/>
      </c>
      <c r="M18" s="112" t="str">
        <f>'Job Sheet'!BF18</f>
        <v/>
      </c>
      <c r="N18" s="131" t="str">
        <f t="shared" si="1"/>
        <v/>
      </c>
      <c r="P18" s="159" t="s">
        <v>220</v>
      </c>
      <c r="Q18" s="159" t="s">
        <v>234</v>
      </c>
      <c r="R18" s="159" t="s">
        <v>275</v>
      </c>
      <c r="S18" s="159"/>
      <c r="T18" s="159" t="str">
        <f t="shared" si="2"/>
        <v>StackerStandardTriple Lock</v>
      </c>
      <c r="U18" s="160" t="s">
        <v>519</v>
      </c>
    </row>
    <row r="19" spans="1:21" ht="60" customHeight="1">
      <c r="A19" s="110" t="str">
        <f>IF(Data!AV19="","",Data!AW19)</f>
        <v/>
      </c>
      <c r="B19" s="161" t="str">
        <f>IF(Data!AV19="","",VLOOKUP(CONCATENATE(D19,E19,F19,'Job Sheet'!V19),PunchingProcedure,2,FALSE))</f>
        <v/>
      </c>
      <c r="C19" s="111" t="str">
        <f>IF(Data!AV19="","",'Job Sheet'!C19)</f>
        <v/>
      </c>
      <c r="D19" s="129" t="str">
        <f>'Job Sheet'!J19</f>
        <v/>
      </c>
      <c r="E19" s="129" t="str">
        <f>'Mitred Cutting'!C19</f>
        <v/>
      </c>
      <c r="F19" s="129" t="str">
        <f>IF('Job Sheet'!M19="Push 2 Go Single Lock","Single Lock",IF(OR('Job Sheet'!M19="Push 2 Go Triple Lock",'Job Sheet'!M19="Ultra Secua Digital Triple Lock"),"Triple Lock",'Job Sheet'!M19))</f>
        <v/>
      </c>
      <c r="G19" s="112" t="str">
        <f>IF('Job Sheet'!Y19="Right","Left",IF('Job Sheet'!Y19="Left","Right",'Job Sheet'!P19))</f>
        <v/>
      </c>
      <c r="H19" s="112" t="str">
        <f>IF(OR(Data!AV19="",'Job Sheet'!CK19=""),"",IF(AND('Job Sheet'!F19="Opening",'Job Sheet'!S19&lt;&gt;""),'Job Sheet'!S19-7,IF('Job Sheet'!S19&lt;&gt;"",'Job Sheet'!S19,IF(OR(K19="Hinged Adjustable",K19="Sliding Adjustable"),200,IF(OR('Job Sheet'!CK19="Hinged High",'Job Sheet'!CK19="Sliding High",'Job Sheet'!CK19="Stacker High"),'Job Sheet'!BY19,IF(OR('Job Sheet'!CK19="Hinged Low",'Job Sheet'!CK19="Sliding Low",'Job Sheet'!CK19="Stacker Low"),'Job Sheet'!CC19,IF(OR('Job Sheet'!CK19="Hinged Pool",'Job Sheet'!CK19="Sliding Pool",'Job Sheet'!CK19="Stacker Pool"),'Job Sheet'!CG19,"")))))))</f>
        <v/>
      </c>
      <c r="I19" s="112" t="str">
        <f>IF(AND('Job Sheet'!J19="Hinged",'Job Sheet'!M19="Not Required"),CONCATENATE('Job Sheet'!BX19+32," Single Punch"),'Job Sheet'!BX19)</f>
        <v/>
      </c>
      <c r="J19" s="112" t="str">
        <f>IF(OR(Data!AV19="",'Job Sheet'!CK19=""),"",IF(AND('Job Sheet'!T19&lt;&gt;"",'Job Sheet'!F19="Opening"),'Job Sheet'!T19-7,IF('Job Sheet'!T19&lt;&gt;"",'Job Sheet'!T19,IF(OR(K19="Hinged Adjustable",K19="Sliding Adjustable"),'Job Sheet'!BI19-200,IF(OR('Job Sheet'!CK19="Hinged High",'Job Sheet'!CK19="Sliding High",'Job Sheet'!CK19="Stacker High"),'Job Sheet'!BZ19,IF(OR('Job Sheet'!CK19="Hinged Low",'Job Sheet'!CK19="Sliding Low",'Job Sheet'!CK19="Stacker Low"),'Job Sheet'!CD19,IF(OR('Job Sheet'!CK19="Hinged Pool",'Job Sheet'!CK19="Sliding Pool",'Job Sheet'!CK19="Stacker Pool"),'Job Sheet'!CH19,"")))))))</f>
        <v/>
      </c>
      <c r="K19" s="121" t="str">
        <f>IF(F19="Ultra Secua Digital Triple Lock","Hinged Adjustable",'Job Sheet'!BU19)</f>
        <v/>
      </c>
      <c r="L19" s="112" t="str">
        <f t="shared" si="0"/>
        <v/>
      </c>
      <c r="M19" s="112" t="str">
        <f>'Job Sheet'!BF19</f>
        <v/>
      </c>
      <c r="N19" s="131" t="str">
        <f t="shared" si="1"/>
        <v/>
      </c>
      <c r="P19" s="159" t="s">
        <v>179</v>
      </c>
      <c r="Q19" s="159" t="s">
        <v>235</v>
      </c>
      <c r="R19" s="159" t="s">
        <v>275</v>
      </c>
      <c r="S19" s="159"/>
      <c r="T19" s="159" t="str">
        <f t="shared" si="2"/>
        <v>SlidingInvisi-GardTriple Lock</v>
      </c>
      <c r="U19" s="160" t="s">
        <v>520</v>
      </c>
    </row>
    <row r="20" spans="1:21" ht="60" customHeight="1">
      <c r="A20" s="110" t="str">
        <f>IF(Data!AV20="","",Data!AW20)</f>
        <v/>
      </c>
      <c r="B20" s="161" t="str">
        <f>IF(Data!AV20="","",VLOOKUP(CONCATENATE(D20,E20,F20,'Job Sheet'!V20),PunchingProcedure,2,FALSE))</f>
        <v/>
      </c>
      <c r="C20" s="111" t="str">
        <f>IF(Data!AV20="","",'Job Sheet'!C20)</f>
        <v/>
      </c>
      <c r="D20" s="129" t="str">
        <f>'Job Sheet'!J20</f>
        <v/>
      </c>
      <c r="E20" s="129" t="str">
        <f>'Mitred Cutting'!C20</f>
        <v/>
      </c>
      <c r="F20" s="129" t="str">
        <f>IF('Job Sheet'!M20="Push 2 Go Single Lock","Single Lock",IF(OR('Job Sheet'!M20="Push 2 Go Triple Lock",'Job Sheet'!M20="Ultra Secua Digital Triple Lock"),"Triple Lock",'Job Sheet'!M20))</f>
        <v/>
      </c>
      <c r="G20" s="112" t="str">
        <f>IF('Job Sheet'!Y20="Right","Left",IF('Job Sheet'!Y20="Left","Right",'Job Sheet'!P20))</f>
        <v/>
      </c>
      <c r="H20" s="112" t="str">
        <f>IF(OR(Data!AV20="",'Job Sheet'!CK20=""),"",IF(AND('Job Sheet'!F20="Opening",'Job Sheet'!S20&lt;&gt;""),'Job Sheet'!S20-7,IF('Job Sheet'!S20&lt;&gt;"",'Job Sheet'!S20,IF(OR(K20="Hinged Adjustable",K20="Sliding Adjustable"),200,IF(OR('Job Sheet'!CK20="Hinged High",'Job Sheet'!CK20="Sliding High",'Job Sheet'!CK20="Stacker High"),'Job Sheet'!BY20,IF(OR('Job Sheet'!CK20="Hinged Low",'Job Sheet'!CK20="Sliding Low",'Job Sheet'!CK20="Stacker Low"),'Job Sheet'!CC20,IF(OR('Job Sheet'!CK20="Hinged Pool",'Job Sheet'!CK20="Sliding Pool",'Job Sheet'!CK20="Stacker Pool"),'Job Sheet'!CG20,"")))))))</f>
        <v/>
      </c>
      <c r="I20" s="112" t="str">
        <f>IF(AND('Job Sheet'!J20="Hinged",'Job Sheet'!M20="Not Required"),CONCATENATE('Job Sheet'!BX20+32," Single Punch"),'Job Sheet'!BX20)</f>
        <v/>
      </c>
      <c r="J20" s="112" t="str">
        <f>IF(OR(Data!AV20="",'Job Sheet'!CK20=""),"",IF(AND('Job Sheet'!T20&lt;&gt;"",'Job Sheet'!F20="Opening"),'Job Sheet'!T20-7,IF('Job Sheet'!T20&lt;&gt;"",'Job Sheet'!T20,IF(OR(K20="Hinged Adjustable",K20="Sliding Adjustable"),'Job Sheet'!BI20-200,IF(OR('Job Sheet'!CK20="Hinged High",'Job Sheet'!CK20="Sliding High",'Job Sheet'!CK20="Stacker High"),'Job Sheet'!BZ20,IF(OR('Job Sheet'!CK20="Hinged Low",'Job Sheet'!CK20="Sliding Low",'Job Sheet'!CK20="Stacker Low"),'Job Sheet'!CD20,IF(OR('Job Sheet'!CK20="Hinged Pool",'Job Sheet'!CK20="Sliding Pool",'Job Sheet'!CK20="Stacker Pool"),'Job Sheet'!CH20,"")))))))</f>
        <v/>
      </c>
      <c r="K20" s="121" t="str">
        <f>IF(F20="Ultra Secua Digital Triple Lock","Hinged Adjustable",'Job Sheet'!BU20)</f>
        <v/>
      </c>
      <c r="L20" s="112" t="str">
        <f t="shared" si="0"/>
        <v/>
      </c>
      <c r="M20" s="112" t="str">
        <f>'Job Sheet'!BF20</f>
        <v/>
      </c>
      <c r="N20" s="131" t="str">
        <f t="shared" si="1"/>
        <v/>
      </c>
      <c r="P20" s="159" t="s">
        <v>220</v>
      </c>
      <c r="Q20" s="159" t="s">
        <v>235</v>
      </c>
      <c r="R20" s="159" t="s">
        <v>275</v>
      </c>
      <c r="S20" s="159"/>
      <c r="T20" s="159" t="str">
        <f t="shared" si="2"/>
        <v>StackerInvisi-GardTriple Lock</v>
      </c>
      <c r="U20" s="160" t="s">
        <v>520</v>
      </c>
    </row>
    <row r="21" spans="1:21" ht="60" customHeight="1">
      <c r="A21" s="63"/>
      <c r="B21" s="63"/>
      <c r="C21" s="63"/>
      <c r="D21" s="63"/>
      <c r="E21" s="63"/>
      <c r="F21" s="63"/>
      <c r="G21" s="64"/>
      <c r="H21" s="64"/>
      <c r="I21" s="64"/>
      <c r="J21" s="64"/>
      <c r="K21" s="64"/>
      <c r="L21" s="64"/>
      <c r="P21" s="159" t="s">
        <v>178</v>
      </c>
      <c r="Q21" s="159" t="s">
        <v>234</v>
      </c>
      <c r="R21" s="159" t="s">
        <v>410</v>
      </c>
      <c r="S21" s="159" t="s">
        <v>279</v>
      </c>
      <c r="T21" s="159" t="str">
        <f t="shared" si="2"/>
        <v>HingedStandardNot RequiredSingle Lock</v>
      </c>
      <c r="U21" s="160" t="s">
        <v>644</v>
      </c>
    </row>
    <row r="22" spans="1:21" ht="60" customHeight="1">
      <c r="A22" s="63"/>
      <c r="B22" s="63"/>
      <c r="C22" s="63"/>
      <c r="D22" s="63"/>
      <c r="E22" s="63"/>
      <c r="F22" s="63"/>
      <c r="G22" s="64"/>
      <c r="H22" s="64"/>
      <c r="I22" s="64"/>
      <c r="J22" s="64"/>
      <c r="K22" s="64"/>
      <c r="L22" s="64"/>
      <c r="P22" s="159" t="s">
        <v>178</v>
      </c>
      <c r="Q22" s="159" t="s">
        <v>235</v>
      </c>
      <c r="R22" s="159" t="s">
        <v>410</v>
      </c>
      <c r="S22" s="159" t="s">
        <v>275</v>
      </c>
      <c r="T22" s="159" t="str">
        <f t="shared" si="3" ref="T22:T27">CONCATENATE(P22,Q22,R22,S22)</f>
        <v>HingedInvisi-GardNot RequiredTriple Lock</v>
      </c>
      <c r="U22" s="160" t="s">
        <v>645</v>
      </c>
    </row>
    <row r="23" spans="1:21" ht="60" customHeight="1">
      <c r="A23" s="63"/>
      <c r="B23" s="63"/>
      <c r="C23" s="63"/>
      <c r="D23" s="63"/>
      <c r="E23" s="63"/>
      <c r="F23" s="63"/>
      <c r="G23" s="64"/>
      <c r="H23" s="64"/>
      <c r="I23" s="64"/>
      <c r="J23" s="64"/>
      <c r="K23" s="64"/>
      <c r="L23" s="64"/>
      <c r="P23" s="159" t="s">
        <v>179</v>
      </c>
      <c r="Q23" s="159" t="s">
        <v>234</v>
      </c>
      <c r="R23" s="159" t="s">
        <v>410</v>
      </c>
      <c r="S23" s="159" t="s">
        <v>659</v>
      </c>
      <c r="T23" s="159" t="str">
        <f t="shared" si="3"/>
        <v>SlidingStandardNot RequiredN/A (Sliding/Stacker)</v>
      </c>
      <c r="U23" s="160" t="s">
        <v>646</v>
      </c>
    </row>
    <row r="24" spans="1:21" ht="60" customHeight="1">
      <c r="A24" s="63"/>
      <c r="B24" s="63"/>
      <c r="C24" s="63"/>
      <c r="D24" s="63"/>
      <c r="E24" s="63"/>
      <c r="F24" s="63"/>
      <c r="G24" s="64"/>
      <c r="H24" s="64"/>
      <c r="I24" s="64"/>
      <c r="J24" s="64"/>
      <c r="K24" s="64"/>
      <c r="L24" s="64"/>
      <c r="P24" s="159" t="s">
        <v>220</v>
      </c>
      <c r="Q24" s="159" t="s">
        <v>234</v>
      </c>
      <c r="R24" s="159" t="s">
        <v>410</v>
      </c>
      <c r="S24" s="159" t="s">
        <v>659</v>
      </c>
      <c r="T24" s="159" t="str">
        <f t="shared" si="3"/>
        <v>StackerStandardNot RequiredN/A (Sliding/Stacker)</v>
      </c>
      <c r="U24" s="160" t="s">
        <v>646</v>
      </c>
    </row>
    <row r="25" spans="1:21" ht="60" customHeight="1">
      <c r="A25" s="63"/>
      <c r="B25" s="63"/>
      <c r="C25" s="63"/>
      <c r="D25" s="63"/>
      <c r="E25" s="63"/>
      <c r="F25" s="63"/>
      <c r="G25" s="64"/>
      <c r="H25" s="64"/>
      <c r="I25" s="64"/>
      <c r="J25" s="64"/>
      <c r="K25" s="64"/>
      <c r="L25" s="64"/>
      <c r="P25" s="159" t="s">
        <v>179</v>
      </c>
      <c r="Q25" s="159" t="s">
        <v>235</v>
      </c>
      <c r="R25" s="159" t="s">
        <v>410</v>
      </c>
      <c r="S25" s="159" t="s">
        <v>659</v>
      </c>
      <c r="T25" s="159" t="str">
        <f t="shared" si="3"/>
        <v>SlidingInvisi-GardNot RequiredN/A (Sliding/Stacker)</v>
      </c>
      <c r="U25" s="160" t="s">
        <v>647</v>
      </c>
    </row>
    <row r="26" spans="1:21" ht="60" customHeight="1">
      <c r="A26" s="63"/>
      <c r="B26" s="63"/>
      <c r="C26" s="63"/>
      <c r="D26" s="63"/>
      <c r="E26" s="63"/>
      <c r="F26" s="63"/>
      <c r="G26" s="64"/>
      <c r="H26" s="64"/>
      <c r="I26" s="64"/>
      <c r="J26" s="64"/>
      <c r="K26" s="64"/>
      <c r="L26" s="64"/>
      <c r="P26" s="159" t="s">
        <v>220</v>
      </c>
      <c r="Q26" s="159" t="s">
        <v>235</v>
      </c>
      <c r="R26" s="159" t="s">
        <v>410</v>
      </c>
      <c r="S26" s="159" t="s">
        <v>659</v>
      </c>
      <c r="T26" s="159" t="str">
        <f t="shared" si="3"/>
        <v>StackerInvisi-GardNot RequiredN/A (Sliding/Stacker)</v>
      </c>
      <c r="U26" s="160" t="s">
        <v>647</v>
      </c>
    </row>
    <row r="27" spans="1:21" ht="60" customHeight="1">
      <c r="A27" s="63"/>
      <c r="B27" s="63"/>
      <c r="C27" s="63"/>
      <c r="D27" s="63"/>
      <c r="E27" s="63"/>
      <c r="F27" s="63"/>
      <c r="G27" s="64"/>
      <c r="H27" s="64"/>
      <c r="I27" s="64"/>
      <c r="J27" s="64"/>
      <c r="K27" s="64"/>
      <c r="L27" s="64"/>
      <c r="P27" s="159" t="s">
        <v>178</v>
      </c>
      <c r="Q27" s="159" t="s">
        <v>234</v>
      </c>
      <c r="R27" s="159" t="s">
        <v>410</v>
      </c>
      <c r="S27" s="159" t="s">
        <v>275</v>
      </c>
      <c r="T27" s="159" t="str">
        <f t="shared" si="3"/>
        <v>HingedStandardNot RequiredTriple Lock</v>
      </c>
      <c r="U27" s="160" t="s">
        <v>133</v>
      </c>
    </row>
    <row r="28" spans="1:12" ht="60" customHeight="1">
      <c r="A28" s="63"/>
      <c r="B28" s="63"/>
      <c r="C28" s="63"/>
      <c r="D28" s="63"/>
      <c r="E28" s="63"/>
      <c r="F28" s="63"/>
      <c r="G28" s="64"/>
      <c r="H28" s="64"/>
      <c r="I28" s="64"/>
      <c r="J28" s="64"/>
      <c r="K28" s="64"/>
      <c r="L28" s="64"/>
    </row>
    <row r="29" spans="1:17" ht="60" customHeight="1">
      <c r="A29" s="63"/>
      <c r="B29" s="63"/>
      <c r="C29" s="63"/>
      <c r="D29" s="63"/>
      <c r="E29" s="63"/>
      <c r="F29" s="63"/>
      <c r="G29" s="64"/>
      <c r="H29" s="64"/>
      <c r="I29" s="64"/>
      <c r="J29" s="64"/>
      <c r="K29" s="64"/>
      <c r="L29" s="64"/>
      <c r="Q29" s="162"/>
    </row>
    <row r="30" spans="1:12" ht="60" customHeight="1">
      <c r="A30" s="63"/>
      <c r="B30" s="63"/>
      <c r="C30" s="63"/>
      <c r="D30" s="63"/>
      <c r="E30" s="63"/>
      <c r="F30" s="63"/>
      <c r="G30" s="64"/>
      <c r="H30" s="64"/>
      <c r="I30" s="64"/>
      <c r="J30" s="64"/>
      <c r="K30" s="64"/>
      <c r="L30" s="64"/>
    </row>
    <row r="31" spans="1:12" ht="60" customHeight="1">
      <c r="A31" s="63"/>
      <c r="B31" s="63"/>
      <c r="C31" s="63"/>
      <c r="D31" s="63"/>
      <c r="E31" s="63"/>
      <c r="F31" s="63"/>
      <c r="G31" s="64"/>
      <c r="H31" s="64"/>
      <c r="I31" s="64"/>
      <c r="J31" s="64"/>
      <c r="K31" s="64"/>
      <c r="L31" s="64"/>
    </row>
    <row r="32" spans="1:12" ht="60" customHeight="1">
      <c r="A32" s="63"/>
      <c r="B32" s="63"/>
      <c r="C32" s="63"/>
      <c r="D32" s="63"/>
      <c r="E32" s="63"/>
      <c r="F32" s="63"/>
      <c r="G32" s="64"/>
      <c r="H32" s="64"/>
      <c r="I32" s="64"/>
      <c r="J32" s="64"/>
      <c r="K32" s="64"/>
      <c r="L32" s="64"/>
    </row>
    <row r="33" spans="1:12" ht="60" customHeight="1">
      <c r="A33" s="63"/>
      <c r="B33" s="63"/>
      <c r="C33" s="63"/>
      <c r="D33" s="63"/>
      <c r="E33" s="63"/>
      <c r="F33" s="63"/>
      <c r="G33" s="64"/>
      <c r="K33" s="64"/>
      <c r="L33" s="64"/>
    </row>
    <row r="34" spans="1:12" ht="60" customHeight="1">
      <c r="A34" s="63"/>
      <c r="B34" s="63"/>
      <c r="C34" s="63"/>
      <c r="D34" s="63"/>
      <c r="E34" s="63"/>
      <c r="F34" s="63"/>
      <c r="G34" s="64"/>
      <c r="K34" s="64"/>
      <c r="L34" s="64"/>
    </row>
    <row r="35" spans="1:12" ht="60" customHeight="1">
      <c r="A35" s="63"/>
      <c r="B35" s="63"/>
      <c r="C35" s="63"/>
      <c r="D35" s="63"/>
      <c r="E35" s="63"/>
      <c r="F35" s="63"/>
      <c r="G35" s="64"/>
      <c r="K35" s="64"/>
      <c r="L35" s="64"/>
    </row>
    <row r="36" spans="1:12" ht="60" customHeight="1">
      <c r="A36" s="63"/>
      <c r="B36" s="63"/>
      <c r="C36" s="63"/>
      <c r="D36" s="63"/>
      <c r="E36" s="63"/>
      <c r="F36" s="63"/>
      <c r="G36" s="64"/>
      <c r="K36" s="64"/>
      <c r="L36" s="64"/>
    </row>
    <row r="37" spans="1:12" ht="60" customHeight="1">
      <c r="A37" s="63"/>
      <c r="B37" s="63"/>
      <c r="C37" s="63"/>
      <c r="D37" s="63"/>
      <c r="E37" s="63"/>
      <c r="F37" s="63"/>
      <c r="G37" s="64"/>
      <c r="K37" s="64"/>
      <c r="L37" s="64"/>
    </row>
    <row r="38" spans="1:12" ht="60" customHeight="1">
      <c r="A38" s="63"/>
      <c r="B38" s="63"/>
      <c r="C38" s="63"/>
      <c r="D38" s="63"/>
      <c r="E38" s="63"/>
      <c r="F38" s="63"/>
      <c r="G38" s="64"/>
      <c r="K38" s="64"/>
      <c r="L38" s="64"/>
    </row>
    <row r="39" spans="1:12" ht="60" customHeight="1">
      <c r="A39" s="63"/>
      <c r="B39" s="63"/>
      <c r="C39" s="63"/>
      <c r="D39" s="63"/>
      <c r="E39" s="63"/>
      <c r="F39" s="63"/>
      <c r="G39" s="64"/>
      <c r="K39" s="64"/>
      <c r="L39" s="64"/>
    </row>
    <row r="40" spans="1:12" ht="60" customHeight="1">
      <c r="A40" s="63"/>
      <c r="B40" s="63"/>
      <c r="C40" s="63"/>
      <c r="D40" s="63"/>
      <c r="E40" s="63"/>
      <c r="F40" s="63"/>
      <c r="G40" s="64"/>
      <c r="K40" s="64"/>
      <c r="L40" s="64"/>
    </row>
    <row r="41" spans="1:12" ht="60" customHeight="1">
      <c r="A41" s="63"/>
      <c r="B41" s="63"/>
      <c r="C41" s="63"/>
      <c r="D41" s="63"/>
      <c r="E41" s="63"/>
      <c r="F41" s="63"/>
      <c r="G41" s="64"/>
      <c r="K41" s="64"/>
      <c r="L41" s="64"/>
    </row>
    <row r="42" spans="1:12" ht="60" customHeight="1">
      <c r="A42" s="63"/>
      <c r="B42" s="63"/>
      <c r="C42" s="63"/>
      <c r="D42" s="63"/>
      <c r="E42" s="63"/>
      <c r="F42" s="63"/>
      <c r="G42" s="64"/>
      <c r="K42" s="64"/>
      <c r="L42" s="64"/>
    </row>
    <row r="43" spans="1:12" ht="60" customHeight="1">
      <c r="A43" s="63"/>
      <c r="B43" s="63"/>
      <c r="C43" s="63"/>
      <c r="D43" s="63"/>
      <c r="E43" s="63"/>
      <c r="F43" s="63"/>
      <c r="G43" s="64"/>
      <c r="K43" s="64"/>
      <c r="L43" s="64"/>
    </row>
    <row r="44" spans="1:12" ht="60" customHeight="1">
      <c r="A44" s="63"/>
      <c r="B44" s="63"/>
      <c r="C44" s="63"/>
      <c r="D44" s="63"/>
      <c r="E44" s="63"/>
      <c r="F44" s="63"/>
      <c r="G44" s="64"/>
      <c r="K44" s="64"/>
      <c r="L44" s="64"/>
    </row>
    <row r="45" spans="1:12" ht="60" customHeight="1">
      <c r="A45" s="63"/>
      <c r="B45" s="63"/>
      <c r="C45" s="63"/>
      <c r="D45" s="63"/>
      <c r="E45" s="63"/>
      <c r="F45" s="63"/>
      <c r="G45" s="64"/>
      <c r="K45" s="64"/>
      <c r="L45" s="64"/>
    </row>
    <row r="46" spans="1:12" ht="60" customHeight="1">
      <c r="A46" s="63"/>
      <c r="B46" s="63"/>
      <c r="C46" s="63"/>
      <c r="D46" s="63"/>
      <c r="E46" s="63"/>
      <c r="F46" s="63"/>
      <c r="G46" s="64"/>
      <c r="K46" s="64"/>
      <c r="L46" s="64"/>
    </row>
    <row r="47" ht="60" customHeight="1"/>
    <row r="48" ht="60" customHeight="1"/>
    <row r="49" ht="60" customHeight="1"/>
    <row r="50" ht="60" customHeight="1"/>
    <row r="51" ht="60" customHeight="1"/>
    <row r="52" ht="60" customHeight="1"/>
  </sheetData>
  <mergeCells count="33">
    <mergeCell ref="A1:N1"/>
    <mergeCell ref="A4:B4"/>
    <mergeCell ref="C2:D2"/>
    <mergeCell ref="A2:B2"/>
    <mergeCell ref="A3:B3"/>
    <mergeCell ref="C4:D4"/>
    <mergeCell ref="M3:N7"/>
    <mergeCell ref="M2:N2"/>
    <mergeCell ref="F7:L7"/>
    <mergeCell ref="F6:L6"/>
    <mergeCell ref="F5:L5"/>
    <mergeCell ref="F3:L3"/>
    <mergeCell ref="F2:L2"/>
    <mergeCell ref="C3:D3"/>
    <mergeCell ref="A5:B5"/>
    <mergeCell ref="C5:D5"/>
    <mergeCell ref="F4:L4"/>
    <mergeCell ref="H8:H9"/>
    <mergeCell ref="E5:E7"/>
    <mergeCell ref="N8:N9"/>
    <mergeCell ref="M8:M9"/>
    <mergeCell ref="L8:L9"/>
    <mergeCell ref="K8:K9"/>
    <mergeCell ref="A6:D7"/>
    <mergeCell ref="G8:G9"/>
    <mergeCell ref="I8:I9"/>
    <mergeCell ref="J8:J9"/>
    <mergeCell ref="F8:F9"/>
    <mergeCell ref="A8:A9"/>
    <mergeCell ref="C8:C9"/>
    <mergeCell ref="D8:D9"/>
    <mergeCell ref="E8:E9"/>
    <mergeCell ref="B8:B9"/>
  </mergeCells>
  <pageMargins left="0.645669291338609" right="0.645669291338609" top="0.236220472440945" bottom="0.236220472440945" header="0.236220472440945" footer="0.236220472440945"/>
  <pageSetup fitToHeight="0" orientation="landscape" paperSize="9" scale="1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A446C-B6BC-4BE3-A47A-DA09988B8FED}">
  <sheetPr codeName="Sheet9">
    <pageSetUpPr fitToPage="1"/>
  </sheetPr>
  <dimension ref="A1:N47"/>
  <sheetViews>
    <sheetView view="pageBreakPreview" zoomScale="50" zoomScaleNormal="25" zoomScaleSheetLayoutView="50" workbookViewId="0" topLeftCell="A2">
      <selection pane="topLeft" activeCell="A12" sqref="A12:XFD21"/>
    </sheetView>
  </sheetViews>
  <sheetFormatPr defaultColWidth="9.109375" defaultRowHeight="13.5"/>
  <cols>
    <col min="1" max="1" width="11.4285714285714" style="57" customWidth="1"/>
    <col min="2" max="2" width="24.4285714285714" style="57" customWidth="1"/>
    <col min="3" max="3" width="31.5714285714286" style="57" customWidth="1"/>
    <col min="4" max="4" width="37.2857142857143" style="57" customWidth="1"/>
    <col min="5" max="5" width="15.4285714285714" style="57" customWidth="1"/>
    <col min="6" max="6" width="31.8571428571429" style="57" customWidth="1"/>
    <col min="7" max="7" width="19.2857142857143" style="57" customWidth="1"/>
    <col min="8" max="8" width="18.8571428571429" customWidth="1"/>
    <col min="9" max="9" width="19.5714285714286" customWidth="1"/>
    <col min="10" max="10" width="25.1428571428571" customWidth="1"/>
    <col min="11" max="11" width="24.1428571428571" customWidth="1"/>
    <col min="12" max="12" width="24" customWidth="1"/>
    <col min="13" max="13" width="63.1428571428571" customWidth="1"/>
    <col min="14" max="14" width="16.1428571428571" customWidth="1"/>
  </cols>
  <sheetData>
    <row r="1" spans="1:14" s="30" customFormat="1" ht="219.15" customHeight="1">
      <c r="A1" s="280" t="s">
        <v>639</v>
      </c>
      <c r="B1" s="280"/>
      <c r="C1" s="280"/>
      <c r="D1" s="280"/>
      <c r="E1" s="280"/>
      <c r="F1" s="280"/>
      <c r="G1" s="280"/>
      <c r="H1" s="280"/>
      <c r="I1" s="280"/>
      <c r="J1" s="280"/>
      <c r="K1" s="280"/>
      <c r="L1" s="280"/>
      <c r="M1" s="280"/>
      <c r="N1" s="280"/>
    </row>
    <row r="2" spans="1:14" s="32" customFormat="1" ht="50.1" customHeight="1">
      <c r="A2" s="2" t="s">
        <v>7</v>
      </c>
      <c r="B2" s="2"/>
      <c r="C2" s="184"/>
      <c r="D2" s="184"/>
      <c r="E2" s="184" t="s">
        <v>118</v>
      </c>
      <c r="F2" s="184"/>
      <c r="G2" s="277" t="str">
        <f>IF(Data!AV11="","",Data!BF5)</f>
        <v>Leurs, Nigel</v>
      </c>
      <c r="H2" s="278"/>
      <c r="I2" s="278"/>
      <c r="J2" s="278"/>
      <c r="K2" s="279"/>
      <c r="L2" s="192" t="s">
        <v>4</v>
      </c>
      <c r="M2" s="193"/>
      <c r="N2" s="194"/>
    </row>
    <row r="3" spans="1:14" s="32" customFormat="1" ht="50.1" customHeight="1">
      <c r="A3" s="2" t="s">
        <v>143</v>
      </c>
      <c r="B3" s="2"/>
      <c r="C3" s="182" t="str">
        <f>IF(Data!AV11="","",Data!BC5)</f>
        <v>12201</v>
      </c>
      <c r="D3" s="182"/>
      <c r="E3" s="187" t="s">
        <v>8</v>
      </c>
      <c r="F3" s="187"/>
      <c r="G3" s="268" t="str">
        <f>IF(Data!AV11="","",Data!AX5)</f>
        <v>Barrier Doors </v>
      </c>
      <c r="H3" s="269"/>
      <c r="I3" s="269"/>
      <c r="J3" s="269"/>
      <c r="K3" s="270"/>
      <c r="L3" s="208" t="str">
        <f>TRIM(Data!BG5)</f>
        <v/>
      </c>
      <c r="M3" s="209"/>
      <c r="N3" s="210"/>
    </row>
    <row r="4" spans="1:14" s="21" customFormat="1" ht="50.1" customHeight="1">
      <c r="A4" s="186" t="s">
        <v>15</v>
      </c>
      <c r="B4" s="186"/>
      <c r="C4" s="182" t="str">
        <f>IF(Data!AV11="","",Data!BD5)</f>
        <v>A</v>
      </c>
      <c r="D4" s="182"/>
      <c r="E4" s="187" t="s">
        <v>137</v>
      </c>
      <c r="F4" s="187"/>
      <c r="G4" s="268" t="str">
        <f>IF(Data!AV11="","",Data!BA5)</f>
        <v>22/09/2026 12:00:00 AM</v>
      </c>
      <c r="H4" s="269"/>
      <c r="I4" s="269"/>
      <c r="J4" s="269"/>
      <c r="K4" s="270"/>
      <c r="L4" s="211"/>
      <c r="M4" s="212"/>
      <c r="N4" s="213"/>
    </row>
    <row r="5" spans="1:14" s="21" customFormat="1" ht="50.1" customHeight="1">
      <c r="A5" s="185" t="s">
        <v>9</v>
      </c>
      <c r="B5" s="185"/>
      <c r="C5" s="1" t="str">
        <f>IF(Data!AV11="","",Data!AY5)</f>
        <v>26/08/2026 12:00:00 AM</v>
      </c>
      <c r="D5" s="1"/>
      <c r="E5" s="182" t="s">
        <v>12</v>
      </c>
      <c r="F5" s="182"/>
      <c r="G5" s="277" t="str">
        <f>TRIM(Data!BF5)</f>
        <v>Leurs, Nigel</v>
      </c>
      <c r="H5" s="278"/>
      <c r="I5" s="278"/>
      <c r="J5" s="278"/>
      <c r="K5" s="279"/>
      <c r="L5" s="211"/>
      <c r="M5" s="212"/>
      <c r="N5" s="213"/>
    </row>
    <row r="6" spans="1:14" s="21" customFormat="1" ht="50.1" customHeight="1">
      <c r="A6" s="188" t="str">
        <f>IF(Data!AV11="","",'Job Sheet'!A6)</f>
        <v>Retail Customer</v>
      </c>
      <c r="B6" s="188"/>
      <c r="C6" s="188"/>
      <c r="D6" s="188"/>
      <c r="E6" s="182"/>
      <c r="F6" s="182"/>
      <c r="G6" s="277" t="str">
        <f>CONCATENATE(Data!BH5," ",Data!BI5," ",Data!BJ5," ",Data!BK5," ",Data!BL5)</f>
        <v xml:space="preserve"> 30  Timbertop Drive </v>
      </c>
      <c r="H6" s="278"/>
      <c r="I6" s="278"/>
      <c r="J6" s="278"/>
      <c r="K6" s="279"/>
      <c r="L6" s="211"/>
      <c r="M6" s="212"/>
      <c r="N6" s="213"/>
    </row>
    <row r="7" spans="1:14" s="21" customFormat="1" ht="50.1" customHeight="1">
      <c r="A7" s="188"/>
      <c r="B7" s="188"/>
      <c r="C7" s="188"/>
      <c r="D7" s="188"/>
      <c r="E7" s="182"/>
      <c r="F7" s="286"/>
      <c r="G7" s="195" t="str">
        <f>CONCATENATE(Data!BM5," ",Data!BN5," ",Data!BO5," ",Data!BP5)</f>
        <v>Mount Helen VIC 3350 Australia</v>
      </c>
      <c r="H7" s="196"/>
      <c r="I7" s="196"/>
      <c r="J7" s="196"/>
      <c r="K7" s="197"/>
      <c r="L7" s="275"/>
      <c r="M7" s="285"/>
      <c r="N7" s="276"/>
    </row>
    <row r="8" spans="1:14" s="61" customFormat="1" ht="50.1" customHeight="1">
      <c r="A8" s="266" t="s">
        <v>142</v>
      </c>
      <c r="B8" s="267" t="s">
        <v>409</v>
      </c>
      <c r="C8" s="267" t="s">
        <v>120</v>
      </c>
      <c r="D8" s="265" t="s">
        <v>334</v>
      </c>
      <c r="E8" s="265" t="s">
        <v>183</v>
      </c>
      <c r="F8" s="281" t="s">
        <v>396</v>
      </c>
      <c r="G8" s="283" t="s">
        <v>332</v>
      </c>
      <c r="H8" s="282" t="s">
        <v>335</v>
      </c>
      <c r="I8" s="260" t="s">
        <v>511</v>
      </c>
      <c r="J8" s="260" t="s">
        <v>336</v>
      </c>
      <c r="K8" s="267" t="s">
        <v>337</v>
      </c>
      <c r="L8" s="267" t="s">
        <v>401</v>
      </c>
      <c r="M8" s="260" t="s">
        <v>5</v>
      </c>
      <c r="N8" s="260" t="s">
        <v>487</v>
      </c>
    </row>
    <row r="9" spans="1:14" s="61" customFormat="1" ht="14.25" customHeight="1" hidden="1">
      <c r="A9" s="266"/>
      <c r="B9" s="267"/>
      <c r="C9" s="267"/>
      <c r="D9" s="265"/>
      <c r="E9" s="265"/>
      <c r="F9" s="281"/>
      <c r="G9" s="284"/>
      <c r="H9" s="282"/>
      <c r="I9" s="260"/>
      <c r="J9" s="260"/>
      <c r="K9" s="267"/>
      <c r="L9" s="267"/>
      <c r="M9" s="260"/>
      <c r="N9" s="260"/>
    </row>
    <row r="10" spans="1:14" s="62" customFormat="1" ht="65.4" customHeight="1">
      <c r="A10" s="266"/>
      <c r="B10" s="267"/>
      <c r="C10" s="267"/>
      <c r="D10" s="265"/>
      <c r="E10" s="265"/>
      <c r="F10" s="281"/>
      <c r="G10" s="284"/>
      <c r="H10" s="282"/>
      <c r="I10" s="260"/>
      <c r="J10" s="260"/>
      <c r="K10" s="267"/>
      <c r="L10" s="267"/>
      <c r="M10" s="260"/>
      <c r="N10" s="260"/>
    </row>
    <row r="11" spans="1:14" s="62" customFormat="1" ht="7.5" customHeight="1" hidden="1">
      <c r="A11" s="85"/>
      <c r="B11" s="88" t="e">
        <f>IF(Data!AV11="","",'Job Sheet'!CL11)</f>
        <v>#N/A</v>
      </c>
      <c r="C11" s="86"/>
      <c r="D11" s="127"/>
      <c r="E11" s="128"/>
      <c r="F11" s="113"/>
      <c r="G11" s="116"/>
      <c r="H11" s="115"/>
      <c r="I11" s="18"/>
      <c r="J11" s="55" t="str">
        <f t="array" ref="J11">bpLOOKUP(Data!$AV10,"MESH",CustOrdOpt,6,FALSE)</f>
        <v/>
      </c>
      <c r="K11" s="107"/>
      <c r="L11" s="107"/>
      <c r="M11" s="18"/>
      <c r="N11" s="109"/>
    </row>
    <row r="12" spans="1:14" s="37" customFormat="1" ht="81">
      <c r="A12" s="110">
        <f>IF(Data!AV11="","",Data!AW11)</f>
        <v>1</v>
      </c>
      <c r="B12" s="111" t="e">
        <f>IF(Data!AV11="","",'Job Sheet'!CL11)</f>
        <v>#N/A</v>
      </c>
      <c r="C12" s="111" t="str">
        <f>IF(Data!AV11="","",'Job Sheet'!C11)</f>
        <v>Rumpus</v>
      </c>
      <c r="D12" s="129" t="str">
        <f>IF(Data!AV11="","",IF('Job Sheet'!BK11="DVA Mesh",(CONCATENATE('Job Sheet'!BK11," ",'Job Sheet'!AF11)),'Job Sheet'!BK11))</f>
        <v>Alu-Gard Perforated Aluminium</v>
      </c>
      <c r="E12" s="176" t="str">
        <f>'Job Sheet'!AI11</f>
        <v>No</v>
      </c>
      <c r="F12" s="114" t="str">
        <f>IF(D12="Colonial Cast",CONCATENATE('Job Sheet'!AD11," ",'Job Sheet'!AB11),'Job Sheet'!AB11)</f>
        <v/>
      </c>
      <c r="G12" s="172" t="str">
        <f>'Job Sheet'!BL11</f>
        <v>900 x 2000</v>
      </c>
      <c r="H12" s="173" t="str">
        <f>IF(OR(A12="",D12="Flyscreen",'Job Sheet'!BK11=""),"",CONCATENATE('Job Sheet'!BM11," x ",'Job Sheet'!BN11))</f>
        <v>822 x 1922</v>
      </c>
      <c r="I12" s="174" t="str">
        <f>IF('Job Sheet'!AJ11="","",IF(D12="Invisi-Gard Woven Stainless Steel",'Job Sheet'!AJ11-60,'Job Sheet'!AJ11-56))</f>
        <v/>
      </c>
      <c r="J12" s="112" t="str">
        <f>CONCATENATE('Job Sheet'!AE11," ",'Job Sheet'!AF11)</f>
        <v xml:space="preserve"> </v>
      </c>
      <c r="K12" s="91" t="str">
        <f>'Job Sheet'!BR11</f>
        <v/>
      </c>
      <c r="L12" s="177" t="str">
        <f>IF(OR(A12="",D12="Flyscreen",J12="",AND('Job Sheet'!BS11="",'Job Sheet'!BT11="")),"",CONCATENATE('Job Sheet'!BS11," x ",'Job Sheet'!BT11))</f>
        <v/>
      </c>
      <c r="M12" s="112" t="str">
        <f>'Job Sheet'!BF11</f>
        <v/>
      </c>
      <c r="N12" s="131">
        <f>A12</f>
        <v>1</v>
      </c>
    </row>
    <row r="13" spans="1:14" s="37" customFormat="1" ht="81">
      <c r="A13" s="110">
        <f>IF(Data!AV12="","",Data!AW12)</f>
        <v>2</v>
      </c>
      <c r="B13" s="111" t="e">
        <f>IF(Data!AV12="","",'Job Sheet'!CL12)</f>
        <v>#N/A</v>
      </c>
      <c r="C13" s="111" t="str">
        <f>IF(Data!AV12="","",'Job Sheet'!C12)</f>
        <v>Laundry</v>
      </c>
      <c r="D13" s="129" t="str">
        <f>IF(Data!AV12="","",IF('Job Sheet'!BK12="DVA Mesh",(CONCATENATE('Job Sheet'!BK12," ",'Job Sheet'!AF12)),'Job Sheet'!BK12))</f>
        <v>Alu-Gard Perforated Aluminium</v>
      </c>
      <c r="E13" s="176" t="str">
        <f>'Job Sheet'!AI12</f>
        <v>No</v>
      </c>
      <c r="F13" s="114" t="str">
        <f>IF(D13="Colonial Cast",CONCATENATE('Job Sheet'!AD12," ",'Job Sheet'!AB12),'Job Sheet'!AB12)</f>
        <v/>
      </c>
      <c r="G13" s="172" t="str">
        <f>'Job Sheet'!BL12</f>
        <v>750 x 2000</v>
      </c>
      <c r="H13" s="173" t="str">
        <f>IF(OR(A13="",D13="Flyscreen",'Job Sheet'!BK12=""),"",CONCATENATE('Job Sheet'!BM12," x ",'Job Sheet'!BN12))</f>
        <v>700 x 1925</v>
      </c>
      <c r="I13" s="174" t="str">
        <f>IF('Job Sheet'!AJ12="","",IF(D13="Invisi-Gard Woven Stainless Steel",'Job Sheet'!AJ12-60,'Job Sheet'!AJ12-56))</f>
        <v/>
      </c>
      <c r="J13" s="112" t="str">
        <f>CONCATENATE('Job Sheet'!AE12," ",'Job Sheet'!AF12)</f>
        <v xml:space="preserve"> </v>
      </c>
      <c r="K13" s="91" t="str">
        <f>'Job Sheet'!BR12</f>
        <v/>
      </c>
      <c r="L13" s="177" t="str">
        <f>IF(OR(A13="",D13="Flyscreen",J13="",AND('Job Sheet'!BS12="",'Job Sheet'!BT12="")),"",CONCATENATE('Job Sheet'!BS12," x ",'Job Sheet'!BT12))</f>
        <v/>
      </c>
      <c r="M13" s="112" t="str">
        <f>'Job Sheet'!BF12</f>
        <v/>
      </c>
      <c r="N13" s="131">
        <f t="shared" si="0" ref="N13:N21">A13</f>
        <v>2</v>
      </c>
    </row>
    <row r="14" spans="1:14" s="37" customFormat="1" ht="81">
      <c r="A14" s="110">
        <f>IF(Data!AV13="","",Data!AW13)</f>
        <v>3</v>
      </c>
      <c r="B14" s="111" t="e">
        <f>IF(Data!AV13="","",'Job Sheet'!CL13)</f>
        <v>#N/A</v>
      </c>
      <c r="C14" s="111" t="str">
        <f>IF(Data!AV13="","",'Job Sheet'!C13)</f>
        <v>Kitchen</v>
      </c>
      <c r="D14" s="129" t="str">
        <f>IF(Data!AV13="","",IF('Job Sheet'!BK13="DVA Mesh",(CONCATENATE('Job Sheet'!BK13," ",'Job Sheet'!AF13)),'Job Sheet'!BK13))</f>
        <v>Alu-Gard Perforated Aluminium</v>
      </c>
      <c r="E14" s="176" t="str">
        <f>'Job Sheet'!AI13</f>
        <v>No</v>
      </c>
      <c r="F14" s="114" t="str">
        <f>IF(D14="Colonial Cast",CONCATENATE('Job Sheet'!AD13," ",'Job Sheet'!AB13),'Job Sheet'!AB13)</f>
        <v/>
      </c>
      <c r="G14" s="172" t="str">
        <f>'Job Sheet'!BL13</f>
        <v>900 x 2000</v>
      </c>
      <c r="H14" s="173" t="str">
        <f>IF(OR(A14="",D14="Flyscreen",'Job Sheet'!BK13=""),"",CONCATENATE('Job Sheet'!BM13," x ",'Job Sheet'!BN13))</f>
        <v>790 x 1954</v>
      </c>
      <c r="I14" s="174" t="str">
        <f>IF('Job Sheet'!AJ13="","",IF(D14="Invisi-Gard Woven Stainless Steel",'Job Sheet'!AJ13-60,'Job Sheet'!AJ13-56))</f>
        <v/>
      </c>
      <c r="J14" s="112" t="str">
        <f>CONCATENATE('Job Sheet'!AE13," ",'Job Sheet'!AF13)</f>
        <v xml:space="preserve"> </v>
      </c>
      <c r="K14" s="91" t="str">
        <f>'Job Sheet'!BR13</f>
        <v/>
      </c>
      <c r="L14" s="177" t="str">
        <f>IF(OR(A14="",D14="Flyscreen",J14="",AND('Job Sheet'!BS13="",'Job Sheet'!BT13="")),"",CONCATENATE('Job Sheet'!BS13," x ",'Job Sheet'!BT13))</f>
        <v/>
      </c>
      <c r="M14" s="112" t="str">
        <f>'Job Sheet'!BF13</f>
        <v/>
      </c>
      <c r="N14" s="131">
        <f t="shared" si="0"/>
        <v>3</v>
      </c>
    </row>
    <row r="15" spans="1:14" s="37" customFormat="1" ht="60" customHeight="1">
      <c r="A15" s="110" t="str">
        <f>IF(Data!AV14="","",Data!AW14)</f>
        <v/>
      </c>
      <c r="B15" s="111" t="str">
        <f>IF(Data!AV14="","",'Job Sheet'!CL14)</f>
        <v/>
      </c>
      <c r="C15" s="111" t="str">
        <f>IF(Data!AV14="","",'Job Sheet'!C14)</f>
        <v/>
      </c>
      <c r="D15" s="129" t="str">
        <f>IF(Data!AV14="","",IF('Job Sheet'!BK14="DVA Mesh",(CONCATENATE('Job Sheet'!BK14," ",'Job Sheet'!AF14)),'Job Sheet'!BK14))</f>
        <v/>
      </c>
      <c r="E15" s="176" t="str">
        <f>'Job Sheet'!AI14</f>
        <v/>
      </c>
      <c r="F15" s="114" t="str">
        <f>IF(D15="Colonial Cast",CONCATENATE('Job Sheet'!AD14," ",'Job Sheet'!AB14),'Job Sheet'!AB14)</f>
        <v/>
      </c>
      <c r="G15" s="172" t="str">
        <f>'Job Sheet'!BL14</f>
        <v/>
      </c>
      <c r="H15" s="173" t="str">
        <f>IF(OR(A15="",D15="Flyscreen",'Job Sheet'!BK14=""),"",CONCATENATE('Job Sheet'!BM14," x ",'Job Sheet'!BN14))</f>
        <v/>
      </c>
      <c r="I15" s="174" t="str">
        <f>IF('Job Sheet'!AJ14="","",IF(D15="Invisi-Gard Woven Stainless Steel",'Job Sheet'!AJ14-60,'Job Sheet'!AJ14-56))</f>
        <v/>
      </c>
      <c r="J15" s="112" t="str">
        <f>CONCATENATE('Job Sheet'!AE14," ",'Job Sheet'!AF14)</f>
        <v xml:space="preserve"> </v>
      </c>
      <c r="K15" s="91" t="str">
        <f>'Job Sheet'!BR14</f>
        <v/>
      </c>
      <c r="L15" s="177" t="str">
        <f>IF(OR(A15="",D15="Flyscreen",J15="",AND('Job Sheet'!BS14="",'Job Sheet'!BT14="")),"",CONCATENATE('Job Sheet'!BS14," x ",'Job Sheet'!BT14))</f>
        <v/>
      </c>
      <c r="M15" s="112" t="str">
        <f>'Job Sheet'!BF14</f>
        <v/>
      </c>
      <c r="N15" s="131" t="str">
        <f t="shared" si="0"/>
        <v/>
      </c>
    </row>
    <row r="16" spans="1:14" s="37" customFormat="1" ht="60" customHeight="1">
      <c r="A16" s="110" t="str">
        <f>IF(Data!AV15="","",Data!AW15)</f>
        <v/>
      </c>
      <c r="B16" s="111" t="str">
        <f>IF(Data!AV15="","",'Job Sheet'!CL15)</f>
        <v/>
      </c>
      <c r="C16" s="111" t="str">
        <f>IF(Data!AV15="","",'Job Sheet'!C15)</f>
        <v/>
      </c>
      <c r="D16" s="129" t="str">
        <f>IF(Data!AV15="","",IF('Job Sheet'!BK15="DVA Mesh",(CONCATENATE('Job Sheet'!BK15," ",'Job Sheet'!AF15)),'Job Sheet'!BK15))</f>
        <v/>
      </c>
      <c r="E16" s="176" t="str">
        <f>'Job Sheet'!AI15</f>
        <v/>
      </c>
      <c r="F16" s="114" t="str">
        <f>IF(D16="Colonial Cast",CONCATENATE('Job Sheet'!AD15," ",'Job Sheet'!AB15),'Job Sheet'!AB15)</f>
        <v/>
      </c>
      <c r="G16" s="172" t="str">
        <f>'Job Sheet'!BL15</f>
        <v/>
      </c>
      <c r="H16" s="173" t="str">
        <f>IF(OR(A16="",D16="Flyscreen",'Job Sheet'!BK15=""),"",CONCATENATE('Job Sheet'!BM15," x ",'Job Sheet'!BN15))</f>
        <v/>
      </c>
      <c r="I16" s="174" t="str">
        <f>IF('Job Sheet'!AJ15="","",IF(D16="Invisi-Gard Woven Stainless Steel",'Job Sheet'!AJ15-60,'Job Sheet'!AJ15-56))</f>
        <v/>
      </c>
      <c r="J16" s="112" t="str">
        <f>CONCATENATE('Job Sheet'!AE15," ",'Job Sheet'!AF15)</f>
        <v xml:space="preserve"> </v>
      </c>
      <c r="K16" s="91" t="str">
        <f>'Job Sheet'!BR15</f>
        <v/>
      </c>
      <c r="L16" s="177" t="str">
        <f>IF(OR(A16="",D16="Flyscreen",J16="",AND('Job Sheet'!BS15="",'Job Sheet'!BT15="")),"",CONCATENATE('Job Sheet'!BS15," x ",'Job Sheet'!BT15))</f>
        <v/>
      </c>
      <c r="M16" s="112" t="str">
        <f>'Job Sheet'!BF15</f>
        <v/>
      </c>
      <c r="N16" s="131" t="str">
        <f t="shared" si="0"/>
        <v/>
      </c>
    </row>
    <row r="17" spans="1:14" s="37" customFormat="1" ht="60" customHeight="1">
      <c r="A17" s="110" t="str">
        <f>IF(Data!AV16="","",Data!AW16)</f>
        <v/>
      </c>
      <c r="B17" s="111" t="str">
        <f>IF(Data!AV16="","",'Job Sheet'!CL16)</f>
        <v/>
      </c>
      <c r="C17" s="111" t="str">
        <f>IF(Data!AV16="","",'Job Sheet'!C16)</f>
        <v/>
      </c>
      <c r="D17" s="129" t="str">
        <f>IF(Data!AV16="","",IF('Job Sheet'!BK16="DVA Mesh",(CONCATENATE('Job Sheet'!BK16," ",'Job Sheet'!AF16)),'Job Sheet'!BK16))</f>
        <v/>
      </c>
      <c r="E17" s="176" t="str">
        <f>'Job Sheet'!AI16</f>
        <v/>
      </c>
      <c r="F17" s="114" t="str">
        <f>IF(D17="Colonial Cast",CONCATENATE('Job Sheet'!AD16," ",'Job Sheet'!AB16),'Job Sheet'!AB16)</f>
        <v/>
      </c>
      <c r="G17" s="172" t="str">
        <f>'Job Sheet'!BL16</f>
        <v/>
      </c>
      <c r="H17" s="173" t="str">
        <f>IF(OR(A17="",D17="Flyscreen",'Job Sheet'!BK16=""),"",CONCATENATE('Job Sheet'!BM16," x ",'Job Sheet'!BN16))</f>
        <v/>
      </c>
      <c r="I17" s="174" t="str">
        <f>IF('Job Sheet'!AJ16="","",IF(D17="Invisi-Gard Woven Stainless Steel",'Job Sheet'!AJ16-60,'Job Sheet'!AJ16-56))</f>
        <v/>
      </c>
      <c r="J17" s="112" t="str">
        <f>CONCATENATE('Job Sheet'!AE16," ",'Job Sheet'!AF16)</f>
        <v xml:space="preserve"> </v>
      </c>
      <c r="K17" s="91" t="str">
        <f>'Job Sheet'!BR16</f>
        <v/>
      </c>
      <c r="L17" s="177" t="str">
        <f>IF(OR(A17="",D17="Flyscreen",J17="",AND('Job Sheet'!BS16="",'Job Sheet'!BT16="")),"",CONCATENATE('Job Sheet'!BS16," x ",'Job Sheet'!BT16))</f>
        <v/>
      </c>
      <c r="M17" s="112" t="str">
        <f>'Job Sheet'!BF16</f>
        <v/>
      </c>
      <c r="N17" s="131" t="str">
        <f t="shared" si="0"/>
        <v/>
      </c>
    </row>
    <row r="18" spans="1:14" s="37" customFormat="1" ht="60" customHeight="1">
      <c r="A18" s="110" t="str">
        <f>IF(Data!AV17="","",Data!AW17)</f>
        <v/>
      </c>
      <c r="B18" s="111" t="str">
        <f>IF(Data!AV17="","",'Job Sheet'!CL17)</f>
        <v/>
      </c>
      <c r="C18" s="111" t="str">
        <f>IF(Data!AV17="","",'Job Sheet'!C17)</f>
        <v/>
      </c>
      <c r="D18" s="129" t="str">
        <f>IF(Data!AV17="","",IF('Job Sheet'!BK17="DVA Mesh",(CONCATENATE('Job Sheet'!BK17," ",'Job Sheet'!AF17)),'Job Sheet'!BK17))</f>
        <v/>
      </c>
      <c r="E18" s="176" t="str">
        <f>'Job Sheet'!AI17</f>
        <v/>
      </c>
      <c r="F18" s="114" t="str">
        <f>IF(D18="Colonial Cast",CONCATENATE('Job Sheet'!AD17," ",'Job Sheet'!AB17),'Job Sheet'!AB17)</f>
        <v/>
      </c>
      <c r="G18" s="172" t="str">
        <f>'Job Sheet'!BL17</f>
        <v/>
      </c>
      <c r="H18" s="173" t="str">
        <f>IF(OR(A18="",D18="Flyscreen",'Job Sheet'!BK17=""),"",CONCATENATE('Job Sheet'!BM17," x ",'Job Sheet'!BN17))</f>
        <v/>
      </c>
      <c r="I18" s="174" t="str">
        <f>IF('Job Sheet'!AJ17="","",IF(D18="Invisi-Gard Woven Stainless Steel",'Job Sheet'!AJ17-60,'Job Sheet'!AJ17-56))</f>
        <v/>
      </c>
      <c r="J18" s="112" t="str">
        <f>CONCATENATE('Job Sheet'!AE17," ",'Job Sheet'!AF17)</f>
        <v xml:space="preserve"> </v>
      </c>
      <c r="K18" s="91" t="str">
        <f>'Job Sheet'!BR17</f>
        <v/>
      </c>
      <c r="L18" s="177" t="str">
        <f>IF(OR(A18="",D18="Flyscreen",J18="",AND('Job Sheet'!BS17="",'Job Sheet'!BT17="")),"",CONCATENATE('Job Sheet'!BS17," x ",'Job Sheet'!BT17))</f>
        <v/>
      </c>
      <c r="M18" s="112" t="str">
        <f>'Job Sheet'!BF17</f>
        <v/>
      </c>
      <c r="N18" s="131" t="str">
        <f t="shared" si="0"/>
        <v/>
      </c>
    </row>
    <row r="19" spans="1:14" s="37" customFormat="1" ht="60" customHeight="1">
      <c r="A19" s="110" t="str">
        <f>IF(Data!AV18="","",Data!AW18)</f>
        <v/>
      </c>
      <c r="B19" s="111" t="str">
        <f>IF(Data!AV18="","",'Job Sheet'!CL18)</f>
        <v/>
      </c>
      <c r="C19" s="111" t="str">
        <f>IF(Data!AV18="","",'Job Sheet'!C18)</f>
        <v/>
      </c>
      <c r="D19" s="129" t="str">
        <f>IF(Data!AV18="","",IF('Job Sheet'!BK18="DVA Mesh",(CONCATENATE('Job Sheet'!BK18," ",'Job Sheet'!AF18)),'Job Sheet'!BK18))</f>
        <v/>
      </c>
      <c r="E19" s="176" t="str">
        <f>'Job Sheet'!AI18</f>
        <v/>
      </c>
      <c r="F19" s="114" t="str">
        <f>IF(D19="Colonial Cast",CONCATENATE('Job Sheet'!AD18," ",'Job Sheet'!AB18),'Job Sheet'!AB18)</f>
        <v/>
      </c>
      <c r="G19" s="172" t="str">
        <f>'Job Sheet'!BL18</f>
        <v/>
      </c>
      <c r="H19" s="173" t="str">
        <f>IF(OR(A19="",D19="Flyscreen",'Job Sheet'!BK18=""),"",CONCATENATE('Job Sheet'!BM18," x ",'Job Sheet'!BN18))</f>
        <v/>
      </c>
      <c r="I19" s="174" t="str">
        <f>IF('Job Sheet'!AJ18="","",IF(D19="Invisi-Gard Woven Stainless Steel",'Job Sheet'!AJ18-60,'Job Sheet'!AJ18-56))</f>
        <v/>
      </c>
      <c r="J19" s="112" t="str">
        <f>CONCATENATE('Job Sheet'!AE18," ",'Job Sheet'!AF18)</f>
        <v xml:space="preserve"> </v>
      </c>
      <c r="K19" s="91" t="str">
        <f>'Job Sheet'!BR18</f>
        <v/>
      </c>
      <c r="L19" s="177" t="str">
        <f>IF(OR(A19="",D19="Flyscreen",J19="",AND('Job Sheet'!BS18="",'Job Sheet'!BT18="")),"",CONCATENATE('Job Sheet'!BS18," x ",'Job Sheet'!BT18))</f>
        <v/>
      </c>
      <c r="M19" s="112" t="str">
        <f>'Job Sheet'!BF18</f>
        <v/>
      </c>
      <c r="N19" s="131" t="str">
        <f t="shared" si="0"/>
        <v/>
      </c>
    </row>
    <row r="20" spans="1:14" ht="60" customHeight="1">
      <c r="A20" s="110" t="str">
        <f>IF(Data!AV19="","",Data!AW19)</f>
        <v/>
      </c>
      <c r="B20" s="111" t="str">
        <f>IF(Data!AV19="","",'Job Sheet'!CL19)</f>
        <v/>
      </c>
      <c r="C20" s="111" t="str">
        <f>IF(Data!AV19="","",'Job Sheet'!C19)</f>
        <v/>
      </c>
      <c r="D20" s="129" t="str">
        <f>IF(Data!AV19="","",IF('Job Sheet'!BK19="DVA Mesh",(CONCATENATE('Job Sheet'!BK19," ",'Job Sheet'!AF19)),'Job Sheet'!BK19))</f>
        <v/>
      </c>
      <c r="E20" s="176" t="str">
        <f>'Job Sheet'!AI19</f>
        <v/>
      </c>
      <c r="F20" s="114" t="str">
        <f>IF(D20="Colonial Cast",CONCATENATE('Job Sheet'!AD19," ",'Job Sheet'!AB19),'Job Sheet'!AB19)</f>
        <v/>
      </c>
      <c r="G20" s="172" t="str">
        <f>'Job Sheet'!BL19</f>
        <v/>
      </c>
      <c r="H20" s="173" t="str">
        <f>IF(OR(A20="",D20="Flyscreen",'Job Sheet'!BK19=""),"",CONCATENATE('Job Sheet'!BM19," x ",'Job Sheet'!BN19))</f>
        <v/>
      </c>
      <c r="I20" s="174" t="str">
        <f>IF('Job Sheet'!AJ19="","",IF(D20="Invisi-Gard Woven Stainless Steel",'Job Sheet'!AJ19-60,'Job Sheet'!AJ19-56))</f>
        <v/>
      </c>
      <c r="J20" s="112" t="str">
        <f>CONCATENATE('Job Sheet'!AE19," ",'Job Sheet'!AF19)</f>
        <v xml:space="preserve"> </v>
      </c>
      <c r="K20" s="91" t="str">
        <f>'Job Sheet'!BR19</f>
        <v/>
      </c>
      <c r="L20" s="177" t="str">
        <f>IF(OR(A20="",D20="Flyscreen",J20="",AND('Job Sheet'!BS19="",'Job Sheet'!BT19="")),"",CONCATENATE('Job Sheet'!BS19," x ",'Job Sheet'!BT19))</f>
        <v/>
      </c>
      <c r="M20" s="112" t="str">
        <f>'Job Sheet'!BF19</f>
        <v/>
      </c>
      <c r="N20" s="131" t="str">
        <f t="shared" si="0"/>
        <v/>
      </c>
    </row>
    <row r="21" spans="1:14" ht="60" customHeight="1">
      <c r="A21" s="110" t="str">
        <f>IF(Data!AV20="","",Data!AW20)</f>
        <v/>
      </c>
      <c r="B21" s="111" t="str">
        <f>IF(Data!AV20="","",'Job Sheet'!CL20)</f>
        <v/>
      </c>
      <c r="C21" s="111" t="str">
        <f>IF(Data!AV20="","",'Job Sheet'!C20)</f>
        <v/>
      </c>
      <c r="D21" s="129" t="str">
        <f>IF(Data!AV20="","",IF('Job Sheet'!BK20="DVA Mesh",(CONCATENATE('Job Sheet'!BK20," ",'Job Sheet'!AF20)),'Job Sheet'!BK20))</f>
        <v/>
      </c>
      <c r="E21" s="176" t="str">
        <f>'Job Sheet'!AI20</f>
        <v/>
      </c>
      <c r="F21" s="114" t="str">
        <f>IF(D21="Colonial Cast",CONCATENATE('Job Sheet'!AD20," ",'Job Sheet'!AB20),'Job Sheet'!AB20)</f>
        <v/>
      </c>
      <c r="G21" s="175" t="str">
        <f>'Job Sheet'!BL20</f>
        <v/>
      </c>
      <c r="H21" s="173" t="str">
        <f>IF(OR(A21="",D21="Flyscreen",'Job Sheet'!BK20=""),"",CONCATENATE('Job Sheet'!BM20," x ",'Job Sheet'!BN20))</f>
        <v/>
      </c>
      <c r="I21" s="174" t="str">
        <f>IF('Job Sheet'!AJ20="","",IF(D21="Invisi-Gard Woven Stainless Steel",'Job Sheet'!AJ20-60,'Job Sheet'!AJ20-56))</f>
        <v/>
      </c>
      <c r="J21" s="112" t="str">
        <f>CONCATENATE('Job Sheet'!AE20," ",'Job Sheet'!AF20)</f>
        <v xml:space="preserve"> </v>
      </c>
      <c r="K21" s="91" t="str">
        <f>'Job Sheet'!BR20</f>
        <v/>
      </c>
      <c r="L21" s="177" t="str">
        <f>IF(OR(A21="",D21="Flyscreen",J21="",AND('Job Sheet'!BS20="",'Job Sheet'!BT20="")),"",CONCATENATE('Job Sheet'!BS20," x ",'Job Sheet'!BT20))</f>
        <v/>
      </c>
      <c r="M21" s="112" t="str">
        <f>'Job Sheet'!BF20</f>
        <v/>
      </c>
      <c r="N21" s="131" t="str">
        <f t="shared" si="0"/>
        <v/>
      </c>
    </row>
    <row r="22" spans="1:10" ht="60" customHeight="1">
      <c r="A22" s="63"/>
      <c r="B22" s="63"/>
      <c r="C22" s="63"/>
      <c r="D22" s="63"/>
      <c r="E22" s="63"/>
      <c r="F22" s="63"/>
      <c r="G22" s="63"/>
      <c r="H22" s="64"/>
      <c r="I22" s="64"/>
      <c r="J22" s="64"/>
    </row>
    <row r="23" spans="1:10" ht="60" customHeight="1">
      <c r="A23" s="63"/>
      <c r="B23" s="63"/>
      <c r="C23" s="63"/>
      <c r="D23" s="63"/>
      <c r="E23" s="63"/>
      <c r="F23" s="63"/>
      <c r="G23" s="63"/>
      <c r="H23" s="64"/>
      <c r="I23" s="64"/>
      <c r="J23" s="64"/>
    </row>
    <row r="24" spans="1:10" ht="60" customHeight="1">
      <c r="A24" s="63"/>
      <c r="B24" s="63"/>
      <c r="C24" s="63"/>
      <c r="D24" s="63"/>
      <c r="E24" s="63"/>
      <c r="F24" s="63"/>
      <c r="G24" s="63"/>
      <c r="H24" s="64"/>
      <c r="I24" s="64"/>
      <c r="J24" s="64"/>
    </row>
    <row r="25" spans="1:10" ht="60" customHeight="1">
      <c r="A25" s="63"/>
      <c r="B25" s="63"/>
      <c r="C25" s="63"/>
      <c r="D25" s="63"/>
      <c r="E25" s="63"/>
      <c r="F25" s="63"/>
      <c r="G25" s="63"/>
      <c r="H25" s="64"/>
      <c r="I25" s="64"/>
      <c r="J25" s="64"/>
    </row>
    <row r="26" spans="1:10" ht="60" customHeight="1">
      <c r="A26" s="63"/>
      <c r="B26" s="63"/>
      <c r="C26" s="63"/>
      <c r="D26" s="63"/>
      <c r="E26" s="63"/>
      <c r="F26" s="63"/>
      <c r="G26" s="63"/>
      <c r="H26" s="64"/>
      <c r="I26" s="64"/>
      <c r="J26" s="64"/>
    </row>
    <row r="27" spans="1:10" ht="60" customHeight="1">
      <c r="A27" s="63"/>
      <c r="B27" s="63"/>
      <c r="C27" s="63"/>
      <c r="D27" s="63"/>
      <c r="E27" s="63"/>
      <c r="F27" s="63"/>
      <c r="G27" s="63"/>
      <c r="H27" s="64"/>
      <c r="I27" s="64"/>
      <c r="J27" s="64"/>
    </row>
    <row r="28" spans="1:10" ht="60" customHeight="1">
      <c r="A28" s="63"/>
      <c r="B28" s="63"/>
      <c r="C28" s="63"/>
      <c r="D28" s="63"/>
      <c r="E28" s="63"/>
      <c r="F28" s="63"/>
      <c r="G28" s="63"/>
      <c r="H28" s="64"/>
      <c r="I28" s="64"/>
      <c r="J28" s="64"/>
    </row>
    <row r="29" spans="1:10" ht="60" customHeight="1">
      <c r="A29" s="63"/>
      <c r="B29" s="63"/>
      <c r="C29" s="63"/>
      <c r="D29" s="63"/>
      <c r="E29" s="63"/>
      <c r="F29" s="63"/>
      <c r="G29" s="63"/>
      <c r="H29" s="64"/>
      <c r="I29" s="64"/>
      <c r="J29" s="64"/>
    </row>
    <row r="30" spans="1:10" ht="60" customHeight="1">
      <c r="A30" s="63"/>
      <c r="B30" s="63"/>
      <c r="C30" s="63"/>
      <c r="D30" s="63"/>
      <c r="E30" s="63"/>
      <c r="F30" s="63"/>
      <c r="G30" s="63"/>
      <c r="H30" s="64"/>
      <c r="I30" s="64"/>
      <c r="J30" s="64"/>
    </row>
    <row r="31" spans="1:10" ht="60" customHeight="1">
      <c r="A31" s="63"/>
      <c r="B31" s="63"/>
      <c r="C31" s="63"/>
      <c r="D31" s="63"/>
      <c r="E31" s="63"/>
      <c r="F31" s="63"/>
      <c r="G31" s="63"/>
      <c r="H31" s="64"/>
      <c r="I31" s="64"/>
      <c r="J31" s="64"/>
    </row>
    <row r="32" spans="1:10" ht="60" customHeight="1">
      <c r="A32" s="63"/>
      <c r="B32" s="63"/>
      <c r="C32" s="63"/>
      <c r="D32" s="63"/>
      <c r="E32" s="63"/>
      <c r="F32" s="63"/>
      <c r="G32" s="63"/>
      <c r="H32" s="64"/>
      <c r="I32" s="64"/>
      <c r="J32" s="64"/>
    </row>
    <row r="33" spans="1:10" ht="60" customHeight="1">
      <c r="A33" s="63"/>
      <c r="B33" s="63"/>
      <c r="C33" s="63"/>
      <c r="D33" s="63"/>
      <c r="E33" s="63"/>
      <c r="F33" s="63"/>
      <c r="G33" s="63"/>
      <c r="H33" s="64"/>
      <c r="I33" s="64"/>
      <c r="J33" s="64"/>
    </row>
    <row r="34" spans="1:10" ht="60" customHeight="1">
      <c r="A34" s="63"/>
      <c r="B34" s="63"/>
      <c r="C34" s="63"/>
      <c r="D34" s="63"/>
      <c r="I34" s="64"/>
      <c r="J34" s="64"/>
    </row>
    <row r="35" spans="1:10" ht="60" customHeight="1">
      <c r="A35" s="63"/>
      <c r="B35" s="63"/>
      <c r="C35" s="63"/>
      <c r="D35" s="63"/>
      <c r="I35" s="64"/>
      <c r="J35" s="64"/>
    </row>
    <row r="36" spans="1:10" ht="60" customHeight="1">
      <c r="A36" s="63"/>
      <c r="B36" s="63"/>
      <c r="C36" s="63"/>
      <c r="D36" s="63"/>
      <c r="I36" s="64"/>
      <c r="J36" s="64"/>
    </row>
    <row r="37" spans="1:10" ht="60" customHeight="1">
      <c r="A37" s="63"/>
      <c r="B37" s="63"/>
      <c r="C37" s="63"/>
      <c r="D37" s="63"/>
      <c r="I37" s="64"/>
      <c r="J37" s="64"/>
    </row>
    <row r="38" spans="1:10" ht="60" customHeight="1">
      <c r="A38" s="63"/>
      <c r="B38" s="63"/>
      <c r="C38" s="63"/>
      <c r="D38" s="63"/>
      <c r="I38" s="64"/>
      <c r="J38" s="64"/>
    </row>
    <row r="39" spans="1:10" ht="60" customHeight="1">
      <c r="A39" s="63"/>
      <c r="B39" s="63"/>
      <c r="C39" s="63"/>
      <c r="D39" s="63"/>
      <c r="I39" s="64"/>
      <c r="J39" s="64"/>
    </row>
    <row r="40" spans="1:10" ht="60" customHeight="1">
      <c r="A40" s="63"/>
      <c r="B40" s="63"/>
      <c r="C40" s="63"/>
      <c r="D40" s="63"/>
      <c r="I40" s="64"/>
      <c r="J40" s="64"/>
    </row>
    <row r="41" spans="1:10" ht="60" customHeight="1">
      <c r="A41" s="63"/>
      <c r="B41" s="63"/>
      <c r="C41" s="63"/>
      <c r="D41" s="63"/>
      <c r="I41" s="64"/>
      <c r="J41" s="64"/>
    </row>
    <row r="42" spans="1:10" ht="60" customHeight="1">
      <c r="A42" s="63"/>
      <c r="B42" s="63"/>
      <c r="C42" s="63"/>
      <c r="D42" s="63"/>
      <c r="I42" s="64"/>
      <c r="J42" s="64"/>
    </row>
    <row r="43" spans="1:10" ht="60" customHeight="1">
      <c r="A43" s="63"/>
      <c r="B43" s="63"/>
      <c r="C43" s="63"/>
      <c r="D43" s="63"/>
      <c r="I43" s="64"/>
      <c r="J43" s="64"/>
    </row>
    <row r="44" spans="1:10" ht="60" customHeight="1">
      <c r="A44" s="63"/>
      <c r="B44" s="63"/>
      <c r="C44" s="63"/>
      <c r="D44" s="63"/>
      <c r="I44" s="64"/>
      <c r="J44" s="64"/>
    </row>
    <row r="45" spans="1:10" ht="60" customHeight="1">
      <c r="A45" s="63"/>
      <c r="B45" s="63"/>
      <c r="C45" s="63"/>
      <c r="D45" s="63"/>
      <c r="I45" s="64"/>
      <c r="J45" s="64"/>
    </row>
    <row r="46" spans="1:10" ht="60" customHeight="1">
      <c r="A46" s="63"/>
      <c r="B46" s="63"/>
      <c r="C46" s="63"/>
      <c r="D46" s="63"/>
      <c r="I46" s="64"/>
      <c r="J46" s="64"/>
    </row>
    <row r="47" spans="1:10" ht="60" customHeight="1">
      <c r="A47" s="63"/>
      <c r="B47" s="63"/>
      <c r="C47" s="63"/>
      <c r="D47" s="63"/>
      <c r="I47" s="64"/>
      <c r="J47" s="64"/>
    </row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</sheetData>
  <mergeCells count="36">
    <mergeCell ref="G7:K7"/>
    <mergeCell ref="G6:K6"/>
    <mergeCell ref="G5:K5"/>
    <mergeCell ref="L2:N2"/>
    <mergeCell ref="J8:J10"/>
    <mergeCell ref="K8:K10"/>
    <mergeCell ref="G3:K3"/>
    <mergeCell ref="G2:K2"/>
    <mergeCell ref="G4:K4"/>
    <mergeCell ref="A3:B3"/>
    <mergeCell ref="A4:B4"/>
    <mergeCell ref="A2:B2"/>
    <mergeCell ref="A5:B5"/>
    <mergeCell ref="E5:F7"/>
    <mergeCell ref="C2:D2"/>
    <mergeCell ref="C3:D3"/>
    <mergeCell ref="C4:D4"/>
    <mergeCell ref="E2:F2"/>
    <mergeCell ref="E3:F3"/>
    <mergeCell ref="E4:F4"/>
    <mergeCell ref="A1:N1"/>
    <mergeCell ref="N8:N10"/>
    <mergeCell ref="E8:E10"/>
    <mergeCell ref="I8:I10"/>
    <mergeCell ref="A6:D7"/>
    <mergeCell ref="F8:F10"/>
    <mergeCell ref="H8:H10"/>
    <mergeCell ref="B8:B10"/>
    <mergeCell ref="M8:M10"/>
    <mergeCell ref="D8:D10"/>
    <mergeCell ref="G8:G10"/>
    <mergeCell ref="L8:L10"/>
    <mergeCell ref="A8:A10"/>
    <mergeCell ref="C8:C10"/>
    <mergeCell ref="C5:D5"/>
    <mergeCell ref="L3:N7"/>
  </mergeCells>
  <pageMargins left="0.645669291338609" right="0.645669291338609" top="0.236220472440945" bottom="0.236220472440945" header="0.236220472440945" footer="0.236220472440945"/>
  <pageSetup fitToHeight="0" orientation="landscape" paperSize="9" scale="1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20336-2DA9-46D5-9E4C-7C02050230CE}">
  <sheetPr codeName="Sheet2">
    <pageSetUpPr fitToPage="1"/>
  </sheetPr>
  <dimension ref="A1:S47"/>
  <sheetViews>
    <sheetView view="pageBreakPreview" zoomScale="50" zoomScaleNormal="25" zoomScaleSheetLayoutView="50" workbookViewId="0" topLeftCell="A1">
      <selection pane="topLeft" activeCell="I17" sqref="I17"/>
    </sheetView>
  </sheetViews>
  <sheetFormatPr defaultColWidth="9.109375" defaultRowHeight="30"/>
  <cols>
    <col min="1" max="1" width="11.4285714285714" style="57" customWidth="1"/>
    <col min="2" max="2" width="26.2857142857143" style="57" bestFit="1" customWidth="1"/>
    <col min="3" max="3" width="34.7142857142857" style="57" customWidth="1"/>
    <col min="4" max="4" width="23.8571428571429" style="57" customWidth="1"/>
    <col min="5" max="5" width="41.1428571428571" style="57" customWidth="1"/>
    <col min="6" max="6" width="15.4285714285714" style="57" customWidth="1"/>
    <col min="7" max="7" width="29" customWidth="1"/>
    <col min="8" max="8" width="39.2857142857143" customWidth="1"/>
    <col min="9" max="9" width="15.2857142857143" customWidth="1"/>
    <col min="10" max="10" width="31.1428571428571" customWidth="1"/>
    <col min="11" max="11" width="21.2857142857143" customWidth="1"/>
    <col min="12" max="12" width="76.4285714285714" customWidth="1"/>
    <col min="13" max="13" width="18.5714285714286" customWidth="1"/>
    <col min="15" max="15" width="27.2857142857143" style="133" bestFit="1" customWidth="1"/>
    <col min="16" max="16" width="18.8571428571429" style="133" bestFit="1" customWidth="1"/>
    <col min="17" max="17" width="20.7142857142857" style="133" bestFit="1" customWidth="1"/>
    <col min="18" max="18" width="38.7142857142857" style="133" bestFit="1" customWidth="1"/>
    <col min="19" max="19" width="23.4285714285714" style="133" bestFit="1" customWidth="1"/>
  </cols>
  <sheetData>
    <row r="1" spans="1:19" s="30" customFormat="1" ht="208.2" customHeight="1">
      <c r="A1" s="287" t="s">
        <v>638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O1" s="134"/>
      <c r="P1" s="134"/>
      <c r="Q1" s="134"/>
      <c r="R1" s="134"/>
      <c r="S1" s="134"/>
    </row>
    <row r="2" spans="1:19" s="32" customFormat="1" ht="50.1" customHeight="1">
      <c r="A2" s="2" t="s">
        <v>7</v>
      </c>
      <c r="B2" s="2"/>
      <c r="C2" s="184"/>
      <c r="D2" s="184"/>
      <c r="E2" s="184" t="s">
        <v>118</v>
      </c>
      <c r="F2" s="184"/>
      <c r="G2" s="3" t="str">
        <f>IF(Data!AV11="","",Data!BF5)</f>
        <v>Leurs, Nigel</v>
      </c>
      <c r="H2" s="3"/>
      <c r="I2" s="3"/>
      <c r="J2" s="3"/>
      <c r="K2" s="4" t="s">
        <v>4</v>
      </c>
      <c r="L2" s="4"/>
      <c r="M2" s="4"/>
      <c r="O2" s="134"/>
      <c r="P2" s="134"/>
      <c r="Q2" s="134"/>
      <c r="R2" s="134"/>
      <c r="S2" s="134"/>
    </row>
    <row r="3" spans="1:19" s="32" customFormat="1" ht="50.1" customHeight="1">
      <c r="A3" s="2" t="s">
        <v>143</v>
      </c>
      <c r="B3" s="2"/>
      <c r="C3" s="182" t="str">
        <f>IF(Data!AV11="","",Data!BC5)</f>
        <v>12201</v>
      </c>
      <c r="D3" s="182"/>
      <c r="E3" s="187" t="s">
        <v>8</v>
      </c>
      <c r="F3" s="187"/>
      <c r="G3" s="215" t="str">
        <f>IF(Data!AV11="","",Data!AX5)</f>
        <v>Barrier Doors </v>
      </c>
      <c r="H3" s="215"/>
      <c r="I3" s="215"/>
      <c r="J3" s="215"/>
      <c r="K3" s="256" t="str">
        <f>TRIM(Data!BG5)</f>
        <v/>
      </c>
      <c r="L3" s="256"/>
      <c r="M3" s="256"/>
      <c r="O3" s="134"/>
      <c r="P3" s="134"/>
      <c r="Q3" s="134"/>
      <c r="R3" s="134"/>
      <c r="S3" s="134"/>
    </row>
    <row r="4" spans="1:19" s="21" customFormat="1" ht="50.1" customHeight="1">
      <c r="A4" s="186" t="s">
        <v>15</v>
      </c>
      <c r="B4" s="186"/>
      <c r="C4" s="182" t="str">
        <f>IF(Data!AV11="","",Data!BD5)</f>
        <v>A</v>
      </c>
      <c r="D4" s="182"/>
      <c r="E4" s="187" t="s">
        <v>137</v>
      </c>
      <c r="F4" s="187"/>
      <c r="G4" s="215" t="str">
        <f>IF(Data!AV11="","",Data!BA5)</f>
        <v>22/09/2026 12:00:00 AM</v>
      </c>
      <c r="H4" s="215"/>
      <c r="I4" s="215"/>
      <c r="J4" s="215"/>
      <c r="K4" s="256"/>
      <c r="L4" s="256"/>
      <c r="M4" s="256"/>
      <c r="O4" s="134"/>
      <c r="P4" s="134"/>
      <c r="Q4" s="134"/>
      <c r="R4" s="134"/>
      <c r="S4" s="134"/>
    </row>
    <row r="5" spans="1:19" s="21" customFormat="1" ht="50.1" customHeight="1">
      <c r="A5" s="185" t="s">
        <v>9</v>
      </c>
      <c r="B5" s="185"/>
      <c r="C5" s="1" t="str">
        <f>IF(Data!AV11="","",Data!AY5)</f>
        <v>26/08/2026 12:00:00 AM</v>
      </c>
      <c r="D5" s="1"/>
      <c r="E5" s="182" t="s">
        <v>12</v>
      </c>
      <c r="F5" s="182"/>
      <c r="G5" s="3" t="str">
        <f>TRIM(Data!BF5)</f>
        <v>Leurs, Nigel</v>
      </c>
      <c r="H5" s="3"/>
      <c r="I5" s="3"/>
      <c r="J5" s="3"/>
      <c r="K5" s="256"/>
      <c r="L5" s="256"/>
      <c r="M5" s="256"/>
      <c r="O5" s="133"/>
      <c r="P5" s="133"/>
      <c r="Q5" s="133"/>
      <c r="R5" s="133"/>
      <c r="S5" s="133"/>
    </row>
    <row r="6" spans="1:19" s="21" customFormat="1" ht="50.1" customHeight="1">
      <c r="A6" s="188" t="str">
        <f>IF(Data!AV11="","",'Job Sheet'!A6)</f>
        <v>Retail Customer</v>
      </c>
      <c r="B6" s="188"/>
      <c r="C6" s="188"/>
      <c r="D6" s="188"/>
      <c r="E6" s="182"/>
      <c r="F6" s="182"/>
      <c r="G6" s="3" t="str">
        <f>CONCATENATE(Data!BH5," ",Data!BI5," ",Data!BJ5," ",Data!BK5," ",Data!BL5)</f>
        <v xml:space="preserve"> 30  Timbertop Drive </v>
      </c>
      <c r="H6" s="3"/>
      <c r="I6" s="3"/>
      <c r="J6" s="3"/>
      <c r="K6" s="256"/>
      <c r="L6" s="256"/>
      <c r="M6" s="256"/>
      <c r="O6" s="133"/>
      <c r="P6" s="133"/>
      <c r="Q6" s="133"/>
      <c r="R6" s="133"/>
      <c r="S6" s="133"/>
    </row>
    <row r="7" spans="1:19" s="21" customFormat="1" ht="50.1" customHeight="1">
      <c r="A7" s="188"/>
      <c r="B7" s="188"/>
      <c r="C7" s="188"/>
      <c r="D7" s="188"/>
      <c r="E7" s="182"/>
      <c r="F7" s="182"/>
      <c r="G7" s="3" t="str">
        <f>CONCATENATE(Data!BM5," ",Data!BN5," ",Data!BO5," ",Data!BP5)</f>
        <v>Mount Helen VIC 3350 Australia</v>
      </c>
      <c r="H7" s="3"/>
      <c r="I7" s="3"/>
      <c r="J7" s="3"/>
      <c r="K7" s="256"/>
      <c r="L7" s="256"/>
      <c r="M7" s="256"/>
      <c r="O7" s="133"/>
      <c r="P7" s="133"/>
      <c r="Q7" s="133"/>
      <c r="R7" s="133"/>
      <c r="S7" s="133"/>
    </row>
    <row r="8" spans="1:19" s="61" customFormat="1" ht="50.1" customHeight="1">
      <c r="A8" s="289" t="s">
        <v>142</v>
      </c>
      <c r="B8" s="290" t="s">
        <v>515</v>
      </c>
      <c r="C8" s="290" t="s">
        <v>120</v>
      </c>
      <c r="D8" s="288" t="s">
        <v>225</v>
      </c>
      <c r="E8" s="258" t="s">
        <v>334</v>
      </c>
      <c r="F8" s="288" t="s">
        <v>183</v>
      </c>
      <c r="G8" s="258" t="s">
        <v>184</v>
      </c>
      <c r="H8" s="258" t="s">
        <v>336</v>
      </c>
      <c r="I8" s="288" t="s">
        <v>512</v>
      </c>
      <c r="J8" s="258" t="s">
        <v>162</v>
      </c>
      <c r="K8" s="258" t="s">
        <v>164</v>
      </c>
      <c r="L8" s="258" t="s">
        <v>5</v>
      </c>
      <c r="M8" s="258" t="s">
        <v>487</v>
      </c>
      <c r="O8" s="133"/>
      <c r="P8" s="133"/>
      <c r="Q8" s="133"/>
      <c r="R8" s="133"/>
      <c r="S8" s="133"/>
    </row>
    <row r="9" spans="1:19" s="61" customFormat="1" ht="14.25" customHeight="1" hidden="1">
      <c r="A9" s="289"/>
      <c r="B9" s="290"/>
      <c r="C9" s="290"/>
      <c r="D9" s="288"/>
      <c r="E9" s="258"/>
      <c r="F9" s="288"/>
      <c r="G9" s="258"/>
      <c r="H9" s="258"/>
      <c r="I9" s="288"/>
      <c r="J9" s="258"/>
      <c r="K9" s="258"/>
      <c r="L9" s="258"/>
      <c r="M9" s="258"/>
      <c r="O9" s="133"/>
      <c r="P9" s="133"/>
      <c r="Q9" s="133"/>
      <c r="R9" s="133"/>
      <c r="S9" s="133"/>
    </row>
    <row r="10" spans="1:19" s="62" customFormat="1" ht="65.25" customHeight="1">
      <c r="A10" s="289"/>
      <c r="B10" s="290"/>
      <c r="C10" s="290"/>
      <c r="D10" s="288"/>
      <c r="E10" s="258"/>
      <c r="F10" s="288"/>
      <c r="G10" s="258"/>
      <c r="H10" s="258"/>
      <c r="I10" s="288"/>
      <c r="J10" s="258"/>
      <c r="K10" s="258"/>
      <c r="L10" s="258"/>
      <c r="M10" s="258"/>
      <c r="O10" s="133"/>
      <c r="P10" s="133"/>
      <c r="Q10" s="133"/>
      <c r="R10" s="133"/>
      <c r="S10" s="133"/>
    </row>
    <row r="11" spans="1:19" s="62" customFormat="1" ht="33" hidden="1">
      <c r="A11" s="85"/>
      <c r="B11" s="88" t="e">
        <f>IF(Data!AV11="","",'Job Sheet'!CL11)</f>
        <v>#N/A</v>
      </c>
      <c r="C11" s="86"/>
      <c r="D11" s="128"/>
      <c r="E11" s="126"/>
      <c r="F11" s="128"/>
      <c r="G11" s="18"/>
      <c r="H11" s="55" t="str">
        <f t="array" ref="H11">bpLOOKUP(Data!$AV10,"MESH",CustOrdOpt,6,FALSE)</f>
        <v/>
      </c>
      <c r="I11" s="128"/>
      <c r="J11" s="55" t="str">
        <f t="array" ref="J11">(bpLOOKUP(Data!$AV10,"DOGDOORSIZE",CustOrdOpt,6,FALSE))</f>
        <v/>
      </c>
      <c r="K11" s="55" t="str">
        <f t="array" ref="K11">(bpLOOKUP(Data!$AV10,"DOGDOORPOSITION",CustOrdOpt,6,FALSE))</f>
        <v/>
      </c>
      <c r="L11" s="18"/>
      <c r="M11" s="109"/>
      <c r="O11" s="135" t="s">
        <v>225</v>
      </c>
      <c r="P11" s="135" t="s">
        <v>183</v>
      </c>
      <c r="Q11" s="135" t="s">
        <v>512</v>
      </c>
      <c r="R11" s="135" t="s">
        <v>643</v>
      </c>
      <c r="S11" s="135" t="s">
        <v>515</v>
      </c>
    </row>
    <row r="12" spans="1:19" s="37" customFormat="1" ht="60" customHeight="1">
      <c r="A12" s="110">
        <f>IF(Data!AV11="","",Data!AW11)</f>
        <v>1</v>
      </c>
      <c r="B12" s="163" t="str">
        <f>IF(Data!AV11="","",VLOOKUP(CONCATENATE(D12,F12,I12),AssemblyAProcedure,2,FALSE))</f>
        <v>A</v>
      </c>
      <c r="C12" s="111" t="str">
        <f>IF(Data!AV11="","",'Job Sheet'!C11)</f>
        <v>Rumpus</v>
      </c>
      <c r="D12" s="129" t="str">
        <f>'Mitred Cutting'!C11</f>
        <v>Standard</v>
      </c>
      <c r="E12" s="112" t="str">
        <f>IF(Data!AV11="","",IF('Job Sheet'!BK11="DVA Mesh",(CONCATENATE('Job Sheet'!BK11," ",'Job Sheet'!AF11)),'Job Sheet'!BK11))</f>
        <v>Alu-Gard Perforated Aluminium</v>
      </c>
      <c r="F12" s="129" t="str">
        <f>IF('Job Sheet'!AI11="Yes - Centre","Yes",'Job Sheet'!AI11)</f>
        <v>No</v>
      </c>
      <c r="G12" s="119" t="str">
        <f>'Job Sheet'!AJ11</f>
        <v/>
      </c>
      <c r="H12" s="112" t="str">
        <f>CONCATENATE('Job Sheet'!AE11," ",'Job Sheet'!AF11)</f>
        <v xml:space="preserve"> </v>
      </c>
      <c r="I12" s="129" t="str">
        <f>IF(Data!AV11="","",IF('Job Sheet'!AV11="","No",'Job Sheet'!AV11))</f>
        <v>No</v>
      </c>
      <c r="J12" s="112" t="str">
        <f>'Job Sheet'!AW11</f>
        <v/>
      </c>
      <c r="K12" s="112" t="str">
        <f>'Job Sheet'!AY11</f>
        <v/>
      </c>
      <c r="L12" s="112" t="str">
        <f>'Job Sheet'!BF11</f>
        <v/>
      </c>
      <c r="M12" s="130">
        <f>A12</f>
        <v>1</v>
      </c>
      <c r="O12" s="135" t="s">
        <v>225</v>
      </c>
      <c r="P12" s="135" t="s">
        <v>183</v>
      </c>
      <c r="Q12" s="135" t="s">
        <v>512</v>
      </c>
      <c r="R12" s="135" t="s">
        <v>643</v>
      </c>
      <c r="S12" s="135" t="s">
        <v>515</v>
      </c>
    </row>
    <row r="13" spans="1:19" s="37" customFormat="1" ht="60" customHeight="1">
      <c r="A13" s="110">
        <f>IF(Data!AV12="","",Data!AW12)</f>
        <v>2</v>
      </c>
      <c r="B13" s="163" t="str">
        <f>IF(Data!AV12="","",VLOOKUP(CONCATENATE(D13,F13,I13),AssemblyAProcedure,2,FALSE))</f>
        <v>A</v>
      </c>
      <c r="C13" s="111" t="str">
        <f>IF(Data!AV12="","",'Job Sheet'!C12)</f>
        <v>Laundry</v>
      </c>
      <c r="D13" s="129" t="str">
        <f>'Mitred Cutting'!C12</f>
        <v>Standard</v>
      </c>
      <c r="E13" s="112" t="str">
        <f>IF(Data!AV12="","",IF('Job Sheet'!BK12="DVA Mesh",(CONCATENATE('Job Sheet'!BK12," ",'Job Sheet'!AF12)),'Job Sheet'!BK12))</f>
        <v>Alu-Gard Perforated Aluminium</v>
      </c>
      <c r="F13" s="129" t="str">
        <f>IF('Job Sheet'!AI12="Yes - Centre","Yes",'Job Sheet'!AI12)</f>
        <v>No</v>
      </c>
      <c r="G13" s="119" t="str">
        <f>'Job Sheet'!AJ12</f>
        <v/>
      </c>
      <c r="H13" s="112" t="str">
        <f>CONCATENATE('Job Sheet'!AE12," ",'Job Sheet'!AF12)</f>
        <v xml:space="preserve"> </v>
      </c>
      <c r="I13" s="129" t="str">
        <f>IF(Data!AV12="","",IF('Job Sheet'!AV12="","No",'Job Sheet'!AV12))</f>
        <v>No</v>
      </c>
      <c r="J13" s="112" t="str">
        <f>'Job Sheet'!AW12</f>
        <v/>
      </c>
      <c r="K13" s="112" t="str">
        <f>'Job Sheet'!AY12</f>
        <v/>
      </c>
      <c r="L13" s="112" t="str">
        <f>'Job Sheet'!BF12</f>
        <v/>
      </c>
      <c r="M13" s="130">
        <f t="shared" si="0" ref="M13:M21">A13</f>
        <v>2</v>
      </c>
      <c r="O13" s="135" t="s">
        <v>234</v>
      </c>
      <c r="P13" s="135" t="s">
        <v>147</v>
      </c>
      <c r="Q13" s="135" t="s">
        <v>147</v>
      </c>
      <c r="R13" s="135" t="str">
        <f t="shared" si="1" ref="R13:R18">CONCATENATE(O13,P13,Q13)</f>
        <v>StandardNoNo</v>
      </c>
      <c r="S13" s="135" t="s">
        <v>153</v>
      </c>
    </row>
    <row r="14" spans="1:19" s="37" customFormat="1" ht="60" customHeight="1">
      <c r="A14" s="110">
        <f>IF(Data!AV13="","",Data!AW13)</f>
        <v>3</v>
      </c>
      <c r="B14" s="163" t="str">
        <f>IF(Data!AV13="","",VLOOKUP(CONCATENATE(D14,F14,I14),AssemblyAProcedure,2,FALSE))</f>
        <v>A</v>
      </c>
      <c r="C14" s="111" t="str">
        <f>IF(Data!AV13="","",'Job Sheet'!C13)</f>
        <v>Kitchen</v>
      </c>
      <c r="D14" s="129" t="str">
        <f>'Mitred Cutting'!C13</f>
        <v>Standard</v>
      </c>
      <c r="E14" s="112" t="str">
        <f>IF(Data!AV13="","",IF('Job Sheet'!BK13="DVA Mesh",(CONCATENATE('Job Sheet'!BK13," ",'Job Sheet'!AF13)),'Job Sheet'!BK13))</f>
        <v>Alu-Gard Perforated Aluminium</v>
      </c>
      <c r="F14" s="129" t="str">
        <f>IF('Job Sheet'!AI13="Yes - Centre","Yes",'Job Sheet'!AI13)</f>
        <v>No</v>
      </c>
      <c r="G14" s="119" t="str">
        <f>'Job Sheet'!AJ13</f>
        <v/>
      </c>
      <c r="H14" s="112" t="str">
        <f>CONCATENATE('Job Sheet'!AE13," ",'Job Sheet'!AF13)</f>
        <v xml:space="preserve"> </v>
      </c>
      <c r="I14" s="129" t="str">
        <f>IF(Data!AV13="","",IF('Job Sheet'!AV13="","No",'Job Sheet'!AV13))</f>
        <v>No</v>
      </c>
      <c r="J14" s="112" t="str">
        <f>'Job Sheet'!AW13</f>
        <v/>
      </c>
      <c r="K14" s="112" t="str">
        <f>'Job Sheet'!AY13</f>
        <v/>
      </c>
      <c r="L14" s="112" t="str">
        <f>'Job Sheet'!BF13</f>
        <v/>
      </c>
      <c r="M14" s="130">
        <f t="shared" si="0"/>
        <v>3</v>
      </c>
      <c r="O14" s="135" t="s">
        <v>234</v>
      </c>
      <c r="P14" s="135" t="s">
        <v>306</v>
      </c>
      <c r="Q14" s="135" t="s">
        <v>147</v>
      </c>
      <c r="R14" s="135" t="str">
        <f t="shared" si="1"/>
        <v>StandardYesNo</v>
      </c>
      <c r="S14" s="135" t="s">
        <v>516</v>
      </c>
    </row>
    <row r="15" spans="1:19" s="37" customFormat="1" ht="60" customHeight="1">
      <c r="A15" s="110" t="str">
        <f>IF(Data!AV14="","",Data!AW14)</f>
        <v/>
      </c>
      <c r="B15" s="163" t="str">
        <f>IF(Data!AV14="","",VLOOKUP(CONCATENATE(D15,F15,I15),AssemblyAProcedure,2,FALSE))</f>
        <v/>
      </c>
      <c r="C15" s="111" t="str">
        <f>IF(Data!AV14="","",'Job Sheet'!C14)</f>
        <v/>
      </c>
      <c r="D15" s="129" t="str">
        <f>'Mitred Cutting'!C14</f>
        <v/>
      </c>
      <c r="E15" s="112" t="str">
        <f>IF(Data!AV14="","",IF('Job Sheet'!BK14="DVA Mesh",(CONCATENATE('Job Sheet'!BK14," ",'Job Sheet'!AF14)),'Job Sheet'!BK14))</f>
        <v/>
      </c>
      <c r="F15" s="129" t="str">
        <f>IF('Job Sheet'!AI14="Yes - Centre","Yes",'Job Sheet'!AI14)</f>
        <v/>
      </c>
      <c r="G15" s="119" t="str">
        <f>'Job Sheet'!AJ14</f>
        <v/>
      </c>
      <c r="H15" s="112" t="str">
        <f>CONCATENATE('Job Sheet'!AE14," ",'Job Sheet'!AF14)</f>
        <v xml:space="preserve"> </v>
      </c>
      <c r="I15" s="129" t="str">
        <f>IF(Data!AV14="","",IF('Job Sheet'!AV14="","No",'Job Sheet'!AV14))</f>
        <v/>
      </c>
      <c r="J15" s="112" t="str">
        <f>'Job Sheet'!AW14</f>
        <v/>
      </c>
      <c r="K15" s="112" t="str">
        <f>'Job Sheet'!AY14</f>
        <v/>
      </c>
      <c r="L15" s="112" t="str">
        <f>'Job Sheet'!BF14</f>
        <v/>
      </c>
      <c r="M15" s="130" t="str">
        <f t="shared" si="0"/>
        <v/>
      </c>
      <c r="O15" s="135" t="s">
        <v>234</v>
      </c>
      <c r="P15" s="135" t="s">
        <v>147</v>
      </c>
      <c r="Q15" s="135" t="s">
        <v>306</v>
      </c>
      <c r="R15" s="135" t="str">
        <f t="shared" si="1"/>
        <v>StandardNoYes</v>
      </c>
      <c r="S15" s="135" t="s">
        <v>517</v>
      </c>
    </row>
    <row r="16" spans="1:19" s="37" customFormat="1" ht="60" customHeight="1">
      <c r="A16" s="110" t="str">
        <f>IF(Data!AV15="","",Data!AW15)</f>
        <v/>
      </c>
      <c r="B16" s="163" t="str">
        <f>IF(Data!AV15="","",VLOOKUP(CONCATENATE(D16,F16,I16),AssemblyAProcedure,2,FALSE))</f>
        <v/>
      </c>
      <c r="C16" s="111" t="str">
        <f>IF(Data!AV15="","",'Job Sheet'!C15)</f>
        <v/>
      </c>
      <c r="D16" s="129" t="str">
        <f>'Mitred Cutting'!C15</f>
        <v/>
      </c>
      <c r="E16" s="112" t="str">
        <f>IF(Data!AV15="","",IF('Job Sheet'!BK15="DVA Mesh",(CONCATENATE('Job Sheet'!BK15," ",'Job Sheet'!AF15)),'Job Sheet'!BK15))</f>
        <v/>
      </c>
      <c r="F16" s="129" t="str">
        <f>IF('Job Sheet'!AI15="Yes - Centre","Yes",'Job Sheet'!AI15)</f>
        <v/>
      </c>
      <c r="G16" s="119" t="str">
        <f>'Job Sheet'!AJ15</f>
        <v/>
      </c>
      <c r="H16" s="112" t="str">
        <f>CONCATENATE('Job Sheet'!AE15," ",'Job Sheet'!AF15)</f>
        <v xml:space="preserve"> </v>
      </c>
      <c r="I16" s="129" t="str">
        <f>IF(Data!AV15="","",IF('Job Sheet'!AV15="","No",'Job Sheet'!AV15))</f>
        <v/>
      </c>
      <c r="J16" s="112" t="str">
        <f>'Job Sheet'!AW15</f>
        <v/>
      </c>
      <c r="K16" s="112" t="str">
        <f>'Job Sheet'!AY15</f>
        <v/>
      </c>
      <c r="L16" s="112" t="str">
        <f>'Job Sheet'!BF15</f>
        <v/>
      </c>
      <c r="M16" s="130" t="str">
        <f t="shared" si="0"/>
        <v/>
      </c>
      <c r="O16" s="135" t="s">
        <v>234</v>
      </c>
      <c r="P16" s="135" t="s">
        <v>306</v>
      </c>
      <c r="Q16" s="135" t="s">
        <v>306</v>
      </c>
      <c r="R16" s="135" t="str">
        <f t="shared" si="1"/>
        <v>StandardYesYes</v>
      </c>
      <c r="S16" s="135" t="s">
        <v>518</v>
      </c>
    </row>
    <row r="17" spans="1:19" s="37" customFormat="1" ht="60" customHeight="1">
      <c r="A17" s="110" t="str">
        <f>IF(Data!AV16="","",Data!AW16)</f>
        <v/>
      </c>
      <c r="B17" s="163" t="str">
        <f>IF(Data!AV16="","",VLOOKUP(CONCATENATE(D17,F17,I17),AssemblyAProcedure,2,FALSE))</f>
        <v/>
      </c>
      <c r="C17" s="111" t="str">
        <f>IF(Data!AV16="","",'Job Sheet'!C16)</f>
        <v/>
      </c>
      <c r="D17" s="129" t="str">
        <f>'Mitred Cutting'!C16</f>
        <v/>
      </c>
      <c r="E17" s="112" t="str">
        <f>IF(Data!AV16="","",IF('Job Sheet'!BK16="DVA Mesh",(CONCATENATE('Job Sheet'!BK16," ",'Job Sheet'!AF16)),'Job Sheet'!BK16))</f>
        <v/>
      </c>
      <c r="F17" s="129" t="str">
        <f>IF('Job Sheet'!AI16="Yes - Centre","Yes",'Job Sheet'!AI16)</f>
        <v/>
      </c>
      <c r="G17" s="119" t="str">
        <f>'Job Sheet'!AJ16</f>
        <v/>
      </c>
      <c r="H17" s="112" t="str">
        <f>CONCATENATE('Job Sheet'!AE16," ",'Job Sheet'!AF16)</f>
        <v xml:space="preserve"> </v>
      </c>
      <c r="I17" s="129" t="str">
        <f>IF(Data!AV16="","",IF('Job Sheet'!AV16="","No",'Job Sheet'!AV16))</f>
        <v/>
      </c>
      <c r="J17" s="112" t="str">
        <f>'Job Sheet'!AW16</f>
        <v/>
      </c>
      <c r="K17" s="112" t="str">
        <f>'Job Sheet'!AY16</f>
        <v/>
      </c>
      <c r="L17" s="112" t="str">
        <f>'Job Sheet'!BF16</f>
        <v/>
      </c>
      <c r="M17" s="130" t="str">
        <f t="shared" si="0"/>
        <v/>
      </c>
      <c r="O17" s="135" t="s">
        <v>235</v>
      </c>
      <c r="P17" s="135" t="s">
        <v>147</v>
      </c>
      <c r="Q17" s="135" t="s">
        <v>147</v>
      </c>
      <c r="R17" s="135" t="str">
        <f t="shared" si="1"/>
        <v>Invisi-GardNoNo</v>
      </c>
      <c r="S17" s="135" t="s">
        <v>519</v>
      </c>
    </row>
    <row r="18" spans="1:19" s="37" customFormat="1" ht="60" customHeight="1">
      <c r="A18" s="110" t="str">
        <f>IF(Data!AV17="","",Data!AW17)</f>
        <v/>
      </c>
      <c r="B18" s="163" t="str">
        <f>IF(Data!AV17="","",VLOOKUP(CONCATENATE(D18,F18,I18),AssemblyAProcedure,2,FALSE))</f>
        <v/>
      </c>
      <c r="C18" s="111" t="str">
        <f>IF(Data!AV17="","",'Job Sheet'!C17)</f>
        <v/>
      </c>
      <c r="D18" s="129" t="str">
        <f>'Mitred Cutting'!C17</f>
        <v/>
      </c>
      <c r="E18" s="112" t="str">
        <f>IF(Data!AV17="","",IF('Job Sheet'!BK17="DVA Mesh",(CONCATENATE('Job Sheet'!BK17," ",'Job Sheet'!AF17)),'Job Sheet'!BK17))</f>
        <v/>
      </c>
      <c r="F18" s="129" t="str">
        <f>IF('Job Sheet'!AI17="Yes - Centre","Yes",'Job Sheet'!AI17)</f>
        <v/>
      </c>
      <c r="G18" s="119" t="str">
        <f>'Job Sheet'!AJ17</f>
        <v/>
      </c>
      <c r="H18" s="112" t="str">
        <f>CONCATENATE('Job Sheet'!AE17," ",'Job Sheet'!AF17)</f>
        <v xml:space="preserve"> </v>
      </c>
      <c r="I18" s="129" t="str">
        <f>IF(Data!AV17="","",IF('Job Sheet'!AV17="","No",'Job Sheet'!AV17))</f>
        <v/>
      </c>
      <c r="J18" s="112" t="str">
        <f>'Job Sheet'!AW17</f>
        <v/>
      </c>
      <c r="K18" s="112" t="str">
        <f>'Job Sheet'!AY17</f>
        <v/>
      </c>
      <c r="L18" s="112" t="str">
        <f>'Job Sheet'!BF17</f>
        <v/>
      </c>
      <c r="M18" s="130" t="str">
        <f t="shared" si="0"/>
        <v/>
      </c>
      <c r="O18" s="135" t="s">
        <v>235</v>
      </c>
      <c r="P18" s="135" t="s">
        <v>306</v>
      </c>
      <c r="Q18" s="135" t="s">
        <v>147</v>
      </c>
      <c r="R18" s="135" t="str">
        <f t="shared" si="1"/>
        <v>Invisi-GardYesNo</v>
      </c>
      <c r="S18" s="135" t="s">
        <v>520</v>
      </c>
    </row>
    <row r="19" spans="1:19" s="37" customFormat="1" ht="60" customHeight="1">
      <c r="A19" s="110" t="str">
        <f>IF(Data!AV18="","",Data!AW18)</f>
        <v/>
      </c>
      <c r="B19" s="163" t="str">
        <f>IF(Data!AV18="","",VLOOKUP(CONCATENATE(D19,F19,I19),AssemblyAProcedure,2,FALSE))</f>
        <v/>
      </c>
      <c r="C19" s="111" t="str">
        <f>IF(Data!AV18="","",'Job Sheet'!C18)</f>
        <v/>
      </c>
      <c r="D19" s="129" t="str">
        <f>'Mitred Cutting'!C18</f>
        <v/>
      </c>
      <c r="E19" s="112" t="str">
        <f>IF(Data!AV18="","",IF('Job Sheet'!BK18="DVA Mesh",(CONCATENATE('Job Sheet'!BK18," ",'Job Sheet'!AF18)),'Job Sheet'!BK18))</f>
        <v/>
      </c>
      <c r="F19" s="129" t="str">
        <f>IF('Job Sheet'!AI18="Yes - Centre","Yes",'Job Sheet'!AI18)</f>
        <v/>
      </c>
      <c r="G19" s="119" t="str">
        <f>'Job Sheet'!AJ18</f>
        <v/>
      </c>
      <c r="H19" s="112" t="str">
        <f>CONCATENATE('Job Sheet'!AE18," ",'Job Sheet'!AF18)</f>
        <v xml:space="preserve"> </v>
      </c>
      <c r="I19" s="129" t="str">
        <f>IF(Data!AV18="","",IF('Job Sheet'!AV18="","No",'Job Sheet'!AV18))</f>
        <v/>
      </c>
      <c r="J19" s="112" t="str">
        <f>'Job Sheet'!AW18</f>
        <v/>
      </c>
      <c r="K19" s="112" t="str">
        <f>'Job Sheet'!AY18</f>
        <v/>
      </c>
      <c r="L19" s="112" t="str">
        <f>'Job Sheet'!BF18</f>
        <v/>
      </c>
      <c r="M19" s="130" t="str">
        <f t="shared" si="0"/>
        <v/>
      </c>
      <c r="O19" s="133"/>
      <c r="P19" s="133"/>
      <c r="Q19" s="133"/>
      <c r="R19" s="133"/>
      <c r="S19" s="133"/>
    </row>
    <row r="20" spans="1:13" ht="60" customHeight="1">
      <c r="A20" s="110" t="str">
        <f>IF(Data!AV19="","",Data!AW19)</f>
        <v/>
      </c>
      <c r="B20" s="163" t="str">
        <f>IF(Data!AV19="","",VLOOKUP(CONCATENATE(D20,F20,I20),AssemblyAProcedure,2,FALSE))</f>
        <v/>
      </c>
      <c r="C20" s="111" t="str">
        <f>IF(Data!AV19="","",'Job Sheet'!C19)</f>
        <v/>
      </c>
      <c r="D20" s="129" t="str">
        <f>'Mitred Cutting'!C19</f>
        <v/>
      </c>
      <c r="E20" s="112" t="str">
        <f>IF(Data!AV19="","",IF('Job Sheet'!BK19="DVA Mesh",(CONCATENATE('Job Sheet'!BK19," ",'Job Sheet'!AF19)),'Job Sheet'!BK19))</f>
        <v/>
      </c>
      <c r="F20" s="129" t="str">
        <f>IF('Job Sheet'!AI19="Yes - Centre","Yes",'Job Sheet'!AI19)</f>
        <v/>
      </c>
      <c r="G20" s="119" t="str">
        <f>'Job Sheet'!AJ19</f>
        <v/>
      </c>
      <c r="H20" s="112" t="str">
        <f>CONCATENATE('Job Sheet'!AE19," ",'Job Sheet'!AF19)</f>
        <v xml:space="preserve"> </v>
      </c>
      <c r="I20" s="129" t="str">
        <f>IF(Data!AV19="","",IF('Job Sheet'!AV19="","No",'Job Sheet'!AV19))</f>
        <v/>
      </c>
      <c r="J20" s="112" t="str">
        <f>'Job Sheet'!AW19</f>
        <v/>
      </c>
      <c r="K20" s="112" t="str">
        <f>'Job Sheet'!AY19</f>
        <v/>
      </c>
      <c r="L20" s="112" t="str">
        <f>'Job Sheet'!BF19</f>
        <v/>
      </c>
      <c r="M20" s="130" t="str">
        <f t="shared" si="0"/>
        <v/>
      </c>
    </row>
    <row r="21" spans="1:13" ht="60" customHeight="1">
      <c r="A21" s="110" t="str">
        <f>IF(Data!AV20="","",Data!AW20)</f>
        <v/>
      </c>
      <c r="B21" s="163" t="str">
        <f>IF(Data!AV20="","",VLOOKUP(CONCATENATE(D21,F21,I21),AssemblyAProcedure,2,FALSE))</f>
        <v/>
      </c>
      <c r="C21" s="111" t="str">
        <f>IF(Data!AV20="","",'Job Sheet'!C20)</f>
        <v/>
      </c>
      <c r="D21" s="129" t="str">
        <f>'Mitred Cutting'!C20</f>
        <v/>
      </c>
      <c r="E21" s="112" t="str">
        <f>IF(Data!AV20="","",IF('Job Sheet'!BK20="DVA Mesh",(CONCATENATE('Job Sheet'!BK20," ",'Job Sheet'!AF20)),'Job Sheet'!BK20))</f>
        <v/>
      </c>
      <c r="F21" s="129" t="str">
        <f>IF('Job Sheet'!AI20="Yes - Centre","Yes",'Job Sheet'!AI20)</f>
        <v/>
      </c>
      <c r="G21" s="119" t="str">
        <f>'Job Sheet'!AJ20</f>
        <v/>
      </c>
      <c r="H21" s="112" t="str">
        <f>CONCATENATE('Job Sheet'!AE20," ",'Job Sheet'!AF20)</f>
        <v xml:space="preserve"> </v>
      </c>
      <c r="I21" s="129" t="str">
        <f>IF(Data!AV20="","",IF('Job Sheet'!AV20="","No",'Job Sheet'!AV20))</f>
        <v/>
      </c>
      <c r="J21" s="112" t="str">
        <f>'Job Sheet'!AW20</f>
        <v/>
      </c>
      <c r="K21" s="112" t="str">
        <f>'Job Sheet'!AY20</f>
        <v/>
      </c>
      <c r="L21" s="112" t="str">
        <f>'Job Sheet'!BF20</f>
        <v/>
      </c>
      <c r="M21" s="130" t="str">
        <f t="shared" si="0"/>
        <v/>
      </c>
    </row>
    <row r="22" spans="1:11" ht="60" customHeight="1">
      <c r="A22" s="63"/>
      <c r="B22" s="63"/>
      <c r="C22" s="63"/>
      <c r="D22" s="63"/>
      <c r="E22" s="63"/>
      <c r="F22" s="63"/>
      <c r="G22" s="64"/>
      <c r="H22" s="64"/>
      <c r="I22" s="64"/>
      <c r="J22" s="64"/>
      <c r="K22" s="64"/>
    </row>
    <row r="23" spans="1:11" ht="60" customHeight="1">
      <c r="A23" s="63"/>
      <c r="B23" s="63"/>
      <c r="C23" s="63"/>
      <c r="D23" s="63"/>
      <c r="E23" s="63"/>
      <c r="F23" s="63"/>
      <c r="G23" s="64"/>
      <c r="H23" s="64"/>
      <c r="I23" s="64"/>
      <c r="J23" s="64"/>
      <c r="K23" s="64"/>
    </row>
    <row r="24" spans="1:11" ht="60" customHeight="1">
      <c r="A24" s="63"/>
      <c r="B24" s="63"/>
      <c r="C24" s="63"/>
      <c r="D24" s="63"/>
      <c r="E24" s="63"/>
      <c r="F24" s="63"/>
      <c r="G24" s="64"/>
      <c r="H24" s="64"/>
      <c r="I24" s="64"/>
      <c r="J24" s="64"/>
      <c r="K24" s="64"/>
    </row>
    <row r="25" spans="1:11" ht="60" customHeight="1">
      <c r="A25" s="63"/>
      <c r="B25" s="63"/>
      <c r="C25" s="63"/>
      <c r="D25" s="63"/>
      <c r="E25" s="63"/>
      <c r="F25" s="63"/>
      <c r="G25" s="64"/>
      <c r="H25" s="64"/>
      <c r="I25" s="64"/>
      <c r="J25" s="64"/>
      <c r="K25" s="64"/>
    </row>
    <row r="26" spans="1:11" ht="60" customHeight="1">
      <c r="A26" s="63"/>
      <c r="B26" s="63"/>
      <c r="C26" s="63"/>
      <c r="D26" s="63"/>
      <c r="E26" s="63"/>
      <c r="F26" s="63"/>
      <c r="G26" s="64"/>
      <c r="H26" s="64"/>
      <c r="I26" s="64"/>
      <c r="J26" s="64"/>
      <c r="K26" s="64"/>
    </row>
    <row r="27" spans="1:11" ht="60" customHeight="1">
      <c r="A27" s="63"/>
      <c r="B27" s="63"/>
      <c r="C27" s="63"/>
      <c r="D27" s="63"/>
      <c r="E27" s="63"/>
      <c r="F27" s="63"/>
      <c r="G27" s="64"/>
      <c r="H27" s="64"/>
      <c r="I27" s="64"/>
      <c r="J27" s="64"/>
      <c r="K27" s="64"/>
    </row>
    <row r="28" spans="1:11" ht="60" customHeight="1">
      <c r="A28" s="63"/>
      <c r="B28" s="63"/>
      <c r="C28" s="63"/>
      <c r="D28" s="63"/>
      <c r="E28" s="63"/>
      <c r="F28" s="63"/>
      <c r="G28" s="64"/>
      <c r="H28" s="64"/>
      <c r="I28" s="64"/>
      <c r="J28" s="64"/>
      <c r="K28" s="64"/>
    </row>
    <row r="29" spans="1:11" ht="60" customHeight="1">
      <c r="A29" s="63"/>
      <c r="B29" s="63"/>
      <c r="C29" s="63"/>
      <c r="D29" s="63"/>
      <c r="E29" s="63"/>
      <c r="F29" s="63"/>
      <c r="G29" s="64"/>
      <c r="H29" s="64"/>
      <c r="I29" s="64"/>
      <c r="J29" s="64"/>
      <c r="K29" s="64"/>
    </row>
    <row r="30" spans="1:11" ht="60" customHeight="1">
      <c r="A30" s="63"/>
      <c r="B30" s="63"/>
      <c r="C30" s="63"/>
      <c r="D30" s="63"/>
      <c r="E30" s="63"/>
      <c r="F30" s="63"/>
      <c r="G30" s="64"/>
      <c r="H30" s="64"/>
      <c r="I30" s="64"/>
      <c r="J30" s="64"/>
      <c r="K30" s="64"/>
    </row>
    <row r="31" spans="1:11" ht="60" customHeight="1">
      <c r="A31" s="63"/>
      <c r="B31" s="63"/>
      <c r="C31" s="63"/>
      <c r="D31" s="63"/>
      <c r="E31" s="63"/>
      <c r="F31" s="63"/>
      <c r="G31" s="64"/>
      <c r="H31" s="64"/>
      <c r="I31" s="64"/>
      <c r="J31" s="64"/>
      <c r="K31" s="64"/>
    </row>
    <row r="32" spans="1:11" ht="60" customHeight="1">
      <c r="A32" s="63"/>
      <c r="B32" s="63"/>
      <c r="C32" s="63"/>
      <c r="D32" s="63"/>
      <c r="E32" s="63"/>
      <c r="F32" s="63"/>
      <c r="G32" s="64"/>
      <c r="H32" s="64"/>
      <c r="I32" s="64"/>
      <c r="J32" s="64"/>
      <c r="K32" s="64"/>
    </row>
    <row r="33" spans="1:11" ht="60" customHeight="1">
      <c r="A33" s="63"/>
      <c r="B33" s="63"/>
      <c r="C33" s="63"/>
      <c r="D33" s="63"/>
      <c r="E33" s="63"/>
      <c r="F33" s="63"/>
      <c r="G33" s="64"/>
      <c r="H33" s="64"/>
      <c r="I33" s="64"/>
      <c r="J33" s="64"/>
      <c r="K33" s="64"/>
    </row>
    <row r="34" spans="1:11" ht="60" customHeight="1">
      <c r="A34" s="63"/>
      <c r="B34" s="63"/>
      <c r="C34" s="63"/>
      <c r="H34" s="64"/>
      <c r="I34" s="64"/>
      <c r="J34" s="64"/>
      <c r="K34" s="64"/>
    </row>
    <row r="35" spans="1:11" ht="60" customHeight="1">
      <c r="A35" s="63"/>
      <c r="B35" s="63"/>
      <c r="C35" s="63"/>
      <c r="H35" s="64"/>
      <c r="I35" s="64"/>
      <c r="J35" s="64"/>
      <c r="K35" s="64"/>
    </row>
    <row r="36" spans="1:11" ht="60" customHeight="1">
      <c r="A36" s="63"/>
      <c r="B36" s="63"/>
      <c r="C36" s="63"/>
      <c r="H36" s="64"/>
      <c r="I36" s="64"/>
      <c r="J36" s="64"/>
      <c r="K36" s="64"/>
    </row>
    <row r="37" spans="1:11" ht="60" customHeight="1">
      <c r="A37" s="63"/>
      <c r="B37" s="63"/>
      <c r="C37" s="63"/>
      <c r="H37" s="64"/>
      <c r="I37" s="64"/>
      <c r="J37" s="64"/>
      <c r="K37" s="64"/>
    </row>
    <row r="38" spans="1:11" ht="60" customHeight="1">
      <c r="A38" s="63"/>
      <c r="B38" s="63"/>
      <c r="C38" s="63"/>
      <c r="H38" s="64"/>
      <c r="I38" s="64"/>
      <c r="J38" s="64"/>
      <c r="K38" s="64"/>
    </row>
    <row r="39" spans="1:11" ht="60" customHeight="1">
      <c r="A39" s="63"/>
      <c r="B39" s="63"/>
      <c r="C39" s="63"/>
      <c r="H39" s="64"/>
      <c r="I39" s="64"/>
      <c r="J39" s="64"/>
      <c r="K39" s="64"/>
    </row>
    <row r="40" spans="1:11" ht="60" customHeight="1">
      <c r="A40" s="63"/>
      <c r="B40" s="63"/>
      <c r="C40" s="63"/>
      <c r="H40" s="64"/>
      <c r="I40" s="64"/>
      <c r="J40" s="64"/>
      <c r="K40" s="64"/>
    </row>
    <row r="41" spans="1:11" ht="60" customHeight="1">
      <c r="A41" s="63"/>
      <c r="B41" s="63"/>
      <c r="C41" s="63"/>
      <c r="H41" s="64"/>
      <c r="I41" s="64"/>
      <c r="J41" s="64"/>
      <c r="K41" s="64"/>
    </row>
    <row r="42" spans="1:11" ht="60" customHeight="1">
      <c r="A42" s="63"/>
      <c r="B42" s="63"/>
      <c r="C42" s="63"/>
      <c r="H42" s="64"/>
      <c r="I42" s="64"/>
      <c r="J42" s="64"/>
      <c r="K42" s="64"/>
    </row>
    <row r="43" spans="1:11" ht="60" customHeight="1">
      <c r="A43" s="63"/>
      <c r="B43" s="63"/>
      <c r="C43" s="63"/>
      <c r="H43" s="64"/>
      <c r="I43" s="64"/>
      <c r="J43" s="64"/>
      <c r="K43" s="64"/>
    </row>
    <row r="44" spans="1:11" ht="60" customHeight="1">
      <c r="A44" s="63"/>
      <c r="B44" s="63"/>
      <c r="C44" s="63"/>
      <c r="H44" s="64"/>
      <c r="I44" s="64"/>
      <c r="J44" s="64"/>
      <c r="K44" s="64"/>
    </row>
    <row r="45" spans="1:11" ht="60" customHeight="1">
      <c r="A45" s="63"/>
      <c r="B45" s="63"/>
      <c r="C45" s="63"/>
      <c r="H45" s="64"/>
      <c r="I45" s="64"/>
      <c r="J45" s="64"/>
      <c r="K45" s="64"/>
    </row>
    <row r="46" spans="1:11" ht="60" customHeight="1">
      <c r="A46" s="63"/>
      <c r="B46" s="63"/>
      <c r="C46" s="63"/>
      <c r="H46" s="64"/>
      <c r="I46" s="64"/>
      <c r="J46" s="64"/>
      <c r="K46" s="64"/>
    </row>
    <row r="47" spans="1:11" ht="60" customHeight="1">
      <c r="A47" s="63"/>
      <c r="B47" s="63"/>
      <c r="C47" s="63"/>
      <c r="H47" s="64"/>
      <c r="I47" s="64"/>
      <c r="J47" s="64"/>
      <c r="K47" s="64"/>
    </row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</sheetData>
  <mergeCells count="35">
    <mergeCell ref="E8:E10"/>
    <mergeCell ref="G8:G10"/>
    <mergeCell ref="I8:I10"/>
    <mergeCell ref="J8:J10"/>
    <mergeCell ref="K8:K10"/>
    <mergeCell ref="H8:H10"/>
    <mergeCell ref="A1:M1"/>
    <mergeCell ref="M8:M10"/>
    <mergeCell ref="C2:D2"/>
    <mergeCell ref="C3:D3"/>
    <mergeCell ref="A2:B2"/>
    <mergeCell ref="A3:B3"/>
    <mergeCell ref="D8:D10"/>
    <mergeCell ref="A8:A10"/>
    <mergeCell ref="C8:C10"/>
    <mergeCell ref="C4:D4"/>
    <mergeCell ref="C5:D5"/>
    <mergeCell ref="A5:B5"/>
    <mergeCell ref="A4:B4"/>
    <mergeCell ref="F8:F10"/>
    <mergeCell ref="B8:B10"/>
    <mergeCell ref="L8:L10"/>
    <mergeCell ref="E5:F7"/>
    <mergeCell ref="E4:F4"/>
    <mergeCell ref="E3:F3"/>
    <mergeCell ref="E2:F2"/>
    <mergeCell ref="A6:D7"/>
    <mergeCell ref="K3:M7"/>
    <mergeCell ref="K2:M2"/>
    <mergeCell ref="G7:J7"/>
    <mergeCell ref="G6:J6"/>
    <mergeCell ref="G5:J5"/>
    <mergeCell ref="G4:J4"/>
    <mergeCell ref="G3:J3"/>
    <mergeCell ref="G2:J2"/>
  </mergeCells>
  <pageMargins left="0.645669291338609" right="0.645669291338609" top="0.236220472440945" bottom="0.236220472440945" header="0.236220472440945" footer="0.236220472440945"/>
  <pageSetup fitToHeight="0" orientation="landscape" paperSize="9" scale="1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E53FE-C148-4AA9-A5C1-94173B00EAF2}">
  <sheetPr codeName="Sheet10">
    <pageSetUpPr fitToPage="1"/>
  </sheetPr>
  <dimension ref="A1:Y47"/>
  <sheetViews>
    <sheetView view="pageBreakPreview" zoomScale="50" zoomScaleNormal="25" zoomScaleSheetLayoutView="50" workbookViewId="0" topLeftCell="A1">
      <selection pane="topLeft" activeCell="Q16" sqref="Q16"/>
    </sheetView>
  </sheetViews>
  <sheetFormatPr defaultColWidth="9.109375" defaultRowHeight="60" customHeight="1"/>
  <cols>
    <col min="1" max="1" width="11.4285714285714" style="57" customWidth="1"/>
    <col min="2" max="2" width="24.8571428571429" style="57" customWidth="1"/>
    <col min="3" max="3" width="34.2857142857143" style="57" customWidth="1"/>
    <col min="4" max="4" width="19.4285714285714" style="57" customWidth="1"/>
    <col min="5" max="5" width="22.8571428571429" style="57" customWidth="1"/>
    <col min="6" max="6" width="21.8571428571429" style="57" customWidth="1"/>
    <col min="7" max="7" width="11.2857142857143" style="57" customWidth="1"/>
    <col min="8" max="8" width="26.2857142857143" customWidth="1"/>
    <col min="9" max="9" width="22.5714285714286" customWidth="1"/>
    <col min="10" max="10" width="15" customWidth="1"/>
    <col min="11" max="12" width="18.8571428571429" customWidth="1"/>
    <col min="13" max="13" width="22.7142857142857" customWidth="1"/>
    <col min="14" max="14" width="17.7142857142857" customWidth="1"/>
    <col min="15" max="15" width="17.2857142857143" style="73" customWidth="1"/>
    <col min="16" max="16" width="19.4285714285714" customWidth="1"/>
    <col min="17" max="17" width="67.4285714285714" customWidth="1"/>
    <col min="18" max="18" width="16.4285714285714" customWidth="1"/>
    <col min="20" max="20" width="22.7142857142857" bestFit="1" customWidth="1"/>
    <col min="21" max="21" width="26.2857142857143" bestFit="1" customWidth="1"/>
    <col min="22" max="22" width="24.8571428571429" bestFit="1" customWidth="1"/>
    <col min="23" max="23" width="12.7142857142857" customWidth="1"/>
    <col min="24" max="24" width="56.2857142857143" bestFit="1" customWidth="1"/>
    <col min="25" max="25" width="24.1428571428571" bestFit="1" customWidth="1"/>
  </cols>
  <sheetData>
    <row r="1" spans="1:18" s="30" customFormat="1" ht="219.15" customHeight="1">
      <c r="A1" s="297" t="s">
        <v>637</v>
      </c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7"/>
      <c r="O1" s="297"/>
      <c r="P1" s="297"/>
      <c r="Q1" s="297"/>
      <c r="R1" s="297"/>
    </row>
    <row r="2" spans="1:18" s="32" customFormat="1" ht="50.1" customHeight="1">
      <c r="A2" s="2" t="s">
        <v>7</v>
      </c>
      <c r="B2" s="2"/>
      <c r="C2" s="184"/>
      <c r="D2" s="184"/>
      <c r="E2" s="184" t="s">
        <v>118</v>
      </c>
      <c r="F2" s="184"/>
      <c r="G2" s="184"/>
      <c r="H2" s="277" t="str">
        <f>IF(Data!AV11="","",Data!BF5)</f>
        <v>Leurs, Nigel</v>
      </c>
      <c r="I2" s="278"/>
      <c r="J2" s="278"/>
      <c r="K2" s="278"/>
      <c r="L2" s="278"/>
      <c r="M2" s="279"/>
      <c r="N2" s="4" t="s">
        <v>4</v>
      </c>
      <c r="O2" s="4"/>
      <c r="P2" s="4"/>
      <c r="Q2" s="4"/>
      <c r="R2" s="4"/>
    </row>
    <row r="3" spans="1:18" s="32" customFormat="1" ht="50.1" customHeight="1">
      <c r="A3" s="2" t="s">
        <v>143</v>
      </c>
      <c r="B3" s="2"/>
      <c r="C3" s="182" t="str">
        <f>IF(Data!AV11="","",Data!BC5)</f>
        <v>12201</v>
      </c>
      <c r="D3" s="182"/>
      <c r="E3" s="187" t="s">
        <v>8</v>
      </c>
      <c r="F3" s="187"/>
      <c r="G3" s="187"/>
      <c r="H3" s="268" t="str">
        <f>IF(Data!AV11="","",Data!AX5)</f>
        <v>Barrier Doors </v>
      </c>
      <c r="I3" s="269"/>
      <c r="J3" s="269"/>
      <c r="K3" s="269"/>
      <c r="L3" s="269"/>
      <c r="M3" s="270"/>
      <c r="N3" s="256" t="str">
        <f>TRIM(Data!BG5)</f>
        <v/>
      </c>
      <c r="O3" s="256"/>
      <c r="P3" s="256"/>
      <c r="Q3" s="256"/>
      <c r="R3" s="256"/>
    </row>
    <row r="4" spans="1:18" s="21" customFormat="1" ht="50.1" customHeight="1">
      <c r="A4" s="186" t="s">
        <v>15</v>
      </c>
      <c r="B4" s="186"/>
      <c r="C4" s="182" t="str">
        <f>IF(Data!AV11="","",Data!BD5)</f>
        <v>A</v>
      </c>
      <c r="D4" s="182"/>
      <c r="E4" s="187" t="s">
        <v>137</v>
      </c>
      <c r="F4" s="187"/>
      <c r="G4" s="187"/>
      <c r="H4" s="268" t="str">
        <f>IF(Data!AV11="","",Data!BA5)</f>
        <v>22/09/2026 12:00:00 AM</v>
      </c>
      <c r="I4" s="269"/>
      <c r="J4" s="269"/>
      <c r="K4" s="269"/>
      <c r="L4" s="269"/>
      <c r="M4" s="270"/>
      <c r="N4" s="256"/>
      <c r="O4" s="256"/>
      <c r="P4" s="256"/>
      <c r="Q4" s="256"/>
      <c r="R4" s="256"/>
    </row>
    <row r="5" spans="1:18" s="21" customFormat="1" ht="50.1" customHeight="1">
      <c r="A5" s="185" t="s">
        <v>9</v>
      </c>
      <c r="B5" s="185"/>
      <c r="C5" s="1" t="str">
        <f>IF(Data!AV11="","",Data!AY5)</f>
        <v>26/08/2026 12:00:00 AM</v>
      </c>
      <c r="D5" s="1"/>
      <c r="E5" s="182" t="s">
        <v>12</v>
      </c>
      <c r="F5" s="182"/>
      <c r="G5" s="182"/>
      <c r="H5" s="277" t="str">
        <f>TRIM(Data!BF5)</f>
        <v>Leurs, Nigel</v>
      </c>
      <c r="I5" s="278"/>
      <c r="J5" s="278"/>
      <c r="K5" s="278"/>
      <c r="L5" s="278"/>
      <c r="M5" s="279"/>
      <c r="N5" s="256"/>
      <c r="O5" s="256"/>
      <c r="P5" s="256"/>
      <c r="Q5" s="256"/>
      <c r="R5" s="256"/>
    </row>
    <row r="6" spans="1:23" s="21" customFormat="1" ht="50.1" customHeight="1">
      <c r="A6" s="188" t="str">
        <f>IF(Data!AV11="","",'Job Sheet'!A6)</f>
        <v>Retail Customer</v>
      </c>
      <c r="B6" s="188"/>
      <c r="C6" s="188"/>
      <c r="D6" s="188"/>
      <c r="E6" s="182"/>
      <c r="F6" s="182"/>
      <c r="G6" s="182"/>
      <c r="H6" s="277" t="str">
        <f>CONCATENATE(Data!BH5," ",Data!BI5," ",Data!BJ5," ",Data!BK5," ",Data!BL5)</f>
        <v xml:space="preserve"> 30  Timbertop Drive </v>
      </c>
      <c r="I6" s="278"/>
      <c r="J6" s="278"/>
      <c r="K6" s="278"/>
      <c r="L6" s="278"/>
      <c r="M6" s="279"/>
      <c r="N6" s="256"/>
      <c r="O6" s="256"/>
      <c r="P6" s="256"/>
      <c r="Q6" s="256"/>
      <c r="R6" s="256"/>
      <c r="V6" s="166"/>
      <c r="W6" s="166"/>
    </row>
    <row r="7" spans="1:18" s="21" customFormat="1" ht="50.1" customHeight="1">
      <c r="A7" s="188"/>
      <c r="B7" s="188"/>
      <c r="C7" s="188"/>
      <c r="D7" s="188"/>
      <c r="E7" s="182"/>
      <c r="F7" s="182"/>
      <c r="G7" s="182"/>
      <c r="H7" s="277" t="str">
        <f>CONCATENATE(Data!BM5," ",Data!BN5," ",Data!BO5," ",Data!BP5)</f>
        <v>Mount Helen VIC 3350 Australia</v>
      </c>
      <c r="I7" s="278"/>
      <c r="J7" s="278"/>
      <c r="K7" s="278"/>
      <c r="L7" s="278"/>
      <c r="M7" s="279"/>
      <c r="N7" s="256"/>
      <c r="O7" s="256"/>
      <c r="P7" s="256"/>
      <c r="Q7" s="256"/>
      <c r="R7" s="256"/>
    </row>
    <row r="8" spans="1:25" s="61" customFormat="1" ht="50.1" customHeight="1">
      <c r="A8" s="266" t="s">
        <v>142</v>
      </c>
      <c r="B8" s="267" t="s">
        <v>515</v>
      </c>
      <c r="C8" s="267" t="s">
        <v>120</v>
      </c>
      <c r="D8" s="265" t="s">
        <v>167</v>
      </c>
      <c r="E8" s="265" t="s">
        <v>225</v>
      </c>
      <c r="F8" s="265" t="s">
        <v>159</v>
      </c>
      <c r="G8" s="265" t="s">
        <v>183</v>
      </c>
      <c r="H8" s="292" t="s">
        <v>210</v>
      </c>
      <c r="I8" s="260" t="s">
        <v>313</v>
      </c>
      <c r="J8" s="260" t="s">
        <v>177</v>
      </c>
      <c r="K8" s="293" t="s">
        <v>510</v>
      </c>
      <c r="L8" s="293" t="s">
        <v>176</v>
      </c>
      <c r="M8" s="294" t="s">
        <v>336</v>
      </c>
      <c r="N8" s="267" t="s">
        <v>384</v>
      </c>
      <c r="O8" s="260" t="s">
        <v>499</v>
      </c>
      <c r="P8" s="291" t="s">
        <v>679</v>
      </c>
      <c r="Q8" s="260" t="s">
        <v>5</v>
      </c>
      <c r="R8" s="260" t="s">
        <v>487</v>
      </c>
      <c r="T8" s="298" t="s">
        <v>167</v>
      </c>
      <c r="U8" s="298" t="s">
        <v>225</v>
      </c>
      <c r="V8" s="298" t="s">
        <v>159</v>
      </c>
      <c r="W8" s="293" t="s">
        <v>183</v>
      </c>
      <c r="X8" s="298" t="s">
        <v>643</v>
      </c>
      <c r="Y8" s="298" t="s">
        <v>515</v>
      </c>
    </row>
    <row r="9" spans="1:25" s="61" customFormat="1" ht="14.25" customHeight="1" hidden="1">
      <c r="A9" s="266"/>
      <c r="B9" s="267"/>
      <c r="C9" s="267"/>
      <c r="D9" s="265"/>
      <c r="E9" s="265"/>
      <c r="F9" s="265"/>
      <c r="G9" s="265"/>
      <c r="H9" s="292"/>
      <c r="I9" s="260"/>
      <c r="J9" s="260"/>
      <c r="K9" s="293"/>
      <c r="L9" s="293"/>
      <c r="M9" s="295"/>
      <c r="N9" s="267"/>
      <c r="O9" s="260"/>
      <c r="P9" s="291"/>
      <c r="Q9" s="260"/>
      <c r="R9" s="260"/>
      <c r="T9" s="298"/>
      <c r="U9" s="298"/>
      <c r="V9" s="298"/>
      <c r="W9" s="293"/>
      <c r="X9" s="298"/>
      <c r="Y9" s="298"/>
    </row>
    <row r="10" spans="1:25" s="62" customFormat="1" ht="65.25" customHeight="1">
      <c r="A10" s="266"/>
      <c r="B10" s="267"/>
      <c r="C10" s="267"/>
      <c r="D10" s="265"/>
      <c r="E10" s="265"/>
      <c r="F10" s="265"/>
      <c r="G10" s="265"/>
      <c r="H10" s="292"/>
      <c r="I10" s="260"/>
      <c r="J10" s="260"/>
      <c r="K10" s="293"/>
      <c r="L10" s="293"/>
      <c r="M10" s="296"/>
      <c r="N10" s="267"/>
      <c r="O10" s="260"/>
      <c r="P10" s="291"/>
      <c r="Q10" s="260"/>
      <c r="R10" s="260"/>
      <c r="T10" s="298"/>
      <c r="U10" s="298"/>
      <c r="V10" s="298"/>
      <c r="W10" s="293"/>
      <c r="X10" s="298"/>
      <c r="Y10" s="298"/>
    </row>
    <row r="11" spans="1:25" s="62" customFormat="1" ht="33" hidden="1">
      <c r="A11" s="85"/>
      <c r="B11" s="88" t="e">
        <f>IF(Data!AV11="","",'Job Sheet'!CL11)</f>
        <v>#N/A</v>
      </c>
      <c r="C11" s="86"/>
      <c r="D11" s="128"/>
      <c r="E11" s="128"/>
      <c r="F11" s="128"/>
      <c r="G11" s="128"/>
      <c r="H11" s="117"/>
      <c r="I11" s="18"/>
      <c r="J11" s="55" t="str">
        <f t="array" ref="J11">bpLOOKUP(Data!$AV10,"HINGESIDE",CustOrdOpt,6,FALSE)</f>
        <v/>
      </c>
      <c r="K11" s="17"/>
      <c r="L11" s="17"/>
      <c r="M11" s="168"/>
      <c r="N11" s="55" t="str">
        <f t="array" ref="N11">(bpLOOKUP(Data!$AV10,"DOGDOORSIZE",CustOrdOpt,6,FALSE))</f>
        <v/>
      </c>
      <c r="O11" s="18"/>
      <c r="P11" s="118"/>
      <c r="Q11" s="18"/>
      <c r="R11" s="109"/>
      <c r="T11" s="159" t="s">
        <v>178</v>
      </c>
      <c r="U11" s="159" t="s">
        <v>234</v>
      </c>
      <c r="V11" s="159" t="s">
        <v>279</v>
      </c>
      <c r="W11" s="159"/>
      <c r="X11" s="159" t="e">
        <f>CONCATENATE(T11,U11,V11,#REF!)</f>
        <v>#REF!</v>
      </c>
      <c r="Y11" s="160" t="s">
        <v>153</v>
      </c>
    </row>
    <row r="12" spans="1:25" s="37" customFormat="1" ht="60" customHeight="1">
      <c r="A12" s="112">
        <f>IF(Data!AV11="","",Data!AW11)</f>
        <v>1</v>
      </c>
      <c r="B12" s="19" t="str">
        <f>IF(Data!AV11="","",VLOOKUP(CONCATENATE(D12,E12,F12),AssemblyBProcedure,2,FALSE))</f>
        <v>D</v>
      </c>
      <c r="C12" s="112" t="str">
        <f>IF(Data!AV11="","",'Job Sheet'!C11)</f>
        <v>Rumpus</v>
      </c>
      <c r="D12" s="129" t="str">
        <f>'Job Sheet'!J11</f>
        <v>Sliding</v>
      </c>
      <c r="E12" s="129" t="str">
        <f>'Mitred Cutting'!C11</f>
        <v>Standard</v>
      </c>
      <c r="F12" s="129" t="str">
        <f>Punching!F11</f>
        <v>Single Lock</v>
      </c>
      <c r="G12" s="129" t="str">
        <f>'Assembly(a)'!F12</f>
        <v>No</v>
      </c>
      <c r="H12" s="112" t="str">
        <f>IF('Job Sheet'!Q11="N/A","",IF('Job Sheet'!M11="Ultra Secua Digital Triple Lock","Digital Lock",IF(OR('Job Sheet'!M11="Push 2 Go Single Lock",'Job Sheet'!M11="Push 2 Go Triple Lock"),CONCATENATE("Push 2 Go ",'Job Sheet'!Q11),CONCATENATE(D12," ",'Job Sheet'!Q11))))</f>
        <v>Sliding Paperbark</v>
      </c>
      <c r="I12" s="112" t="str">
        <f>IF(F12="Not Required","",Punching!K11)</f>
        <v/>
      </c>
      <c r="J12" s="112" t="str">
        <f>'Job Sheet'!P11</f>
        <v>Left</v>
      </c>
      <c r="K12" s="54" t="str">
        <f>IF(OR('Job Sheet'!AH11="Key Alike (Supply)",'Job Sheet'!AH11="Key Alike (Customer)"),"Custom Barrel",'Job Sheet'!AH11)</f>
        <v>Standard</v>
      </c>
      <c r="L12" s="112"/>
      <c r="M12" s="169" t="str">
        <f>'Assembly(a)'!H12</f>
        <v xml:space="preserve"> </v>
      </c>
      <c r="N12" s="112" t="str">
        <f>IF('Job Sheet'!AU11="No","",'Job Sheet'!AU11)</f>
        <v/>
      </c>
      <c r="O12" s="112" t="str">
        <f>IF('Job Sheet'!L11="Yes","Yes","")</f>
        <v/>
      </c>
      <c r="P12" s="119" t="str">
        <f>IF(OR(O12="",Data!AV11=""),"",'Job Sheet'!BI11/2)</f>
        <v/>
      </c>
      <c r="Q12" s="112" t="str">
        <f>'Job Sheet'!BF11</f>
        <v/>
      </c>
      <c r="R12" s="130">
        <f>A12</f>
        <v>1</v>
      </c>
      <c r="T12" s="159" t="s">
        <v>178</v>
      </c>
      <c r="U12" s="159" t="s">
        <v>234</v>
      </c>
      <c r="V12" s="159" t="s">
        <v>279</v>
      </c>
      <c r="W12" s="159" t="s">
        <v>147</v>
      </c>
      <c r="X12" s="159" t="str">
        <f>CONCATENATE(T12,U12,V12)</f>
        <v>HingedStandardSingle Lock</v>
      </c>
      <c r="Y12" s="160" t="s">
        <v>153</v>
      </c>
    </row>
    <row r="13" spans="1:25" s="37" customFormat="1" ht="60" customHeight="1">
      <c r="A13" s="112">
        <f>IF(Data!AV12="","",Data!AW12)</f>
        <v>2</v>
      </c>
      <c r="B13" s="19" t="str">
        <f>IF(Data!AV12="","",VLOOKUP(CONCATENATE(D13,E13,F13),AssemblyBProcedure,2,FALSE))</f>
        <v>A</v>
      </c>
      <c r="C13" s="112" t="str">
        <f>IF(Data!AV12="","",'Job Sheet'!C12)</f>
        <v>Laundry</v>
      </c>
      <c r="D13" s="129" t="str">
        <f>'Job Sheet'!J12</f>
        <v>Hinged</v>
      </c>
      <c r="E13" s="129" t="str">
        <f>'Mitred Cutting'!C12</f>
        <v>Standard</v>
      </c>
      <c r="F13" s="129" t="str">
        <f>Punching!F12</f>
        <v>Single Lock</v>
      </c>
      <c r="G13" s="129" t="str">
        <f>'Assembly(a)'!F13</f>
        <v>No</v>
      </c>
      <c r="H13" s="112" t="str">
        <f>IF('Job Sheet'!Q12="N/A","",IF('Job Sheet'!M12="Ultra Secua Digital Triple Lock","Digital Lock",IF(OR('Job Sheet'!M12="Push 2 Go Single Lock",'Job Sheet'!M12="Push 2 Go Triple Lock"),CONCATENATE("Push 2 Go ",'Job Sheet'!Q12),CONCATENATE(D13," ",'Job Sheet'!Q12))))</f>
        <v>Hinged Paperbark</v>
      </c>
      <c r="I13" s="112" t="str">
        <f>IF(F13="Not Required","",Punching!K12)</f>
        <v/>
      </c>
      <c r="J13" s="112" t="str">
        <f>'Job Sheet'!P12</f>
        <v>Right</v>
      </c>
      <c r="K13" s="54" t="str">
        <f>IF(OR('Job Sheet'!AH12="Key Alike (Supply)",'Job Sheet'!AH12="Key Alike (Customer)"),"Custom Barrel",'Job Sheet'!AH12)</f>
        <v>Standard</v>
      </c>
      <c r="L13" s="112"/>
      <c r="M13" s="169" t="str">
        <f>'Assembly(a)'!H13</f>
        <v xml:space="preserve"> </v>
      </c>
      <c r="N13" s="112" t="str">
        <f>IF('Job Sheet'!AU12="No","",'Job Sheet'!AU12)</f>
        <v/>
      </c>
      <c r="O13" s="112" t="str">
        <f>IF('Job Sheet'!L12="Yes","Yes","")</f>
        <v>Yes</v>
      </c>
      <c r="P13" s="167">
        <f>IF(OR(O13="",Data!AV12=""),"",'Job Sheet'!BI12/2)</f>
        <v>1019.5</v>
      </c>
      <c r="Q13" s="112" t="str">
        <f>'Job Sheet'!BF12</f>
        <v/>
      </c>
      <c r="R13" s="130">
        <f t="shared" si="0" ref="R13:R21">A13</f>
        <v>2</v>
      </c>
      <c r="T13" s="159" t="s">
        <v>178</v>
      </c>
      <c r="U13" s="159" t="s">
        <v>234</v>
      </c>
      <c r="V13" s="159" t="s">
        <v>279</v>
      </c>
      <c r="W13" s="159" t="s">
        <v>306</v>
      </c>
      <c r="X13" s="159"/>
      <c r="Y13" s="160"/>
    </row>
    <row r="14" spans="1:25" s="37" customFormat="1" ht="60" customHeight="1">
      <c r="A14" s="112">
        <f>IF(Data!AV13="","",Data!AW13)</f>
        <v>3</v>
      </c>
      <c r="B14" s="19" t="str">
        <f>IF(Data!AV13="","",VLOOKUP(CONCATENATE(D14,E14,F14),AssemblyBProcedure,2,FALSE))</f>
        <v>D</v>
      </c>
      <c r="C14" s="112" t="str">
        <f>IF(Data!AV13="","",'Job Sheet'!C13)</f>
        <v>Kitchen</v>
      </c>
      <c r="D14" s="129" t="str">
        <f>'Job Sheet'!J13</f>
        <v>Sliding</v>
      </c>
      <c r="E14" s="129" t="str">
        <f>'Mitred Cutting'!C13</f>
        <v>Standard</v>
      </c>
      <c r="F14" s="129" t="str">
        <f>Punching!F13</f>
        <v>Single Lock</v>
      </c>
      <c r="G14" s="129" t="str">
        <f>'Assembly(a)'!F14</f>
        <v>No</v>
      </c>
      <c r="H14" s="112" t="str">
        <f>IF('Job Sheet'!Q13="N/A","",IF('Job Sheet'!M13="Ultra Secua Digital Triple Lock","Digital Lock",IF(OR('Job Sheet'!M13="Push 2 Go Single Lock",'Job Sheet'!M13="Push 2 Go Triple Lock"),CONCATENATE("Push 2 Go ",'Job Sheet'!Q13),CONCATENATE(D14," ",'Job Sheet'!Q13))))</f>
        <v>Sliding Paperbark</v>
      </c>
      <c r="I14" s="112" t="str">
        <f>IF(F14="Not Required","",Punching!K13)</f>
        <v/>
      </c>
      <c r="J14" s="112" t="str">
        <f>'Job Sheet'!P13</f>
        <v>Right</v>
      </c>
      <c r="K14" s="54" t="str">
        <f>IF(OR('Job Sheet'!AH13="Key Alike (Supply)",'Job Sheet'!AH13="Key Alike (Customer)"),"Custom Barrel",'Job Sheet'!AH13)</f>
        <v>Standard</v>
      </c>
      <c r="L14" s="112"/>
      <c r="M14" s="169" t="str">
        <f>'Assembly(a)'!H14</f>
        <v xml:space="preserve"> </v>
      </c>
      <c r="N14" s="112" t="str">
        <f>IF('Job Sheet'!AU13="No","",'Job Sheet'!AU13)</f>
        <v>Yes</v>
      </c>
      <c r="O14" s="112" t="str">
        <f>IF('Job Sheet'!L13="Yes","Yes","")</f>
        <v/>
      </c>
      <c r="P14" s="119" t="str">
        <f>IF(OR(O14="",Data!AV13=""),"",'Job Sheet'!BI13/2)</f>
        <v/>
      </c>
      <c r="Q14" s="112" t="str">
        <f>'Job Sheet'!BF13</f>
        <v/>
      </c>
      <c r="R14" s="130">
        <f t="shared" si="0"/>
        <v>3</v>
      </c>
      <c r="T14" s="159" t="s">
        <v>178</v>
      </c>
      <c r="U14" s="159" t="s">
        <v>234</v>
      </c>
      <c r="V14" s="159" t="s">
        <v>275</v>
      </c>
      <c r="W14" s="159" t="s">
        <v>147</v>
      </c>
      <c r="X14" s="159" t="str">
        <f>CONCATENATE(T14,U14,V14)</f>
        <v>HingedStandardTriple Lock</v>
      </c>
      <c r="Y14" s="160" t="s">
        <v>516</v>
      </c>
    </row>
    <row r="15" spans="1:25" s="37" customFormat="1" ht="60" customHeight="1">
      <c r="A15" s="112" t="str">
        <f>IF(Data!AV14="","",Data!AW14)</f>
        <v/>
      </c>
      <c r="B15" s="19" t="str">
        <f>IF(Data!AV14="","",VLOOKUP(CONCATENATE(D15,E15,F15),AssemblyBProcedure,2,FALSE))</f>
        <v/>
      </c>
      <c r="C15" s="112" t="str">
        <f>IF(Data!AV14="","",'Job Sheet'!C14)</f>
        <v/>
      </c>
      <c r="D15" s="129" t="str">
        <f>'Job Sheet'!J14</f>
        <v/>
      </c>
      <c r="E15" s="129" t="str">
        <f>'Mitred Cutting'!C14</f>
        <v/>
      </c>
      <c r="F15" s="129" t="str">
        <f>Punching!F14</f>
        <v/>
      </c>
      <c r="G15" s="129" t="str">
        <f>'Assembly(a)'!F15</f>
        <v/>
      </c>
      <c r="H15" s="112" t="str">
        <f>IF('Job Sheet'!Q14="N/A","",IF('Job Sheet'!M14="Ultra Secua Digital Triple Lock","Digital Lock",IF(OR('Job Sheet'!M14="Push 2 Go Single Lock",'Job Sheet'!M14="Push 2 Go Triple Lock"),CONCATENATE("Push 2 Go ",'Job Sheet'!Q14),CONCATENATE(D15," ",'Job Sheet'!Q14))))</f>
        <v xml:space="preserve"> </v>
      </c>
      <c r="I15" s="112" t="str">
        <f>IF(F15="Not Required","",Punching!K14)</f>
        <v/>
      </c>
      <c r="J15" s="112" t="str">
        <f>'Job Sheet'!P14</f>
        <v/>
      </c>
      <c r="K15" s="54" t="str">
        <f>IF(OR('Job Sheet'!AH14="Key Alike (Supply)",'Job Sheet'!AH14="Key Alike (Customer)"),"Custom Barrel",'Job Sheet'!AH14)</f>
        <v/>
      </c>
      <c r="L15" s="112"/>
      <c r="M15" s="169" t="str">
        <f>'Assembly(a)'!H15</f>
        <v xml:space="preserve"> </v>
      </c>
      <c r="N15" s="112" t="str">
        <f>IF('Job Sheet'!AU14="No","",'Job Sheet'!AU14)</f>
        <v/>
      </c>
      <c r="O15" s="112" t="str">
        <f>IF('Job Sheet'!L14="Yes","Yes","")</f>
        <v/>
      </c>
      <c r="P15" s="119" t="str">
        <f>IF(OR(O15="",Data!AV14=""),"",'Job Sheet'!BI14/2)</f>
        <v/>
      </c>
      <c r="Q15" s="112" t="str">
        <f>'Job Sheet'!BF14</f>
        <v/>
      </c>
      <c r="R15" s="130" t="str">
        <f t="shared" si="0"/>
        <v/>
      </c>
      <c r="T15" s="159" t="s">
        <v>178</v>
      </c>
      <c r="U15" s="159" t="s">
        <v>234</v>
      </c>
      <c r="V15" s="159" t="s">
        <v>275</v>
      </c>
      <c r="W15" s="159" t="s">
        <v>306</v>
      </c>
      <c r="X15" s="159"/>
      <c r="Y15" s="160"/>
    </row>
    <row r="16" spans="1:25" s="37" customFormat="1" ht="60" customHeight="1">
      <c r="A16" s="112" t="str">
        <f>IF(Data!AV15="","",Data!AW15)</f>
        <v/>
      </c>
      <c r="B16" s="19" t="str">
        <f>IF(Data!AV15="","",VLOOKUP(CONCATENATE(D16,E16,F16),AssemblyBProcedure,2,FALSE))</f>
        <v/>
      </c>
      <c r="C16" s="112" t="str">
        <f>IF(Data!AV15="","",'Job Sheet'!C15)</f>
        <v/>
      </c>
      <c r="D16" s="129" t="str">
        <f>'Job Sheet'!J15</f>
        <v/>
      </c>
      <c r="E16" s="129" t="str">
        <f>'Mitred Cutting'!C15</f>
        <v/>
      </c>
      <c r="F16" s="129" t="str">
        <f>Punching!F15</f>
        <v/>
      </c>
      <c r="G16" s="129" t="str">
        <f>'Assembly(a)'!F16</f>
        <v/>
      </c>
      <c r="H16" s="112" t="str">
        <f>IF('Job Sheet'!Q15="N/A","",IF('Job Sheet'!M15="Ultra Secua Digital Triple Lock","Digital Lock",IF(OR('Job Sheet'!M15="Push 2 Go Single Lock",'Job Sheet'!M15="Push 2 Go Triple Lock"),CONCATENATE("Push 2 Go ",'Job Sheet'!Q15),CONCATENATE(D16," ",'Job Sheet'!Q15))))</f>
        <v xml:space="preserve"> </v>
      </c>
      <c r="I16" s="112" t="str">
        <f>IF(F16="Not Required","",Punching!K15)</f>
        <v/>
      </c>
      <c r="J16" s="112" t="str">
        <f>'Job Sheet'!P15</f>
        <v/>
      </c>
      <c r="K16" s="54" t="str">
        <f>IF(OR('Job Sheet'!AH15="Key Alike (Supply)",'Job Sheet'!AH15="Key Alike (Customer)"),"Custom Barrel",'Job Sheet'!AH15)</f>
        <v/>
      </c>
      <c r="L16" s="112"/>
      <c r="M16" s="169" t="str">
        <f>'Assembly(a)'!H16</f>
        <v xml:space="preserve"> </v>
      </c>
      <c r="N16" s="112" t="str">
        <f>IF('Job Sheet'!AU15="No","",'Job Sheet'!AU15)</f>
        <v/>
      </c>
      <c r="O16" s="112" t="str">
        <f>IF('Job Sheet'!L15="Yes","Yes","")</f>
        <v/>
      </c>
      <c r="P16" s="119" t="str">
        <f>IF(OR(O16="",Data!AV15=""),"",'Job Sheet'!BI15/2)</f>
        <v/>
      </c>
      <c r="Q16" s="112" t="str">
        <f>'Job Sheet'!BF15</f>
        <v/>
      </c>
      <c r="R16" s="130" t="str">
        <f t="shared" si="0"/>
        <v/>
      </c>
      <c r="T16" s="159" t="s">
        <v>178</v>
      </c>
      <c r="U16" s="159" t="s">
        <v>235</v>
      </c>
      <c r="V16" s="159" t="s">
        <v>275</v>
      </c>
      <c r="W16" s="159" t="s">
        <v>147</v>
      </c>
      <c r="X16" s="159" t="str">
        <f>CONCATENATE(T16,U16,V16)</f>
        <v>HingedInvisi-GardTriple Lock</v>
      </c>
      <c r="Y16" s="160" t="s">
        <v>517</v>
      </c>
    </row>
    <row r="17" spans="1:25" s="37" customFormat="1" ht="60" customHeight="1">
      <c r="A17" s="112" t="str">
        <f>IF(Data!AV16="","",Data!AW16)</f>
        <v/>
      </c>
      <c r="B17" s="19" t="str">
        <f>IF(Data!AV16="","",VLOOKUP(CONCATENATE(D17,E17,F17),AssemblyBProcedure,2,FALSE))</f>
        <v/>
      </c>
      <c r="C17" s="112" t="str">
        <f>IF(Data!AV16="","",'Job Sheet'!C16)</f>
        <v/>
      </c>
      <c r="D17" s="129" t="str">
        <f>'Job Sheet'!J16</f>
        <v/>
      </c>
      <c r="E17" s="129" t="str">
        <f>'Mitred Cutting'!C16</f>
        <v/>
      </c>
      <c r="F17" s="129" t="str">
        <f>Punching!F16</f>
        <v/>
      </c>
      <c r="G17" s="129" t="str">
        <f>'Assembly(a)'!F17</f>
        <v/>
      </c>
      <c r="H17" s="112" t="str">
        <f>IF('Job Sheet'!Q16="N/A","",IF('Job Sheet'!M16="Ultra Secua Digital Triple Lock","Digital Lock",IF(OR('Job Sheet'!M16="Push 2 Go Single Lock",'Job Sheet'!M16="Push 2 Go Triple Lock"),CONCATENATE("Push 2 Go ",'Job Sheet'!Q16),CONCATENATE(D17," ",'Job Sheet'!Q16))))</f>
        <v xml:space="preserve"> </v>
      </c>
      <c r="I17" s="112" t="str">
        <f>IF(F17="Not Required","",Punching!K16)</f>
        <v/>
      </c>
      <c r="J17" s="112" t="str">
        <f>'Job Sheet'!P16</f>
        <v/>
      </c>
      <c r="K17" s="54" t="str">
        <f>IF(OR('Job Sheet'!AH16="Key Alike (Supply)",'Job Sheet'!AH16="Key Alike (Customer)"),"Custom Barrel",'Job Sheet'!AH16)</f>
        <v/>
      </c>
      <c r="L17" s="112"/>
      <c r="M17" s="169" t="str">
        <f>'Assembly(a)'!H17</f>
        <v xml:space="preserve"> </v>
      </c>
      <c r="N17" s="112" t="str">
        <f>IF('Job Sheet'!AU16="No","",'Job Sheet'!AU16)</f>
        <v/>
      </c>
      <c r="O17" s="112" t="str">
        <f>IF('Job Sheet'!L16="Yes","Yes","")</f>
        <v/>
      </c>
      <c r="P17" s="119" t="str">
        <f>IF(OR(O17="",Data!AV16=""),"",'Job Sheet'!BI16/2)</f>
        <v/>
      </c>
      <c r="Q17" s="112" t="str">
        <f>'Job Sheet'!BF16</f>
        <v/>
      </c>
      <c r="R17" s="130" t="str">
        <f t="shared" si="0"/>
        <v/>
      </c>
      <c r="T17" s="159" t="s">
        <v>178</v>
      </c>
      <c r="U17" s="159" t="s">
        <v>235</v>
      </c>
      <c r="V17" s="159" t="s">
        <v>275</v>
      </c>
      <c r="W17" s="159" t="s">
        <v>306</v>
      </c>
      <c r="X17" s="159"/>
      <c r="Y17" s="160"/>
    </row>
    <row r="18" spans="1:25" s="37" customFormat="1" ht="60" customHeight="1">
      <c r="A18" s="112" t="str">
        <f>IF(Data!AV17="","",Data!AW17)</f>
        <v/>
      </c>
      <c r="B18" s="19" t="str">
        <f>IF(Data!AV17="","",VLOOKUP(CONCATENATE(D18,E18,F18),AssemblyBProcedure,2,FALSE))</f>
        <v/>
      </c>
      <c r="C18" s="112" t="str">
        <f>IF(Data!AV17="","",'Job Sheet'!C17)</f>
        <v/>
      </c>
      <c r="D18" s="129" t="str">
        <f>'Job Sheet'!J17</f>
        <v/>
      </c>
      <c r="E18" s="129" t="str">
        <f>'Mitred Cutting'!C17</f>
        <v/>
      </c>
      <c r="F18" s="129" t="str">
        <f>Punching!F17</f>
        <v/>
      </c>
      <c r="G18" s="129" t="str">
        <f>'Assembly(a)'!F18</f>
        <v/>
      </c>
      <c r="H18" s="112" t="str">
        <f>IF('Job Sheet'!Q17="N/A","",IF('Job Sheet'!M17="Ultra Secua Digital Triple Lock","Digital Lock",IF(OR('Job Sheet'!M17="Push 2 Go Single Lock",'Job Sheet'!M17="Push 2 Go Triple Lock"),CONCATENATE("Push 2 Go ",'Job Sheet'!Q17),CONCATENATE(D18," ",'Job Sheet'!Q17))))</f>
        <v xml:space="preserve"> </v>
      </c>
      <c r="I18" s="112" t="str">
        <f>IF(F18="Not Required","",Punching!K17)</f>
        <v/>
      </c>
      <c r="J18" s="112" t="str">
        <f>'Job Sheet'!P17</f>
        <v/>
      </c>
      <c r="K18" s="54" t="str">
        <f>IF(OR('Job Sheet'!AH17="Key Alike (Supply)",'Job Sheet'!AH17="Key Alike (Customer)"),"Custom Barrel",'Job Sheet'!AH17)</f>
        <v/>
      </c>
      <c r="L18" s="112"/>
      <c r="M18" s="169" t="str">
        <f>'Assembly(a)'!H18</f>
        <v xml:space="preserve"> </v>
      </c>
      <c r="N18" s="112" t="str">
        <f>IF('Job Sheet'!AU17="No","",'Job Sheet'!AU17)</f>
        <v/>
      </c>
      <c r="O18" s="112" t="str">
        <f>IF('Job Sheet'!L17="Yes","Yes","")</f>
        <v/>
      </c>
      <c r="P18" s="119" t="str">
        <f>IF(OR(O18="",Data!AV17=""),"",'Job Sheet'!BI17/2)</f>
        <v/>
      </c>
      <c r="Q18" s="112" t="str">
        <f>'Job Sheet'!BF17</f>
        <v/>
      </c>
      <c r="R18" s="130" t="str">
        <f t="shared" si="0"/>
        <v/>
      </c>
      <c r="T18" s="159" t="s">
        <v>179</v>
      </c>
      <c r="U18" s="159" t="s">
        <v>234</v>
      </c>
      <c r="V18" s="159" t="s">
        <v>279</v>
      </c>
      <c r="W18" s="159" t="s">
        <v>147</v>
      </c>
      <c r="X18" s="159" t="str">
        <f>CONCATENATE(T18,U18,V18)</f>
        <v>SlidingStandardSingle Lock</v>
      </c>
      <c r="Y18" s="160" t="s">
        <v>518</v>
      </c>
    </row>
    <row r="19" spans="1:25" s="37" customFormat="1" ht="60" customHeight="1">
      <c r="A19" s="112" t="str">
        <f>IF(Data!AV18="","",Data!AW18)</f>
        <v/>
      </c>
      <c r="B19" s="19" t="str">
        <f>IF(Data!AV18="","",VLOOKUP(CONCATENATE(D19,E19,F19),AssemblyBProcedure,2,FALSE))</f>
        <v/>
      </c>
      <c r="C19" s="112" t="str">
        <f>IF(Data!AV18="","",'Job Sheet'!C18)</f>
        <v/>
      </c>
      <c r="D19" s="129" t="str">
        <f>'Job Sheet'!J18</f>
        <v/>
      </c>
      <c r="E19" s="129" t="str">
        <f>'Mitred Cutting'!C18</f>
        <v/>
      </c>
      <c r="F19" s="129" t="str">
        <f>Punching!F18</f>
        <v/>
      </c>
      <c r="G19" s="129" t="str">
        <f>'Assembly(a)'!F19</f>
        <v/>
      </c>
      <c r="H19" s="112" t="str">
        <f>IF('Job Sheet'!Q18="N/A","",IF('Job Sheet'!M18="Ultra Secua Digital Triple Lock","Digital Lock",IF(OR('Job Sheet'!M18="Push 2 Go Single Lock",'Job Sheet'!M18="Push 2 Go Triple Lock"),CONCATENATE("Push 2 Go ",'Job Sheet'!Q18),CONCATENATE(D19," ",'Job Sheet'!Q18))))</f>
        <v xml:space="preserve"> </v>
      </c>
      <c r="I19" s="112" t="str">
        <f>IF(F19="Not Required","",Punching!K18)</f>
        <v/>
      </c>
      <c r="J19" s="112" t="str">
        <f>'Job Sheet'!P18</f>
        <v/>
      </c>
      <c r="K19" s="54" t="str">
        <f>IF(OR('Job Sheet'!AH18="Key Alike (Supply)",'Job Sheet'!AH18="Key Alike (Customer)"),"Custom Barrel",'Job Sheet'!AH18)</f>
        <v/>
      </c>
      <c r="L19" s="112"/>
      <c r="M19" s="169" t="str">
        <f>'Assembly(a)'!H19</f>
        <v xml:space="preserve"> </v>
      </c>
      <c r="N19" s="112" t="str">
        <f>IF('Job Sheet'!AU18="No","",'Job Sheet'!AU18)</f>
        <v/>
      </c>
      <c r="O19" s="112" t="str">
        <f>IF('Job Sheet'!L18="Yes","Yes","")</f>
        <v/>
      </c>
      <c r="P19" s="119" t="str">
        <f>IF(OR(O19="",Data!AV18=""),"",'Job Sheet'!BI18/2)</f>
        <v/>
      </c>
      <c r="Q19" s="112" t="str">
        <f>'Job Sheet'!BF18</f>
        <v/>
      </c>
      <c r="R19" s="130" t="str">
        <f t="shared" si="0"/>
        <v/>
      </c>
      <c r="T19" s="159" t="s">
        <v>179</v>
      </c>
      <c r="U19" s="159" t="s">
        <v>234</v>
      </c>
      <c r="V19" s="159" t="s">
        <v>279</v>
      </c>
      <c r="W19" s="159" t="s">
        <v>306</v>
      </c>
      <c r="X19" s="159"/>
      <c r="Y19" s="160"/>
    </row>
    <row r="20" spans="1:25" ht="60" customHeight="1">
      <c r="A20" s="112" t="str">
        <f>IF(Data!AV19="","",Data!AW19)</f>
        <v/>
      </c>
      <c r="B20" s="19" t="str">
        <f>IF(Data!AV19="","",VLOOKUP(CONCATENATE(D20,E20,F20),AssemblyBProcedure,2,FALSE))</f>
        <v/>
      </c>
      <c r="C20" s="112" t="str">
        <f>IF(Data!AV19="","",'Job Sheet'!C19)</f>
        <v/>
      </c>
      <c r="D20" s="129" t="str">
        <f>'Job Sheet'!J19</f>
        <v/>
      </c>
      <c r="E20" s="129" t="str">
        <f>'Mitred Cutting'!C19</f>
        <v/>
      </c>
      <c r="F20" s="129" t="str">
        <f>Punching!F19</f>
        <v/>
      </c>
      <c r="G20" s="129" t="str">
        <f>'Assembly(a)'!F20</f>
        <v/>
      </c>
      <c r="H20" s="112" t="str">
        <f>IF('Job Sheet'!Q19="N/A","",IF('Job Sheet'!M19="Ultra Secua Digital Triple Lock","Digital Lock",IF(OR('Job Sheet'!M19="Push 2 Go Single Lock",'Job Sheet'!M19="Push 2 Go Triple Lock"),CONCATENATE("Push 2 Go ",'Job Sheet'!Q19),CONCATENATE(D20," ",'Job Sheet'!Q19))))</f>
        <v xml:space="preserve"> </v>
      </c>
      <c r="I20" s="112" t="str">
        <f>IF(F20="Not Required","",Punching!K19)</f>
        <v/>
      </c>
      <c r="J20" s="112" t="str">
        <f>'Job Sheet'!P19</f>
        <v/>
      </c>
      <c r="K20" s="54" t="str">
        <f>IF(OR('Job Sheet'!AH19="Key Alike (Supply)",'Job Sheet'!AH19="Key Alike (Customer)"),"Custom Barrel",'Job Sheet'!AH19)</f>
        <v/>
      </c>
      <c r="L20" s="112"/>
      <c r="M20" s="169" t="str">
        <f>'Assembly(a)'!H20</f>
        <v xml:space="preserve"> </v>
      </c>
      <c r="N20" s="112" t="str">
        <f>IF('Job Sheet'!AU19="No","",'Job Sheet'!AU19)</f>
        <v/>
      </c>
      <c r="O20" s="112" t="str">
        <f>IF('Job Sheet'!L19="Yes","Yes","")</f>
        <v/>
      </c>
      <c r="P20" s="119" t="str">
        <f>IF(OR(O20="",Data!AV19=""),"",'Job Sheet'!BI19/2)</f>
        <v/>
      </c>
      <c r="Q20" s="112" t="str">
        <f>'Job Sheet'!BF19</f>
        <v/>
      </c>
      <c r="R20" s="130" t="str">
        <f t="shared" si="0"/>
        <v/>
      </c>
      <c r="T20" s="159" t="s">
        <v>220</v>
      </c>
      <c r="U20" s="159" t="s">
        <v>234</v>
      </c>
      <c r="V20" s="159" t="s">
        <v>279</v>
      </c>
      <c r="W20" s="159" t="s">
        <v>147</v>
      </c>
      <c r="X20" s="159" t="str">
        <f>CONCATENATE(T20,U20,V20)</f>
        <v>StackerStandardSingle Lock</v>
      </c>
      <c r="Y20" s="160" t="s">
        <v>518</v>
      </c>
    </row>
    <row r="21" spans="1:25" ht="60" customHeight="1">
      <c r="A21" s="112" t="str">
        <f>IF(Data!AV20="","",Data!AW20)</f>
        <v/>
      </c>
      <c r="B21" s="19" t="str">
        <f>IF(Data!AV20="","",VLOOKUP(CONCATENATE(D21,E21,F21),AssemblyBProcedure,2,FALSE))</f>
        <v/>
      </c>
      <c r="C21" s="112" t="str">
        <f>IF(Data!AV20="","",'Job Sheet'!C20)</f>
        <v/>
      </c>
      <c r="D21" s="129" t="str">
        <f>'Job Sheet'!J20</f>
        <v/>
      </c>
      <c r="E21" s="129" t="str">
        <f>'Mitred Cutting'!C20</f>
        <v/>
      </c>
      <c r="F21" s="129" t="str">
        <f>Punching!F20</f>
        <v/>
      </c>
      <c r="G21" s="129" t="str">
        <f>'Assembly(a)'!F21</f>
        <v/>
      </c>
      <c r="H21" s="112" t="str">
        <f>IF('Job Sheet'!Q20="N/A","",IF('Job Sheet'!M20="Ultra Secua Digital Triple Lock","Digital Lock",IF(OR('Job Sheet'!M20="Push 2 Go Single Lock",'Job Sheet'!M20="Push 2 Go Triple Lock"),CONCATENATE("Push 2 Go ",'Job Sheet'!Q20),CONCATENATE(D21," ",'Job Sheet'!Q20))))</f>
        <v xml:space="preserve"> </v>
      </c>
      <c r="I21" s="112" t="str">
        <f>IF(F21="Not Required","",Punching!K20)</f>
        <v/>
      </c>
      <c r="J21" s="112" t="str">
        <f>'Job Sheet'!P20</f>
        <v/>
      </c>
      <c r="K21" s="54" t="str">
        <f>IF(OR('Job Sheet'!AH20="Key Alike (Supply)",'Job Sheet'!AH20="Key Alike (Customer)"),"Custom Barrel",'Job Sheet'!AH20)</f>
        <v/>
      </c>
      <c r="L21" s="112"/>
      <c r="M21" s="169" t="str">
        <f>'Assembly(a)'!H21</f>
        <v xml:space="preserve"> </v>
      </c>
      <c r="N21" s="112" t="str">
        <f>IF('Job Sheet'!AU20="No","",'Job Sheet'!AU20)</f>
        <v/>
      </c>
      <c r="O21" s="112" t="str">
        <f>IF('Job Sheet'!L20="Yes","Yes","")</f>
        <v/>
      </c>
      <c r="P21" s="119" t="str">
        <f>IF(OR(O21="",Data!AV20=""),"",'Job Sheet'!BI20/2)</f>
        <v/>
      </c>
      <c r="Q21" s="112" t="str">
        <f>'Job Sheet'!BF20</f>
        <v/>
      </c>
      <c r="R21" s="130" t="str">
        <f t="shared" si="0"/>
        <v/>
      </c>
      <c r="T21" s="159" t="s">
        <v>220</v>
      </c>
      <c r="U21" s="159" t="s">
        <v>234</v>
      </c>
      <c r="V21" s="159" t="s">
        <v>279</v>
      </c>
      <c r="W21" s="159" t="s">
        <v>147</v>
      </c>
      <c r="X21" s="159"/>
      <c r="Y21" s="160"/>
    </row>
    <row r="22" spans="1:25" ht="60" customHeight="1">
      <c r="A22" s="63"/>
      <c r="B22" s="63"/>
      <c r="C22" s="63"/>
      <c r="D22" s="63"/>
      <c r="E22" s="63"/>
      <c r="F22" s="63"/>
      <c r="G22" s="63"/>
      <c r="H22" s="64"/>
      <c r="I22" s="64"/>
      <c r="J22" s="64"/>
      <c r="K22" s="64"/>
      <c r="L22" s="64"/>
      <c r="M22" s="64"/>
      <c r="N22" s="64"/>
      <c r="O22" s="78"/>
      <c r="T22" s="159" t="s">
        <v>179</v>
      </c>
      <c r="U22" s="159" t="s">
        <v>234</v>
      </c>
      <c r="V22" s="159" t="s">
        <v>275</v>
      </c>
      <c r="W22" s="159" t="s">
        <v>147</v>
      </c>
      <c r="X22" s="159" t="str">
        <f>CONCATENATE(T22,U22,V22)</f>
        <v>SlidingStandardTriple Lock</v>
      </c>
      <c r="Y22" s="160" t="s">
        <v>519</v>
      </c>
    </row>
    <row r="23" spans="1:25" ht="60" customHeight="1">
      <c r="A23" s="63"/>
      <c r="B23" s="63"/>
      <c r="C23" s="63"/>
      <c r="D23" s="63"/>
      <c r="E23" s="63"/>
      <c r="F23" s="63"/>
      <c r="G23" s="63"/>
      <c r="H23" s="64"/>
      <c r="I23" s="64"/>
      <c r="J23" s="64"/>
      <c r="K23" s="64"/>
      <c r="L23" s="64"/>
      <c r="M23" s="64"/>
      <c r="N23" s="64"/>
      <c r="O23" s="78"/>
      <c r="T23" s="159" t="s">
        <v>179</v>
      </c>
      <c r="U23" s="159" t="s">
        <v>234</v>
      </c>
      <c r="V23" s="159" t="s">
        <v>275</v>
      </c>
      <c r="W23" s="159" t="s">
        <v>306</v>
      </c>
      <c r="X23" s="159"/>
      <c r="Y23" s="160"/>
    </row>
    <row r="24" spans="1:25" ht="60" customHeight="1">
      <c r="A24" s="63"/>
      <c r="B24" s="63"/>
      <c r="C24" s="63"/>
      <c r="D24" s="63"/>
      <c r="E24" s="63"/>
      <c r="F24" s="63"/>
      <c r="G24" s="63"/>
      <c r="H24" s="64"/>
      <c r="I24" s="64"/>
      <c r="J24" s="64"/>
      <c r="K24" s="64"/>
      <c r="L24" s="64"/>
      <c r="M24" s="64"/>
      <c r="N24" s="64"/>
      <c r="O24" s="78"/>
      <c r="T24" s="159" t="s">
        <v>220</v>
      </c>
      <c r="U24" s="159" t="s">
        <v>234</v>
      </c>
      <c r="V24" s="159" t="s">
        <v>275</v>
      </c>
      <c r="W24" s="159" t="s">
        <v>147</v>
      </c>
      <c r="X24" s="159" t="str">
        <f>CONCATENATE(T24,U24,V24)</f>
        <v>StackerStandardTriple Lock</v>
      </c>
      <c r="Y24" s="160" t="s">
        <v>519</v>
      </c>
    </row>
    <row r="25" spans="1:25" ht="60" customHeight="1">
      <c r="A25" s="63"/>
      <c r="B25" s="63"/>
      <c r="C25" s="63"/>
      <c r="D25" s="63"/>
      <c r="E25" s="63"/>
      <c r="F25" s="63"/>
      <c r="G25" s="63"/>
      <c r="H25" s="64"/>
      <c r="I25" s="64"/>
      <c r="J25" s="64"/>
      <c r="K25" s="64"/>
      <c r="L25" s="64"/>
      <c r="M25" s="64"/>
      <c r="N25" s="64"/>
      <c r="O25" s="78"/>
      <c r="T25" s="159" t="s">
        <v>220</v>
      </c>
      <c r="U25" s="159" t="s">
        <v>234</v>
      </c>
      <c r="V25" s="159" t="s">
        <v>275</v>
      </c>
      <c r="W25" s="159" t="s">
        <v>306</v>
      </c>
      <c r="X25" s="159"/>
      <c r="Y25" s="160"/>
    </row>
    <row r="26" spans="1:25" ht="60" customHeight="1">
      <c r="A26" s="63"/>
      <c r="B26" s="63"/>
      <c r="C26" s="63"/>
      <c r="D26" s="63"/>
      <c r="E26" s="63"/>
      <c r="F26" s="63"/>
      <c r="G26" s="63"/>
      <c r="H26" s="64"/>
      <c r="I26" s="64"/>
      <c r="J26" s="64"/>
      <c r="K26" s="64"/>
      <c r="L26" s="64"/>
      <c r="M26" s="64"/>
      <c r="N26" s="64"/>
      <c r="O26" s="78"/>
      <c r="T26" s="159" t="s">
        <v>179</v>
      </c>
      <c r="U26" s="159" t="s">
        <v>235</v>
      </c>
      <c r="V26" s="159" t="s">
        <v>275</v>
      </c>
      <c r="W26" s="159" t="s">
        <v>147</v>
      </c>
      <c r="X26" s="159" t="str">
        <f>CONCATENATE(T26,U26,V26)</f>
        <v>SlidingInvisi-GardTriple Lock</v>
      </c>
      <c r="Y26" s="160" t="s">
        <v>520</v>
      </c>
    </row>
    <row r="27" spans="1:25" ht="60" customHeight="1">
      <c r="A27" s="63"/>
      <c r="B27" s="63"/>
      <c r="C27" s="63"/>
      <c r="D27" s="63"/>
      <c r="E27" s="63"/>
      <c r="F27" s="63"/>
      <c r="G27" s="63"/>
      <c r="H27" s="64"/>
      <c r="I27" s="64"/>
      <c r="J27" s="64"/>
      <c r="K27" s="64"/>
      <c r="L27" s="64"/>
      <c r="M27" s="64"/>
      <c r="N27" s="64"/>
      <c r="O27" s="78"/>
      <c r="T27" s="159" t="s">
        <v>179</v>
      </c>
      <c r="U27" s="159" t="s">
        <v>235</v>
      </c>
      <c r="V27" s="159" t="s">
        <v>275</v>
      </c>
      <c r="W27" s="159" t="s">
        <v>306</v>
      </c>
      <c r="X27" s="159"/>
      <c r="Y27" s="160"/>
    </row>
    <row r="28" spans="1:25" ht="60" customHeight="1">
      <c r="A28" s="63"/>
      <c r="B28" s="63"/>
      <c r="C28" s="63"/>
      <c r="D28" s="63"/>
      <c r="E28" s="63"/>
      <c r="F28" s="63"/>
      <c r="G28" s="63"/>
      <c r="H28" s="64"/>
      <c r="I28" s="64"/>
      <c r="J28" s="64"/>
      <c r="K28" s="64"/>
      <c r="L28" s="64"/>
      <c r="M28" s="64"/>
      <c r="N28" s="64"/>
      <c r="O28" s="78"/>
      <c r="T28" s="159" t="s">
        <v>220</v>
      </c>
      <c r="U28" s="159" t="s">
        <v>235</v>
      </c>
      <c r="V28" s="159" t="s">
        <v>275</v>
      </c>
      <c r="W28" s="159" t="s">
        <v>147</v>
      </c>
      <c r="X28" s="159" t="str">
        <f>CONCATENATE(T28,U28,V28)</f>
        <v>StackerInvisi-GardTriple Lock</v>
      </c>
      <c r="Y28" s="160" t="s">
        <v>520</v>
      </c>
    </row>
    <row r="29" spans="1:25" ht="60" customHeight="1">
      <c r="A29" s="63"/>
      <c r="B29" s="63"/>
      <c r="C29" s="63"/>
      <c r="D29" s="63"/>
      <c r="E29" s="63"/>
      <c r="F29" s="63"/>
      <c r="G29" s="63"/>
      <c r="H29" s="64"/>
      <c r="I29" s="64"/>
      <c r="J29" s="64"/>
      <c r="K29" s="64"/>
      <c r="L29" s="64"/>
      <c r="M29" s="64"/>
      <c r="N29" s="64"/>
      <c r="O29" s="78"/>
      <c r="T29" s="159" t="s">
        <v>220</v>
      </c>
      <c r="U29" s="159" t="s">
        <v>235</v>
      </c>
      <c r="V29" s="159" t="s">
        <v>275</v>
      </c>
      <c r="W29" s="159" t="s">
        <v>306</v>
      </c>
      <c r="X29" s="159"/>
      <c r="Y29" s="160"/>
    </row>
    <row r="30" spans="1:25" ht="60" customHeight="1">
      <c r="A30" s="63"/>
      <c r="B30" s="63"/>
      <c r="C30" s="63"/>
      <c r="D30" s="63"/>
      <c r="E30" s="63"/>
      <c r="F30" s="63"/>
      <c r="G30" s="63"/>
      <c r="H30" s="64"/>
      <c r="I30" s="64"/>
      <c r="J30" s="64"/>
      <c r="K30" s="64"/>
      <c r="L30" s="64"/>
      <c r="M30" s="64"/>
      <c r="N30" s="64"/>
      <c r="O30" s="78"/>
      <c r="T30" s="159" t="s">
        <v>178</v>
      </c>
      <c r="U30" s="159" t="s">
        <v>234</v>
      </c>
      <c r="V30" s="159" t="s">
        <v>410</v>
      </c>
      <c r="W30" s="159" t="s">
        <v>147</v>
      </c>
      <c r="X30" s="159" t="str">
        <f>CONCATENATE(T30,U30,V30)</f>
        <v>HingedStandardNot Required</v>
      </c>
      <c r="Y30" s="160" t="s">
        <v>644</v>
      </c>
    </row>
    <row r="31" spans="1:25" ht="60" customHeight="1">
      <c r="A31" s="63"/>
      <c r="B31" s="63"/>
      <c r="C31" s="63"/>
      <c r="D31" s="63"/>
      <c r="E31" s="63"/>
      <c r="F31" s="63"/>
      <c r="G31" s="63"/>
      <c r="H31" s="64"/>
      <c r="I31" s="64"/>
      <c r="J31" s="64"/>
      <c r="K31" s="64"/>
      <c r="L31" s="64"/>
      <c r="M31" s="64"/>
      <c r="N31" s="64"/>
      <c r="O31" s="78"/>
      <c r="T31" s="159" t="s">
        <v>178</v>
      </c>
      <c r="U31" s="159" t="s">
        <v>234</v>
      </c>
      <c r="V31" s="159" t="s">
        <v>410</v>
      </c>
      <c r="W31" s="159" t="s">
        <v>306</v>
      </c>
      <c r="X31" s="159"/>
      <c r="Y31" s="160"/>
    </row>
    <row r="32" spans="1:25" ht="60" customHeight="1">
      <c r="A32" s="63"/>
      <c r="B32" s="63"/>
      <c r="C32" s="63"/>
      <c r="D32" s="63"/>
      <c r="E32" s="63"/>
      <c r="F32" s="63"/>
      <c r="G32" s="63"/>
      <c r="H32" s="64"/>
      <c r="I32" s="64"/>
      <c r="J32" s="64"/>
      <c r="K32" s="64"/>
      <c r="L32" s="64"/>
      <c r="M32" s="64"/>
      <c r="N32" s="64"/>
      <c r="O32" s="78"/>
      <c r="T32" s="159" t="s">
        <v>178</v>
      </c>
      <c r="U32" s="159" t="s">
        <v>235</v>
      </c>
      <c r="V32" s="159" t="s">
        <v>410</v>
      </c>
      <c r="W32" s="159" t="s">
        <v>147</v>
      </c>
      <c r="X32" s="159" t="str">
        <f>CONCATENATE(T32,U32,V32)</f>
        <v>HingedInvisi-GardNot Required</v>
      </c>
      <c r="Y32" s="160" t="s">
        <v>645</v>
      </c>
    </row>
    <row r="33" spans="1:25" ht="60" customHeight="1">
      <c r="A33" s="63"/>
      <c r="B33" s="63"/>
      <c r="C33" s="63"/>
      <c r="D33" s="63"/>
      <c r="E33" s="63"/>
      <c r="F33" s="63"/>
      <c r="G33" s="63"/>
      <c r="H33" s="64"/>
      <c r="I33" s="64"/>
      <c r="J33" s="64"/>
      <c r="K33" s="64"/>
      <c r="L33" s="64"/>
      <c r="M33" s="64"/>
      <c r="N33" s="64"/>
      <c r="O33" s="78"/>
      <c r="T33" s="159" t="s">
        <v>178</v>
      </c>
      <c r="U33" s="159" t="s">
        <v>235</v>
      </c>
      <c r="V33" s="159" t="s">
        <v>410</v>
      </c>
      <c r="W33" s="159" t="s">
        <v>306</v>
      </c>
      <c r="X33" s="159"/>
      <c r="Y33" s="160"/>
    </row>
    <row r="34" spans="1:25" ht="60" customHeight="1">
      <c r="A34" s="63"/>
      <c r="B34" s="63"/>
      <c r="C34" s="63"/>
      <c r="D34" s="63"/>
      <c r="I34" s="64"/>
      <c r="J34" s="64"/>
      <c r="K34" s="64"/>
      <c r="L34" s="64"/>
      <c r="M34" s="64"/>
      <c r="N34" s="64"/>
      <c r="O34" s="78"/>
      <c r="T34" s="159" t="s">
        <v>179</v>
      </c>
      <c r="U34" s="159" t="s">
        <v>234</v>
      </c>
      <c r="V34" s="159" t="s">
        <v>410</v>
      </c>
      <c r="W34" s="159" t="s">
        <v>147</v>
      </c>
      <c r="X34" s="159" t="str">
        <f>CONCATENATE(T34,U34,V34)</f>
        <v>SlidingStandardNot Required</v>
      </c>
      <c r="Y34" s="160" t="s">
        <v>646</v>
      </c>
    </row>
    <row r="35" spans="1:25" ht="60" customHeight="1">
      <c r="A35" s="63"/>
      <c r="B35" s="63"/>
      <c r="C35" s="63"/>
      <c r="D35" s="63"/>
      <c r="I35" s="64"/>
      <c r="J35" s="64"/>
      <c r="K35" s="64"/>
      <c r="L35" s="64"/>
      <c r="M35" s="64"/>
      <c r="N35" s="64"/>
      <c r="O35" s="78"/>
      <c r="T35" s="159" t="s">
        <v>179</v>
      </c>
      <c r="U35" s="159" t="s">
        <v>234</v>
      </c>
      <c r="V35" s="159" t="s">
        <v>410</v>
      </c>
      <c r="W35" s="159" t="s">
        <v>306</v>
      </c>
      <c r="X35" s="159"/>
      <c r="Y35" s="160"/>
    </row>
    <row r="36" spans="1:25" ht="60" customHeight="1">
      <c r="A36" s="63"/>
      <c r="B36" s="63"/>
      <c r="C36" s="63"/>
      <c r="D36" s="63"/>
      <c r="I36" s="64"/>
      <c r="J36" s="64"/>
      <c r="K36" s="64"/>
      <c r="L36" s="64"/>
      <c r="M36" s="64"/>
      <c r="N36" s="64"/>
      <c r="O36" s="78"/>
      <c r="T36" s="159" t="s">
        <v>220</v>
      </c>
      <c r="U36" s="159" t="s">
        <v>234</v>
      </c>
      <c r="V36" s="159" t="s">
        <v>410</v>
      </c>
      <c r="W36" s="159" t="s">
        <v>147</v>
      </c>
      <c r="X36" s="159" t="str">
        <f>CONCATENATE(T36,U36,V36)</f>
        <v>StackerStandardNot Required</v>
      </c>
      <c r="Y36" s="160" t="s">
        <v>646</v>
      </c>
    </row>
    <row r="37" spans="1:25" ht="60" customHeight="1">
      <c r="A37" s="63"/>
      <c r="B37" s="63"/>
      <c r="C37" s="63"/>
      <c r="D37" s="63"/>
      <c r="I37" s="64"/>
      <c r="J37" s="64"/>
      <c r="K37" s="64"/>
      <c r="L37" s="64"/>
      <c r="M37" s="64"/>
      <c r="N37" s="64"/>
      <c r="O37" s="78"/>
      <c r="T37" s="159" t="s">
        <v>220</v>
      </c>
      <c r="U37" s="159" t="s">
        <v>234</v>
      </c>
      <c r="V37" s="159" t="s">
        <v>410</v>
      </c>
      <c r="W37" s="159" t="s">
        <v>306</v>
      </c>
      <c r="X37" s="159"/>
      <c r="Y37" s="160"/>
    </row>
    <row r="38" spans="1:25" ht="60" customHeight="1">
      <c r="A38" s="63"/>
      <c r="B38" s="63"/>
      <c r="C38" s="63"/>
      <c r="D38" s="63"/>
      <c r="I38" s="64"/>
      <c r="J38" s="64"/>
      <c r="K38" s="64"/>
      <c r="L38" s="64"/>
      <c r="M38" s="64"/>
      <c r="N38" s="64"/>
      <c r="O38" s="78"/>
      <c r="T38" s="159" t="s">
        <v>179</v>
      </c>
      <c r="U38" s="159" t="s">
        <v>235</v>
      </c>
      <c r="V38" s="159" t="s">
        <v>410</v>
      </c>
      <c r="W38" s="159" t="s">
        <v>147</v>
      </c>
      <c r="X38" s="159" t="str">
        <f>CONCATENATE(T38,U38,V38)</f>
        <v>SlidingInvisi-GardNot Required</v>
      </c>
      <c r="Y38" s="160" t="s">
        <v>647</v>
      </c>
    </row>
    <row r="39" spans="1:25" ht="60" customHeight="1">
      <c r="A39" s="63"/>
      <c r="B39" s="63"/>
      <c r="C39" s="63"/>
      <c r="D39" s="63"/>
      <c r="I39" s="64"/>
      <c r="J39" s="64"/>
      <c r="K39" s="64"/>
      <c r="L39" s="64"/>
      <c r="M39" s="64"/>
      <c r="N39" s="64"/>
      <c r="O39" s="78"/>
      <c r="T39" s="159" t="s">
        <v>179</v>
      </c>
      <c r="U39" s="159" t="s">
        <v>235</v>
      </c>
      <c r="V39" s="159" t="s">
        <v>410</v>
      </c>
      <c r="W39" s="159" t="s">
        <v>306</v>
      </c>
      <c r="X39" s="159"/>
      <c r="Y39" s="160"/>
    </row>
    <row r="40" spans="1:25" ht="60" customHeight="1">
      <c r="A40" s="63"/>
      <c r="B40" s="63"/>
      <c r="C40" s="63"/>
      <c r="D40" s="63"/>
      <c r="I40" s="64"/>
      <c r="J40" s="64"/>
      <c r="K40" s="64"/>
      <c r="L40" s="64"/>
      <c r="M40" s="64"/>
      <c r="N40" s="64"/>
      <c r="O40" s="78"/>
      <c r="T40" s="159" t="s">
        <v>220</v>
      </c>
      <c r="U40" s="159" t="s">
        <v>235</v>
      </c>
      <c r="V40" s="159" t="s">
        <v>410</v>
      </c>
      <c r="W40" s="159" t="s">
        <v>147</v>
      </c>
      <c r="X40" s="159" t="str">
        <f>CONCATENATE(T40,U40,V40)</f>
        <v>StackerInvisi-GardNot Required</v>
      </c>
      <c r="Y40" s="160" t="s">
        <v>647</v>
      </c>
    </row>
    <row r="41" spans="1:25" ht="60" customHeight="1">
      <c r="A41" s="63"/>
      <c r="B41" s="63"/>
      <c r="C41" s="63"/>
      <c r="D41" s="63"/>
      <c r="I41" s="64"/>
      <c r="J41" s="64"/>
      <c r="K41" s="64"/>
      <c r="L41" s="64"/>
      <c r="M41" s="64"/>
      <c r="N41" s="64"/>
      <c r="O41" s="78"/>
      <c r="T41" s="159" t="s">
        <v>220</v>
      </c>
      <c r="U41" s="159" t="s">
        <v>235</v>
      </c>
      <c r="V41" s="159" t="s">
        <v>410</v>
      </c>
      <c r="W41" s="159" t="s">
        <v>306</v>
      </c>
      <c r="X41" s="159"/>
      <c r="Y41" s="160"/>
    </row>
    <row r="42" spans="1:15" ht="60" customHeight="1">
      <c r="A42" s="63"/>
      <c r="B42" s="63"/>
      <c r="C42" s="63"/>
      <c r="D42" s="63"/>
      <c r="I42" s="64"/>
      <c r="J42" s="64"/>
      <c r="K42" s="64"/>
      <c r="L42" s="64"/>
      <c r="M42" s="64"/>
      <c r="N42" s="64"/>
      <c r="O42" s="78"/>
    </row>
    <row r="43" spans="1:15" ht="60" customHeight="1">
      <c r="A43" s="63"/>
      <c r="B43" s="63"/>
      <c r="C43" s="63"/>
      <c r="D43" s="63"/>
      <c r="I43" s="64"/>
      <c r="J43" s="64"/>
      <c r="K43" s="64"/>
      <c r="L43" s="64"/>
      <c r="M43" s="64"/>
      <c r="N43" s="64"/>
      <c r="O43" s="78"/>
    </row>
    <row r="44" spans="1:15" ht="60" customHeight="1">
      <c r="A44" s="63"/>
      <c r="B44" s="63"/>
      <c r="C44" s="63"/>
      <c r="D44" s="63"/>
      <c r="I44" s="64"/>
      <c r="J44" s="64"/>
      <c r="K44" s="64"/>
      <c r="L44" s="64"/>
      <c r="M44" s="64"/>
      <c r="N44" s="64"/>
      <c r="O44" s="78"/>
    </row>
    <row r="45" spans="1:15" ht="60" customHeight="1">
      <c r="A45" s="63"/>
      <c r="B45" s="63"/>
      <c r="C45" s="63"/>
      <c r="D45" s="63"/>
      <c r="I45" s="64"/>
      <c r="J45" s="64"/>
      <c r="K45" s="64"/>
      <c r="L45" s="64"/>
      <c r="M45" s="64"/>
      <c r="N45" s="64"/>
      <c r="O45" s="78"/>
    </row>
    <row r="46" spans="1:15" ht="60" customHeight="1">
      <c r="A46" s="63"/>
      <c r="B46" s="63"/>
      <c r="C46" s="63"/>
      <c r="D46" s="63"/>
      <c r="I46" s="64"/>
      <c r="J46" s="64"/>
      <c r="K46" s="64"/>
      <c r="L46" s="64"/>
      <c r="M46" s="64"/>
      <c r="N46" s="64"/>
      <c r="O46" s="78"/>
    </row>
    <row r="47" spans="1:15" ht="60" customHeight="1">
      <c r="A47" s="63"/>
      <c r="B47" s="63"/>
      <c r="C47" s="63"/>
      <c r="D47" s="63"/>
      <c r="I47" s="64"/>
      <c r="J47" s="64"/>
      <c r="K47" s="64"/>
      <c r="L47" s="64"/>
      <c r="M47" s="64"/>
      <c r="N47" s="64"/>
      <c r="O47" s="78"/>
    </row>
  </sheetData>
  <mergeCells count="46">
    <mergeCell ref="Y8:Y10"/>
    <mergeCell ref="X8:X10"/>
    <mergeCell ref="V8:V10"/>
    <mergeCell ref="U8:U10"/>
    <mergeCell ref="T8:T10"/>
    <mergeCell ref="W8:W10"/>
    <mergeCell ref="A8:A10"/>
    <mergeCell ref="E4:G4"/>
    <mergeCell ref="E5:G7"/>
    <mergeCell ref="C5:D5"/>
    <mergeCell ref="A6:D7"/>
    <mergeCell ref="B8:B10"/>
    <mergeCell ref="C4:D4"/>
    <mergeCell ref="C8:C10"/>
    <mergeCell ref="D8:D10"/>
    <mergeCell ref="E8:E10"/>
    <mergeCell ref="F8:F10"/>
    <mergeCell ref="A2:B2"/>
    <mergeCell ref="A1:R1"/>
    <mergeCell ref="N2:R2"/>
    <mergeCell ref="N3:R7"/>
    <mergeCell ref="C2:D2"/>
    <mergeCell ref="A3:B3"/>
    <mergeCell ref="A4:B4"/>
    <mergeCell ref="A5:B5"/>
    <mergeCell ref="C3:D3"/>
    <mergeCell ref="H7:M7"/>
    <mergeCell ref="H6:M6"/>
    <mergeCell ref="H5:M5"/>
    <mergeCell ref="H4:M4"/>
    <mergeCell ref="H3:M3"/>
    <mergeCell ref="H2:M2"/>
    <mergeCell ref="R8:R10"/>
    <mergeCell ref="E2:G2"/>
    <mergeCell ref="E3:G3"/>
    <mergeCell ref="O8:O10"/>
    <mergeCell ref="Q8:Q10"/>
    <mergeCell ref="P8:P10"/>
    <mergeCell ref="H8:H10"/>
    <mergeCell ref="I8:I10"/>
    <mergeCell ref="J8:J10"/>
    <mergeCell ref="K8:K10"/>
    <mergeCell ref="L8:L10"/>
    <mergeCell ref="N8:N10"/>
    <mergeCell ref="M8:M10"/>
    <mergeCell ref="G8:G10"/>
  </mergeCells>
  <conditionalFormatting sqref="K12:K21">
    <cfRule type="containsText" priority="1" dxfId="0" operator="containsText" text="Custom Barrel">
      <formula>NOT(ISERROR(SEARCH("Custom Barrel",K12)))</formula>
    </cfRule>
  </conditionalFormatting>
  <pageMargins left="0.645669291338609" right="0.645669291338609" top="0.236220472440945" bottom="0.236220472440945" header="0.236220472440945" footer="0.236220472440945"/>
  <pageSetup fitToHeight="0" orientation="landscape" paperSize="9" scale="1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0336E-6ADE-4D0C-8FAE-9FF799E69CA7}">
  <sheetPr codeName="Sheet5">
    <pageSetUpPr fitToPage="1"/>
  </sheetPr>
  <dimension ref="A1:S21"/>
  <sheetViews>
    <sheetView view="pageBreakPreview" zoomScale="40" zoomScaleNormal="40" zoomScaleSheetLayoutView="40" workbookViewId="0" topLeftCell="A1">
      <selection pane="topLeft" activeCell="A12" sqref="A12:XFD21"/>
    </sheetView>
  </sheetViews>
  <sheetFormatPr defaultColWidth="9.109375" defaultRowHeight="13.5"/>
  <cols>
    <col min="1" max="1" width="11.4285714285714" style="57" customWidth="1"/>
    <col min="2" max="2" width="26.1428571428571" style="57" customWidth="1"/>
    <col min="3" max="3" width="28.5714285714286" style="57" customWidth="1"/>
    <col min="4" max="4" width="28.7142857142857" style="57" customWidth="1"/>
    <col min="5" max="5" width="33.7142857142857" style="57" customWidth="1"/>
    <col min="6" max="6" width="23.7142857142857" style="57" customWidth="1"/>
    <col min="7" max="7" width="22.4285714285714" customWidth="1"/>
    <col min="8" max="8" width="16.1428571428571" bestFit="1" customWidth="1"/>
    <col min="9" max="9" width="14.2857142857143" customWidth="1"/>
    <col min="10" max="10" width="14.8571428571429" customWidth="1"/>
    <col min="11" max="11" width="15.5714285714286" customWidth="1"/>
    <col min="12" max="12" width="22.7142857142857" customWidth="1"/>
    <col min="13" max="13" width="22.2857142857143" customWidth="1"/>
    <col min="14" max="14" width="17.2857142857143" customWidth="1"/>
    <col min="15" max="15" width="20" customWidth="1"/>
    <col min="16" max="16" width="18.2857142857143" customWidth="1"/>
    <col min="17" max="17" width="22.7142857142857" customWidth="1"/>
    <col min="18" max="18" width="45.8571428571429" customWidth="1"/>
    <col min="19" max="19" width="18.8571428571429" customWidth="1"/>
  </cols>
  <sheetData>
    <row r="1" spans="1:19" s="30" customFormat="1" ht="219.15" customHeight="1">
      <c r="A1" s="299" t="s">
        <v>636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  <c r="Q1" s="299"/>
      <c r="R1" s="299"/>
      <c r="S1" s="299"/>
    </row>
    <row r="2" spans="1:19" s="32" customFormat="1" ht="50.1" customHeight="1">
      <c r="A2" s="2" t="s">
        <v>7</v>
      </c>
      <c r="B2" s="2"/>
      <c r="C2" s="184"/>
      <c r="D2" s="184"/>
      <c r="E2" s="184" t="s">
        <v>118</v>
      </c>
      <c r="F2" s="184"/>
      <c r="G2" s="3" t="str">
        <f>IF(Data!AV11="","",Data!BF5)</f>
        <v>Leurs, Nigel</v>
      </c>
      <c r="H2" s="3"/>
      <c r="I2" s="3"/>
      <c r="J2" s="3"/>
      <c r="K2" s="3"/>
      <c r="L2" s="3"/>
      <c r="M2" s="3"/>
      <c r="N2" s="4" t="s">
        <v>4</v>
      </c>
      <c r="O2" s="4"/>
      <c r="P2" s="4"/>
      <c r="Q2" s="4"/>
      <c r="R2" s="4"/>
      <c r="S2" s="4"/>
    </row>
    <row r="3" spans="1:19" s="32" customFormat="1" ht="50.1" customHeight="1">
      <c r="A3" s="2" t="s">
        <v>143</v>
      </c>
      <c r="B3" s="2"/>
      <c r="C3" s="182" t="str">
        <f>IF(Data!AV11="","",Data!BC5)</f>
        <v>12201</v>
      </c>
      <c r="D3" s="182"/>
      <c r="E3" s="187" t="s">
        <v>8</v>
      </c>
      <c r="F3" s="187"/>
      <c r="G3" s="215" t="str">
        <f>IF(Data!AV11="","",Data!AX5)</f>
        <v>Barrier Doors </v>
      </c>
      <c r="H3" s="215"/>
      <c r="I3" s="215"/>
      <c r="J3" s="215"/>
      <c r="K3" s="215"/>
      <c r="L3" s="215"/>
      <c r="M3" s="215"/>
      <c r="N3" s="256" t="str">
        <f>TRIM(Data!BG5)</f>
        <v/>
      </c>
      <c r="O3" s="256"/>
      <c r="P3" s="256"/>
      <c r="Q3" s="256"/>
      <c r="R3" s="256"/>
      <c r="S3" s="256"/>
    </row>
    <row r="4" spans="1:19" s="21" customFormat="1" ht="50.1" customHeight="1">
      <c r="A4" s="186" t="s">
        <v>15</v>
      </c>
      <c r="B4" s="186"/>
      <c r="C4" s="182" t="str">
        <f>IF(Data!AV11="","",Data!BD5)</f>
        <v>A</v>
      </c>
      <c r="D4" s="182"/>
      <c r="E4" s="187" t="s">
        <v>137</v>
      </c>
      <c r="F4" s="187"/>
      <c r="G4" s="215" t="str">
        <f>IF(Data!AV11="","",Data!BA5)</f>
        <v>22/09/2026 12:00:00 AM</v>
      </c>
      <c r="H4" s="215"/>
      <c r="I4" s="215"/>
      <c r="J4" s="215"/>
      <c r="K4" s="215"/>
      <c r="L4" s="215"/>
      <c r="M4" s="215"/>
      <c r="N4" s="256"/>
      <c r="O4" s="256"/>
      <c r="P4" s="256"/>
      <c r="Q4" s="256"/>
      <c r="R4" s="256"/>
      <c r="S4" s="256"/>
    </row>
    <row r="5" spans="1:19" s="21" customFormat="1" ht="50.1" customHeight="1">
      <c r="A5" s="185" t="s">
        <v>9</v>
      </c>
      <c r="B5" s="185"/>
      <c r="C5" s="1" t="str">
        <f>IF(Data!AV11="","",Data!AY5)</f>
        <v>26/08/2026 12:00:00 AM</v>
      </c>
      <c r="D5" s="1"/>
      <c r="E5" s="182" t="s">
        <v>12</v>
      </c>
      <c r="F5" s="182"/>
      <c r="G5" s="3" t="str">
        <f>TRIM(Data!BF5)</f>
        <v>Leurs, Nigel</v>
      </c>
      <c r="H5" s="3"/>
      <c r="I5" s="3"/>
      <c r="J5" s="3"/>
      <c r="K5" s="3"/>
      <c r="L5" s="3"/>
      <c r="M5" s="3"/>
      <c r="N5" s="256"/>
      <c r="O5" s="256"/>
      <c r="P5" s="256"/>
      <c r="Q5" s="256"/>
      <c r="R5" s="256"/>
      <c r="S5" s="256"/>
    </row>
    <row r="6" spans="1:19" s="21" customFormat="1" ht="50.1" customHeight="1">
      <c r="A6" s="188" t="str">
        <f>IF(Data!AV11="","",'Job Sheet'!A6)</f>
        <v>Retail Customer</v>
      </c>
      <c r="B6" s="188"/>
      <c r="C6" s="188"/>
      <c r="D6" s="188"/>
      <c r="E6" s="182"/>
      <c r="F6" s="182"/>
      <c r="G6" s="3" t="str">
        <f>CONCATENATE(Data!BH5," ",Data!BI5," ",Data!BJ5," ",Data!BK5," ",Data!BL5)</f>
        <v xml:space="preserve"> 30  Timbertop Drive </v>
      </c>
      <c r="H6" s="3"/>
      <c r="I6" s="3"/>
      <c r="J6" s="3"/>
      <c r="K6" s="3"/>
      <c r="L6" s="3"/>
      <c r="M6" s="3"/>
      <c r="N6" s="256"/>
      <c r="O6" s="256"/>
      <c r="P6" s="256"/>
      <c r="Q6" s="256"/>
      <c r="R6" s="256"/>
      <c r="S6" s="256"/>
    </row>
    <row r="7" spans="1:19" s="21" customFormat="1" ht="50.1" customHeight="1">
      <c r="A7" s="188"/>
      <c r="B7" s="188"/>
      <c r="C7" s="188"/>
      <c r="D7" s="188"/>
      <c r="E7" s="182"/>
      <c r="F7" s="182"/>
      <c r="G7" s="3" t="str">
        <f>CONCATENATE(Data!BM5," ",Data!BN5," ",Data!BO5," ",Data!BP5)</f>
        <v>Mount Helen VIC 3350 Australia</v>
      </c>
      <c r="H7" s="3"/>
      <c r="I7" s="3"/>
      <c r="J7" s="3"/>
      <c r="K7" s="3"/>
      <c r="L7" s="3"/>
      <c r="M7" s="3"/>
      <c r="N7" s="256"/>
      <c r="O7" s="256"/>
      <c r="P7" s="256"/>
      <c r="Q7" s="256"/>
      <c r="R7" s="256"/>
      <c r="S7" s="256"/>
    </row>
    <row r="8" spans="1:19" s="61" customFormat="1" ht="50.1" customHeight="1">
      <c r="A8" s="216" t="s">
        <v>142</v>
      </c>
      <c r="B8" s="267" t="s">
        <v>409</v>
      </c>
      <c r="C8" s="267" t="s">
        <v>120</v>
      </c>
      <c r="D8" s="267" t="s">
        <v>268</v>
      </c>
      <c r="E8" s="267" t="s">
        <v>276</v>
      </c>
      <c r="F8" s="267" t="s">
        <v>459</v>
      </c>
      <c r="G8" s="267" t="s">
        <v>269</v>
      </c>
      <c r="H8" s="267" t="s">
        <v>267</v>
      </c>
      <c r="I8" s="267" t="s">
        <v>488</v>
      </c>
      <c r="J8" s="267" t="s">
        <v>248</v>
      </c>
      <c r="K8" s="267" t="s">
        <v>249</v>
      </c>
      <c r="L8" s="293" t="s">
        <v>281</v>
      </c>
      <c r="M8" s="293" t="s">
        <v>280</v>
      </c>
      <c r="N8" s="267" t="s">
        <v>256</v>
      </c>
      <c r="O8" s="267" t="s">
        <v>392</v>
      </c>
      <c r="P8" s="267" t="s">
        <v>345</v>
      </c>
      <c r="Q8" s="267" t="s">
        <v>192</v>
      </c>
      <c r="R8" s="260" t="s">
        <v>5</v>
      </c>
      <c r="S8" s="260" t="s">
        <v>487</v>
      </c>
    </row>
    <row r="9" spans="1:19" s="61" customFormat="1" ht="14.25" customHeight="1" hidden="1">
      <c r="A9" s="216"/>
      <c r="B9" s="267"/>
      <c r="C9" s="267"/>
      <c r="D9" s="267"/>
      <c r="E9" s="267"/>
      <c r="F9" s="267"/>
      <c r="G9" s="267"/>
      <c r="H9" s="267"/>
      <c r="I9" s="267"/>
      <c r="J9" s="267"/>
      <c r="K9" s="267"/>
      <c r="L9" s="293"/>
      <c r="M9" s="293"/>
      <c r="N9" s="267"/>
      <c r="O9" s="267"/>
      <c r="P9" s="267"/>
      <c r="Q9" s="267"/>
      <c r="R9" s="260"/>
      <c r="S9" s="260"/>
    </row>
    <row r="10" spans="1:19" s="62" customFormat="1" ht="91.5" customHeight="1">
      <c r="A10" s="216"/>
      <c r="B10" s="267"/>
      <c r="C10" s="267"/>
      <c r="D10" s="267"/>
      <c r="E10" s="267"/>
      <c r="F10" s="267"/>
      <c r="G10" s="267"/>
      <c r="H10" s="267"/>
      <c r="I10" s="267"/>
      <c r="J10" s="267"/>
      <c r="K10" s="267"/>
      <c r="L10" s="293"/>
      <c r="M10" s="293"/>
      <c r="N10" s="267"/>
      <c r="O10" s="267"/>
      <c r="P10" s="267"/>
      <c r="Q10" s="267"/>
      <c r="R10" s="260"/>
      <c r="S10" s="260"/>
    </row>
    <row r="11" spans="1:19" s="62" customFormat="1" ht="7.5" customHeight="1" hidden="1">
      <c r="A11" s="85"/>
      <c r="B11" s="88" t="e">
        <f>IF(Data!AV11="","",'Job Sheet'!CL11)</f>
        <v>#N/A</v>
      </c>
      <c r="C11" s="86"/>
      <c r="D11" s="17"/>
      <c r="E11" s="17"/>
      <c r="F11" s="17"/>
      <c r="G11" s="17"/>
      <c r="H11" s="17"/>
      <c r="I11" s="86"/>
      <c r="J11" s="18"/>
      <c r="K11" s="117"/>
      <c r="L11" s="18"/>
      <c r="M11" s="117"/>
      <c r="N11" s="17"/>
      <c r="O11" s="108"/>
      <c r="P11" s="108"/>
      <c r="Q11" s="108"/>
      <c r="R11" s="18"/>
      <c r="S11" s="109"/>
    </row>
    <row r="12" spans="1:19" s="37" customFormat="1" ht="60">
      <c r="A12" s="87">
        <f>IF(Data!AV11="","",Data!AW11)</f>
        <v>1</v>
      </c>
      <c r="B12" s="88" t="e">
        <f>IF(Data!AV11="","",'Job Sheet'!CL11)</f>
        <v>#N/A</v>
      </c>
      <c r="C12" s="88" t="str">
        <f>IF(Data!AV11="","",'Job Sheet'!C11)</f>
        <v>Rumpus</v>
      </c>
      <c r="D12" s="88" t="str">
        <f>IF('Job Sheet'!U11="Not Required","",'Job Sheet'!U11)</f>
        <v/>
      </c>
      <c r="E12" s="180" t="str">
        <f>IF(Data!AV11="","",IF('Job Sheet'!M11="Not Required","",VLOOKUP(CONCATENATE('Job Sheet'!J11,'Job Sheet'!M11),LockAccess,2,FALSE)))</f>
        <v>Keys + Striker Plate</v>
      </c>
      <c r="F12" s="88" t="str">
        <f>IF('Job Sheet'!R11="Standard","",'Job Sheet'!R11)</f>
        <v/>
      </c>
      <c r="G12" s="88" t="str">
        <f>IF('Job Sheet'!AQ11="T Mullion with Cutouts and 2 Lock Bolts","Lock Bolts x 2","")</f>
        <v/>
      </c>
      <c r="H12" s="88" t="str">
        <f>IF('Job Sheet'!L11="No - Supply Loose","3","")</f>
        <v/>
      </c>
      <c r="I12" s="88">
        <f>'Straight Cutting'!D11</f>
        <v>931</v>
      </c>
      <c r="J12" s="88">
        <f>'Straight Cutting'!F11</f>
        <v>1986</v>
      </c>
      <c r="K12" s="88">
        <f>'Straight Cutting'!G11</f>
        <v>1986</v>
      </c>
      <c r="L12" s="88" t="str">
        <f>'Straight Cutting'!H11</f>
        <v/>
      </c>
      <c r="M12" s="88">
        <f>'Straight Cutting'!I11</f>
        <v>2036</v>
      </c>
      <c r="N12" s="88" t="str">
        <f>'Straight Cutting'!J11</f>
        <v/>
      </c>
      <c r="O12" s="88" t="str">
        <f>'Straight Cutting'!L11</f>
        <v/>
      </c>
      <c r="P12" s="88" t="str">
        <f>'Straight Cutting'!N11</f>
        <v/>
      </c>
      <c r="Q12" s="88" t="str">
        <f>'Straight Cutting'!U11</f>
        <v/>
      </c>
      <c r="R12" s="88" t="str">
        <f>'Job Sheet'!BF11</f>
        <v/>
      </c>
      <c r="S12" s="131">
        <f>A12</f>
        <v>1</v>
      </c>
    </row>
    <row r="13" spans="1:19" s="37" customFormat="1" ht="60">
      <c r="A13" s="87">
        <f>IF(Data!AV12="","",Data!AW12)</f>
        <v>2</v>
      </c>
      <c r="B13" s="88" t="e">
        <f>IF(Data!AV12="","",'Job Sheet'!CL12)</f>
        <v>#N/A</v>
      </c>
      <c r="C13" s="88" t="str">
        <f>IF(Data!AV12="","",'Job Sheet'!C12)</f>
        <v>Laundry</v>
      </c>
      <c r="D13" s="88" t="str">
        <f>IF('Job Sheet'!U12="Not Required","",'Job Sheet'!U12)</f>
        <v>Paperbark</v>
      </c>
      <c r="E13" s="180" t="str">
        <f>IF(Data!AV12="","",IF('Job Sheet'!M12="Not Required","",VLOOKUP(CONCATENATE('Job Sheet'!J12,'Job Sheet'!M12),LockAccess,2,FALSE)))</f>
        <v>Keys + Striker Plate</v>
      </c>
      <c r="F13" s="88" t="str">
        <f>IF('Job Sheet'!R12="Standard","",'Job Sheet'!R12)</f>
        <v/>
      </c>
      <c r="G13" s="88" t="str">
        <f>IF('Job Sheet'!AQ12="T Mullion with Cutouts and 2 Lock Bolts","Lock Bolts x 2","")</f>
        <v/>
      </c>
      <c r="H13" s="88" t="str">
        <f>IF('Job Sheet'!L12="No - Supply Loose","3","")</f>
        <v/>
      </c>
      <c r="I13" s="88">
        <f>'Straight Cutting'!D12</f>
        <v>812</v>
      </c>
      <c r="J13" s="88" t="str">
        <f>'Straight Cutting'!F12</f>
        <v/>
      </c>
      <c r="K13" s="88" t="str">
        <f>'Straight Cutting'!G12</f>
        <v/>
      </c>
      <c r="L13" s="88" t="str">
        <f>'Straight Cutting'!H12</f>
        <v/>
      </c>
      <c r="M13" s="88" t="str">
        <f>'Straight Cutting'!I12</f>
        <v/>
      </c>
      <c r="N13" s="88" t="str">
        <f>'Straight Cutting'!J12</f>
        <v/>
      </c>
      <c r="O13" s="88" t="str">
        <f>'Straight Cutting'!L12</f>
        <v/>
      </c>
      <c r="P13" s="88" t="str">
        <f>'Straight Cutting'!N12</f>
        <v/>
      </c>
      <c r="Q13" s="88" t="str">
        <f>'Straight Cutting'!U12</f>
        <v/>
      </c>
      <c r="R13" s="88" t="str">
        <f>'Job Sheet'!BF12</f>
        <v/>
      </c>
      <c r="S13" s="131">
        <f t="shared" si="0" ref="S13:S21">A13</f>
        <v>2</v>
      </c>
    </row>
    <row r="14" spans="1:19" s="37" customFormat="1" ht="60">
      <c r="A14" s="87">
        <f>IF(Data!AV13="","",Data!AW13)</f>
        <v>3</v>
      </c>
      <c r="B14" s="88" t="e">
        <f>IF(Data!AV13="","",'Job Sheet'!CL13)</f>
        <v>#N/A</v>
      </c>
      <c r="C14" s="88" t="str">
        <f>IF(Data!AV13="","",'Job Sheet'!C13)</f>
        <v>Kitchen</v>
      </c>
      <c r="D14" s="88" t="str">
        <f>IF('Job Sheet'!U13="Not Required","",'Job Sheet'!U13)</f>
        <v/>
      </c>
      <c r="E14" s="180" t="str">
        <f>IF(Data!AV13="","",IF('Job Sheet'!M13="Not Required","",VLOOKUP(CONCATENATE('Job Sheet'!J13,'Job Sheet'!M13),LockAccess,2,FALSE)))</f>
        <v>Keys + Striker Plate</v>
      </c>
      <c r="F14" s="88" t="str">
        <f>IF('Job Sheet'!R13="Standard","",'Job Sheet'!R13)</f>
        <v/>
      </c>
      <c r="G14" s="88" t="str">
        <f>IF('Job Sheet'!AQ13="T Mullion with Cutouts and 2 Lock Bolts","Lock Bolts x 2","")</f>
        <v/>
      </c>
      <c r="H14" s="88" t="str">
        <f>IF('Job Sheet'!L13="No - Supply Loose","3","")</f>
        <v/>
      </c>
      <c r="I14" s="88">
        <f>'Straight Cutting'!D13</f>
        <v>899</v>
      </c>
      <c r="J14" s="88">
        <f>'Straight Cutting'!F13</f>
        <v>2018</v>
      </c>
      <c r="K14" s="88">
        <f>'Straight Cutting'!G13</f>
        <v>2018</v>
      </c>
      <c r="L14" s="88" t="str">
        <f>'Straight Cutting'!H13</f>
        <v/>
      </c>
      <c r="M14" s="88" t="str">
        <f>'Straight Cutting'!I13</f>
        <v/>
      </c>
      <c r="N14" s="88" t="str">
        <f>'Straight Cutting'!J13</f>
        <v/>
      </c>
      <c r="O14" s="88" t="str">
        <f>'Straight Cutting'!L13</f>
        <v/>
      </c>
      <c r="P14" s="88" t="str">
        <f>'Straight Cutting'!N13</f>
        <v/>
      </c>
      <c r="Q14" s="88" t="str">
        <f>'Straight Cutting'!U13</f>
        <v/>
      </c>
      <c r="R14" s="88" t="str">
        <f>'Job Sheet'!BF13</f>
        <v/>
      </c>
      <c r="S14" s="131">
        <f t="shared" si="0"/>
        <v>3</v>
      </c>
    </row>
    <row r="15" spans="1:19" s="37" customFormat="1" ht="60" customHeight="1">
      <c r="A15" s="87" t="str">
        <f>IF(Data!AV14="","",Data!AW14)</f>
        <v/>
      </c>
      <c r="B15" s="88" t="str">
        <f>IF(Data!AV14="","",'Job Sheet'!CL14)</f>
        <v/>
      </c>
      <c r="C15" s="88" t="str">
        <f>IF(Data!AV14="","",'Job Sheet'!C14)</f>
        <v/>
      </c>
      <c r="D15" s="88" t="str">
        <f>IF('Job Sheet'!U14="Not Required","",'Job Sheet'!U14)</f>
        <v/>
      </c>
      <c r="E15" s="180" t="str">
        <f>IF(Data!AV14="","",IF('Job Sheet'!M14="Not Required","",VLOOKUP(CONCATENATE('Job Sheet'!J14,'Job Sheet'!M14),LockAccess,2,FALSE)))</f>
        <v/>
      </c>
      <c r="F15" s="88" t="str">
        <f>IF('Job Sheet'!R14="Standard","",'Job Sheet'!R14)</f>
        <v/>
      </c>
      <c r="G15" s="88" t="str">
        <f>IF('Job Sheet'!AQ14="T Mullion with Cutouts and 2 Lock Bolts","Lock Bolts x 2","")</f>
        <v/>
      </c>
      <c r="H15" s="88" t="str">
        <f>IF('Job Sheet'!L14="No - Supply Loose","3","")</f>
        <v/>
      </c>
      <c r="I15" s="88" t="str">
        <f>'Straight Cutting'!D14</f>
        <v/>
      </c>
      <c r="J15" s="88" t="str">
        <f>'Straight Cutting'!F14</f>
        <v/>
      </c>
      <c r="K15" s="88" t="str">
        <f>'Straight Cutting'!G14</f>
        <v/>
      </c>
      <c r="L15" s="88" t="str">
        <f>'Straight Cutting'!H14</f>
        <v/>
      </c>
      <c r="M15" s="88" t="str">
        <f>'Straight Cutting'!I14</f>
        <v/>
      </c>
      <c r="N15" s="88" t="str">
        <f>'Straight Cutting'!J14</f>
        <v/>
      </c>
      <c r="O15" s="88" t="str">
        <f>'Straight Cutting'!L14</f>
        <v/>
      </c>
      <c r="P15" s="88" t="str">
        <f>'Straight Cutting'!N14</f>
        <v/>
      </c>
      <c r="Q15" s="88" t="str">
        <f>'Straight Cutting'!U14</f>
        <v/>
      </c>
      <c r="R15" s="88" t="str">
        <f>'Job Sheet'!BF14</f>
        <v/>
      </c>
      <c r="S15" s="131" t="str">
        <f t="shared" si="0"/>
        <v/>
      </c>
    </row>
    <row r="16" spans="1:19" s="37" customFormat="1" ht="60" customHeight="1">
      <c r="A16" s="87" t="str">
        <f>IF(Data!AV15="","",Data!AW15)</f>
        <v/>
      </c>
      <c r="B16" s="88" t="str">
        <f>IF(Data!AV15="","",'Job Sheet'!CL15)</f>
        <v/>
      </c>
      <c r="C16" s="88" t="str">
        <f>IF(Data!AV15="","",'Job Sheet'!C15)</f>
        <v/>
      </c>
      <c r="D16" s="88" t="str">
        <f>IF('Job Sheet'!U15="Not Required","",'Job Sheet'!U15)</f>
        <v/>
      </c>
      <c r="E16" s="180" t="str">
        <f>IF(Data!AV15="","",IF('Job Sheet'!M15="Not Required","",VLOOKUP(CONCATENATE('Job Sheet'!J15,'Job Sheet'!M15),LockAccess,2,FALSE)))</f>
        <v/>
      </c>
      <c r="F16" s="88" t="str">
        <f>IF('Job Sheet'!R15="Standard","",'Job Sheet'!R15)</f>
        <v/>
      </c>
      <c r="G16" s="88" t="str">
        <f>IF('Job Sheet'!AQ15="T Mullion with Cutouts and 2 Lock Bolts","Lock Bolts x 2","")</f>
        <v/>
      </c>
      <c r="H16" s="88" t="str">
        <f>IF('Job Sheet'!L15="No - Supply Loose","3","")</f>
        <v/>
      </c>
      <c r="I16" s="88" t="str">
        <f>'Straight Cutting'!D15</f>
        <v/>
      </c>
      <c r="J16" s="88" t="str">
        <f>'Straight Cutting'!F15</f>
        <v/>
      </c>
      <c r="K16" s="88" t="str">
        <f>'Straight Cutting'!G15</f>
        <v/>
      </c>
      <c r="L16" s="88" t="str">
        <f>'Straight Cutting'!H15</f>
        <v/>
      </c>
      <c r="M16" s="88" t="str">
        <f>'Straight Cutting'!I15</f>
        <v/>
      </c>
      <c r="N16" s="88" t="str">
        <f>'Straight Cutting'!J15</f>
        <v/>
      </c>
      <c r="O16" s="88" t="str">
        <f>'Straight Cutting'!L15</f>
        <v/>
      </c>
      <c r="P16" s="88" t="str">
        <f>'Straight Cutting'!N15</f>
        <v/>
      </c>
      <c r="Q16" s="88" t="str">
        <f>'Straight Cutting'!U15</f>
        <v/>
      </c>
      <c r="R16" s="88" t="str">
        <f>'Job Sheet'!BF15</f>
        <v/>
      </c>
      <c r="S16" s="131" t="str">
        <f t="shared" si="0"/>
        <v/>
      </c>
    </row>
    <row r="17" spans="1:19" s="37" customFormat="1" ht="60" customHeight="1">
      <c r="A17" s="87" t="str">
        <f>IF(Data!AV16="","",Data!AW16)</f>
        <v/>
      </c>
      <c r="B17" s="88" t="str">
        <f>IF(Data!AV16="","",'Job Sheet'!CL16)</f>
        <v/>
      </c>
      <c r="C17" s="88" t="str">
        <f>IF(Data!AV16="","",'Job Sheet'!C16)</f>
        <v/>
      </c>
      <c r="D17" s="88" t="str">
        <f>IF('Job Sheet'!U16="Not Required","",'Job Sheet'!U16)</f>
        <v/>
      </c>
      <c r="E17" s="180" t="str">
        <f>IF(Data!AV16="","",IF('Job Sheet'!M16="Not Required","",VLOOKUP(CONCATENATE('Job Sheet'!J16,'Job Sheet'!M16),LockAccess,2,FALSE)))</f>
        <v/>
      </c>
      <c r="F17" s="88" t="str">
        <f>IF('Job Sheet'!R16="Standard","",'Job Sheet'!R16)</f>
        <v/>
      </c>
      <c r="G17" s="88" t="str">
        <f>IF('Job Sheet'!AQ16="T Mullion with Cutouts and 2 Lock Bolts","Lock Bolts x 2","")</f>
        <v/>
      </c>
      <c r="H17" s="88" t="str">
        <f>IF('Job Sheet'!L16="No - Supply Loose","3","")</f>
        <v/>
      </c>
      <c r="I17" s="88" t="str">
        <f>'Straight Cutting'!D16</f>
        <v/>
      </c>
      <c r="J17" s="88" t="str">
        <f>'Straight Cutting'!F16</f>
        <v/>
      </c>
      <c r="K17" s="88" t="str">
        <f>'Straight Cutting'!G16</f>
        <v/>
      </c>
      <c r="L17" s="88" t="str">
        <f>'Straight Cutting'!H16</f>
        <v/>
      </c>
      <c r="M17" s="88" t="str">
        <f>'Straight Cutting'!I16</f>
        <v/>
      </c>
      <c r="N17" s="88" t="str">
        <f>'Straight Cutting'!J16</f>
        <v/>
      </c>
      <c r="O17" s="88" t="str">
        <f>'Straight Cutting'!L16</f>
        <v/>
      </c>
      <c r="P17" s="88" t="str">
        <f>'Straight Cutting'!N16</f>
        <v/>
      </c>
      <c r="Q17" s="88" t="str">
        <f>'Straight Cutting'!U16</f>
        <v/>
      </c>
      <c r="R17" s="88" t="str">
        <f>'Job Sheet'!BF16</f>
        <v/>
      </c>
      <c r="S17" s="131" t="str">
        <f t="shared" si="0"/>
        <v/>
      </c>
    </row>
    <row r="18" spans="1:19" s="37" customFormat="1" ht="60" customHeight="1">
      <c r="A18" s="87" t="str">
        <f>IF(Data!AV17="","",Data!AW17)</f>
        <v/>
      </c>
      <c r="B18" s="88" t="str">
        <f>IF(Data!AV17="","",'Job Sheet'!CL17)</f>
        <v/>
      </c>
      <c r="C18" s="88" t="str">
        <f>IF(Data!AV17="","",'Job Sheet'!C17)</f>
        <v/>
      </c>
      <c r="D18" s="88" t="str">
        <f>IF('Job Sheet'!U17="Not Required","",'Job Sheet'!U17)</f>
        <v/>
      </c>
      <c r="E18" s="180" t="str">
        <f>IF(Data!AV17="","",IF('Job Sheet'!M17="Not Required","",VLOOKUP(CONCATENATE('Job Sheet'!J17,'Job Sheet'!M17),LockAccess,2,FALSE)))</f>
        <v/>
      </c>
      <c r="F18" s="88" t="str">
        <f>IF('Job Sheet'!R17="Standard","",'Job Sheet'!R17)</f>
        <v/>
      </c>
      <c r="G18" s="88" t="str">
        <f>IF('Job Sheet'!AQ17="T Mullion with Cutouts and 2 Lock Bolts","Lock Bolts x 2","")</f>
        <v/>
      </c>
      <c r="H18" s="88" t="str">
        <f>IF('Job Sheet'!L17="No - Supply Loose","3","")</f>
        <v/>
      </c>
      <c r="I18" s="88" t="str">
        <f>'Straight Cutting'!D17</f>
        <v/>
      </c>
      <c r="J18" s="88" t="str">
        <f>'Straight Cutting'!F17</f>
        <v/>
      </c>
      <c r="K18" s="88" t="str">
        <f>'Straight Cutting'!G17</f>
        <v/>
      </c>
      <c r="L18" s="88" t="str">
        <f>'Straight Cutting'!H17</f>
        <v/>
      </c>
      <c r="M18" s="88" t="str">
        <f>'Straight Cutting'!I17</f>
        <v/>
      </c>
      <c r="N18" s="88" t="str">
        <f>'Straight Cutting'!J17</f>
        <v/>
      </c>
      <c r="O18" s="88" t="str">
        <f>'Straight Cutting'!L17</f>
        <v/>
      </c>
      <c r="P18" s="88" t="str">
        <f>'Straight Cutting'!N17</f>
        <v/>
      </c>
      <c r="Q18" s="88" t="str">
        <f>'Straight Cutting'!U17</f>
        <v/>
      </c>
      <c r="R18" s="88" t="str">
        <f>'Job Sheet'!BF17</f>
        <v/>
      </c>
      <c r="S18" s="131" t="str">
        <f t="shared" si="0"/>
        <v/>
      </c>
    </row>
    <row r="19" spans="1:19" s="37" customFormat="1" ht="60" customHeight="1">
      <c r="A19" s="87" t="str">
        <f>IF(Data!AV18="","",Data!AW18)</f>
        <v/>
      </c>
      <c r="B19" s="88" t="str">
        <f>IF(Data!AV18="","",'Job Sheet'!CL18)</f>
        <v/>
      </c>
      <c r="C19" s="88" t="str">
        <f>IF(Data!AV18="","",'Job Sheet'!C18)</f>
        <v/>
      </c>
      <c r="D19" s="88" t="str">
        <f>IF('Job Sheet'!U18="Not Required","",'Job Sheet'!U18)</f>
        <v/>
      </c>
      <c r="E19" s="180" t="str">
        <f>IF(Data!AV18="","",IF('Job Sheet'!M18="Not Required","",VLOOKUP(CONCATENATE('Job Sheet'!J18,'Job Sheet'!M18),LockAccess,2,FALSE)))</f>
        <v/>
      </c>
      <c r="F19" s="88" t="str">
        <f>IF('Job Sheet'!R18="Standard","",'Job Sheet'!R18)</f>
        <v/>
      </c>
      <c r="G19" s="88" t="str">
        <f>IF('Job Sheet'!AQ18="T Mullion with Cutouts and 2 Lock Bolts","Lock Bolts x 2","")</f>
        <v/>
      </c>
      <c r="H19" s="88" t="str">
        <f>IF('Job Sheet'!L18="No - Supply Loose","3","")</f>
        <v/>
      </c>
      <c r="I19" s="88" t="str">
        <f>'Straight Cutting'!D18</f>
        <v/>
      </c>
      <c r="J19" s="88" t="str">
        <f>'Straight Cutting'!F18</f>
        <v/>
      </c>
      <c r="K19" s="88" t="str">
        <f>'Straight Cutting'!G18</f>
        <v/>
      </c>
      <c r="L19" s="88" t="str">
        <f>'Straight Cutting'!H18</f>
        <v/>
      </c>
      <c r="M19" s="88" t="str">
        <f>'Straight Cutting'!I18</f>
        <v/>
      </c>
      <c r="N19" s="88" t="str">
        <f>'Straight Cutting'!J18</f>
        <v/>
      </c>
      <c r="O19" s="88" t="str">
        <f>'Straight Cutting'!L18</f>
        <v/>
      </c>
      <c r="P19" s="88" t="str">
        <f>'Straight Cutting'!N18</f>
        <v/>
      </c>
      <c r="Q19" s="88" t="str">
        <f>'Straight Cutting'!U18</f>
        <v/>
      </c>
      <c r="R19" s="88" t="str">
        <f>'Job Sheet'!BF18</f>
        <v/>
      </c>
      <c r="S19" s="131" t="str">
        <f t="shared" si="0"/>
        <v/>
      </c>
    </row>
    <row r="20" spans="1:19" ht="60" customHeight="1">
      <c r="A20" s="87" t="str">
        <f>IF(Data!AV19="","",Data!AW19)</f>
        <v/>
      </c>
      <c r="B20" s="88" t="str">
        <f>IF(Data!AV19="","",'Job Sheet'!CL19)</f>
        <v/>
      </c>
      <c r="C20" s="88" t="str">
        <f>IF(Data!AV19="","",'Job Sheet'!C19)</f>
        <v/>
      </c>
      <c r="D20" s="88" t="str">
        <f>IF('Job Sheet'!U19="Not Required","",'Job Sheet'!U19)</f>
        <v/>
      </c>
      <c r="E20" s="180" t="str">
        <f>IF(Data!AV19="","",IF('Job Sheet'!M19="Not Required","",VLOOKUP(CONCATENATE('Job Sheet'!J19,'Job Sheet'!M19),LockAccess,2,FALSE)))</f>
        <v/>
      </c>
      <c r="F20" s="88" t="str">
        <f>IF('Job Sheet'!R19="Standard","",'Job Sheet'!R19)</f>
        <v/>
      </c>
      <c r="G20" s="88" t="str">
        <f>IF('Job Sheet'!AQ19="T Mullion with Cutouts and 2 Lock Bolts","Lock Bolts x 2","")</f>
        <v/>
      </c>
      <c r="H20" s="88" t="str">
        <f>IF('Job Sheet'!L19="No - Supply Loose","3","")</f>
        <v/>
      </c>
      <c r="I20" s="88" t="str">
        <f>'Straight Cutting'!D19</f>
        <v/>
      </c>
      <c r="J20" s="88" t="str">
        <f>'Straight Cutting'!F19</f>
        <v/>
      </c>
      <c r="K20" s="88" t="str">
        <f>'Straight Cutting'!G19</f>
        <v/>
      </c>
      <c r="L20" s="88" t="str">
        <f>'Straight Cutting'!H19</f>
        <v/>
      </c>
      <c r="M20" s="88" t="str">
        <f>'Straight Cutting'!I19</f>
        <v/>
      </c>
      <c r="N20" s="88" t="str">
        <f>'Straight Cutting'!J19</f>
        <v/>
      </c>
      <c r="O20" s="88" t="str">
        <f>'Straight Cutting'!L19</f>
        <v/>
      </c>
      <c r="P20" s="88" t="str">
        <f>'Straight Cutting'!N19</f>
        <v/>
      </c>
      <c r="Q20" s="88" t="str">
        <f>'Straight Cutting'!U19</f>
        <v/>
      </c>
      <c r="R20" s="88" t="str">
        <f>'Job Sheet'!BF19</f>
        <v/>
      </c>
      <c r="S20" s="131" t="str">
        <f t="shared" si="0"/>
        <v/>
      </c>
    </row>
    <row r="21" spans="1:19" ht="60" customHeight="1">
      <c r="A21" s="87" t="str">
        <f>IF(Data!AV20="","",Data!AW20)</f>
        <v/>
      </c>
      <c r="B21" s="88" t="str">
        <f>IF(Data!AV20="","",'Job Sheet'!CL20)</f>
        <v/>
      </c>
      <c r="C21" s="88" t="str">
        <f>IF(Data!AV20="","",'Job Sheet'!C20)</f>
        <v/>
      </c>
      <c r="D21" s="88" t="str">
        <f>IF('Job Sheet'!U20="Not Required","",'Job Sheet'!U20)</f>
        <v/>
      </c>
      <c r="E21" s="180" t="str">
        <f>IF(Data!AV20="","",IF('Job Sheet'!M20="Not Required","",VLOOKUP(CONCATENATE('Job Sheet'!J20,'Job Sheet'!M20),LockAccess,2,FALSE)))</f>
        <v/>
      </c>
      <c r="F21" s="88" t="str">
        <f>IF('Job Sheet'!R20="Standard","",'Job Sheet'!R20)</f>
        <v/>
      </c>
      <c r="G21" s="88" t="str">
        <f>IF('Job Sheet'!AQ20="T Mullion with Cutouts and 2 Lock Bolts","Lock Bolts x 2","")</f>
        <v/>
      </c>
      <c r="H21" s="88" t="str">
        <f>IF('Job Sheet'!L20="No - Supply Loose","3","")</f>
        <v/>
      </c>
      <c r="I21" s="88" t="str">
        <f>'Straight Cutting'!D20</f>
        <v/>
      </c>
      <c r="J21" s="88" t="str">
        <f>'Straight Cutting'!F20</f>
        <v/>
      </c>
      <c r="K21" s="88" t="str">
        <f>'Straight Cutting'!G20</f>
        <v/>
      </c>
      <c r="L21" s="88" t="str">
        <f>'Straight Cutting'!H20</f>
        <v/>
      </c>
      <c r="M21" s="88" t="str">
        <f>'Straight Cutting'!I20</f>
        <v/>
      </c>
      <c r="N21" s="88" t="str">
        <f>'Straight Cutting'!J20</f>
        <v/>
      </c>
      <c r="O21" s="88" t="str">
        <f>'Straight Cutting'!L20</f>
        <v/>
      </c>
      <c r="P21" s="88" t="str">
        <f>'Straight Cutting'!N20</f>
        <v/>
      </c>
      <c r="Q21" s="88" t="str">
        <f>'Straight Cutting'!U20</f>
        <v/>
      </c>
      <c r="R21" s="88" t="str">
        <f>'Job Sheet'!BF20</f>
        <v/>
      </c>
      <c r="S21" s="131" t="str">
        <f t="shared" si="0"/>
        <v/>
      </c>
    </row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</sheetData>
  <mergeCells count="41">
    <mergeCell ref="F8:F10"/>
    <mergeCell ref="Q8:Q10"/>
    <mergeCell ref="L8:L10"/>
    <mergeCell ref="M8:M10"/>
    <mergeCell ref="O8:O10"/>
    <mergeCell ref="P8:P10"/>
    <mergeCell ref="J8:J10"/>
    <mergeCell ref="K8:K10"/>
    <mergeCell ref="G8:G10"/>
    <mergeCell ref="H8:H10"/>
    <mergeCell ref="N8:N10"/>
    <mergeCell ref="A1:S1"/>
    <mergeCell ref="N3:S7"/>
    <mergeCell ref="N2:S2"/>
    <mergeCell ref="G7:M7"/>
    <mergeCell ref="G6:M6"/>
    <mergeCell ref="G5:M5"/>
    <mergeCell ref="G4:M4"/>
    <mergeCell ref="A6:D7"/>
    <mergeCell ref="G3:M3"/>
    <mergeCell ref="G2:M2"/>
    <mergeCell ref="E5:F7"/>
    <mergeCell ref="E4:F4"/>
    <mergeCell ref="E3:F3"/>
    <mergeCell ref="E2:F2"/>
    <mergeCell ref="S8:S10"/>
    <mergeCell ref="A2:B2"/>
    <mergeCell ref="C2:D2"/>
    <mergeCell ref="A3:B3"/>
    <mergeCell ref="C3:D3"/>
    <mergeCell ref="A4:B4"/>
    <mergeCell ref="C4:D4"/>
    <mergeCell ref="D8:D10"/>
    <mergeCell ref="A5:B5"/>
    <mergeCell ref="C5:D5"/>
    <mergeCell ref="E8:E10"/>
    <mergeCell ref="B8:B10"/>
    <mergeCell ref="R8:R10"/>
    <mergeCell ref="A8:A10"/>
    <mergeCell ref="C8:C10"/>
    <mergeCell ref="I8:I10"/>
  </mergeCells>
  <pageMargins left="0.645669291338609" right="0.645669291338609" top="0.236220472440945" bottom="0.236220472440945" header="0.236220472440945" footer="0.236220472440945"/>
  <pageSetup fitToHeight="0" orientation="landscape" paperSize="9" scale="1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71F6F-2E85-4209-A0A5-8E376816DDB1}">
  <sheetPr codeName="Sheet8">
    <pageSetUpPr fitToPage="1"/>
  </sheetPr>
  <dimension ref="A1:AT63"/>
  <sheetViews>
    <sheetView view="pageBreakPreview" zoomScale="50" zoomScaleNormal="40" zoomScaleSheetLayoutView="50" workbookViewId="0" topLeftCell="A1">
      <selection pane="topLeft" activeCell="N8" sqref="N8"/>
    </sheetView>
  </sheetViews>
  <sheetFormatPr defaultColWidth="9.109375" defaultRowHeight="13.5"/>
  <cols>
    <col min="1" max="1" width="9.28571428571429" style="52" customWidth="1"/>
    <col min="2" max="2" width="19" style="52" customWidth="1"/>
    <col min="3" max="3" width="35" style="52" customWidth="1"/>
    <col min="4" max="4" width="24" style="52" customWidth="1"/>
    <col min="5" max="5" width="21.2857142857143" style="52" customWidth="1"/>
    <col min="6" max="6" width="16" style="52" customWidth="1"/>
    <col min="7" max="7" width="15.5714285714286" style="52" customWidth="1"/>
    <col min="8" max="8" width="16" style="52" customWidth="1"/>
    <col min="9" max="9" width="17" style="52" customWidth="1"/>
    <col min="10" max="10" width="19.8571428571429" style="53" customWidth="1"/>
    <col min="11" max="11" width="17.7142857142857" style="53" customWidth="1"/>
    <col min="12" max="12" width="17.7142857142857" style="52" customWidth="1"/>
    <col min="13" max="13" width="24.2857142857143" style="52" customWidth="1"/>
    <col min="14" max="14" width="17.4285714285714" style="52" customWidth="1"/>
    <col min="15" max="15" width="18.7142857142857" style="52" customWidth="1"/>
    <col min="16" max="16" width="19" style="52" customWidth="1"/>
    <col min="17" max="17" width="19.8571428571429" style="52" customWidth="1"/>
    <col min="18" max="18" width="16" style="52" customWidth="1"/>
    <col min="19" max="19" width="21" style="52" customWidth="1"/>
    <col min="20" max="20" width="21.1428571428571" style="52" customWidth="1"/>
    <col min="21" max="21" width="23.1428571428571" customWidth="1"/>
    <col min="22" max="22" width="22.1428571428571" customWidth="1"/>
    <col min="23" max="23" width="20" customWidth="1"/>
    <col min="24" max="24" width="17.8571428571429" customWidth="1"/>
    <col min="25" max="25" width="23.2857142857143" customWidth="1"/>
    <col min="26" max="26" width="13.2857142857143" customWidth="1"/>
    <col min="27" max="27" width="17.8571428571429" bestFit="1" customWidth="1"/>
    <col min="28" max="28" width="15.2857142857143" customWidth="1"/>
    <col min="29" max="29" width="18.7142857142857" customWidth="1"/>
    <col min="30" max="30" width="16.5714285714286" customWidth="1"/>
    <col min="31" max="31" width="20.8571428571429" customWidth="1"/>
    <col min="32" max="32" width="22.8571428571429" customWidth="1"/>
    <col min="33" max="33" width="21.1428571428571" customWidth="1"/>
    <col min="34" max="34" width="22.5714285714286" customWidth="1"/>
    <col min="35" max="35" width="16.7142857142857" customWidth="1"/>
    <col min="36" max="36" width="19.8571428571429" customWidth="1"/>
    <col min="37" max="37" width="16.8571428571429" customWidth="1"/>
    <col min="38" max="38" width="18.8571428571429" customWidth="1"/>
    <col min="39" max="39" width="22.5714285714286" customWidth="1"/>
    <col min="40" max="40" width="21" customWidth="1"/>
    <col min="41" max="41" width="23.8571428571429" customWidth="1"/>
    <col min="42" max="42" width="25.7142857142857" customWidth="1"/>
    <col min="43" max="43" width="25.2857142857143" customWidth="1"/>
    <col min="44" max="44" width="25.1428571428571" customWidth="1"/>
    <col min="45" max="45" width="24.5714285714286" customWidth="1"/>
    <col min="46" max="46" width="34.1428571428571" customWidth="1"/>
  </cols>
  <sheetData>
    <row r="1" spans="1:46" s="30" customFormat="1" ht="219" customHeight="1">
      <c r="A1" s="300" t="s">
        <v>402</v>
      </c>
      <c r="B1" s="300"/>
      <c r="C1" s="300"/>
      <c r="D1" s="300"/>
      <c r="E1" s="300"/>
      <c r="F1" s="300"/>
      <c r="G1" s="300"/>
      <c r="H1" s="300"/>
      <c r="I1" s="300"/>
      <c r="J1" s="300"/>
      <c r="K1" s="300"/>
      <c r="L1" s="300"/>
      <c r="M1" s="300"/>
      <c r="N1" s="300"/>
      <c r="O1" s="300"/>
      <c r="P1" s="300"/>
      <c r="Q1" s="300"/>
      <c r="R1" s="300"/>
      <c r="S1" s="300"/>
      <c r="T1" s="300"/>
      <c r="U1" s="300"/>
      <c r="V1" s="300"/>
      <c r="W1" s="300"/>
      <c r="X1" s="300"/>
      <c r="Y1" s="300"/>
      <c r="Z1" s="300"/>
      <c r="AA1" s="300"/>
      <c r="AB1" s="300"/>
      <c r="AC1" s="300"/>
      <c r="AD1" s="300"/>
      <c r="AE1" s="300"/>
      <c r="AF1" s="300"/>
      <c r="AG1" s="300"/>
      <c r="AH1" s="300"/>
      <c r="AI1" s="300"/>
      <c r="AJ1" s="300"/>
      <c r="AK1" s="300"/>
      <c r="AL1" s="300"/>
      <c r="AM1" s="300"/>
      <c r="AN1" s="300"/>
      <c r="AO1" s="300"/>
      <c r="AP1" s="300"/>
      <c r="AQ1" s="300"/>
      <c r="AR1" s="300"/>
      <c r="AS1" s="300"/>
      <c r="AT1" s="300"/>
    </row>
    <row r="2" spans="1:46" s="41" customFormat="1" ht="60" customHeight="1">
      <c r="A2" s="183" t="s">
        <v>7</v>
      </c>
      <c r="B2" s="183"/>
      <c r="C2" s="183"/>
      <c r="D2" s="184"/>
      <c r="E2" s="184"/>
      <c r="F2" s="184"/>
      <c r="G2" s="184" t="s">
        <v>118</v>
      </c>
      <c r="H2" s="184"/>
      <c r="I2" s="184"/>
      <c r="J2" s="184"/>
      <c r="K2" s="3" t="str">
        <f>TRIM(Data!BF5)</f>
        <v>Leurs, Nigel</v>
      </c>
      <c r="L2" s="3"/>
      <c r="M2" s="3"/>
      <c r="N2" s="3"/>
      <c r="O2" s="3"/>
      <c r="P2" s="3"/>
      <c r="Q2" s="4" t="s">
        <v>4</v>
      </c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</row>
    <row r="3" spans="1:46" s="41" customFormat="1" ht="60" customHeight="1">
      <c r="A3" s="2" t="s">
        <v>143</v>
      </c>
      <c r="B3" s="2"/>
      <c r="C3" s="2"/>
      <c r="D3" s="182" t="str">
        <f>TRIM(Data!BC5)</f>
        <v>12201</v>
      </c>
      <c r="E3" s="182"/>
      <c r="F3" s="182"/>
      <c r="G3" s="187" t="s">
        <v>8</v>
      </c>
      <c r="H3" s="187"/>
      <c r="I3" s="187"/>
      <c r="J3" s="187"/>
      <c r="K3" s="3" t="str">
        <f>TRIM(Data!AX5)</f>
        <v>Barrier Doors</v>
      </c>
      <c r="L3" s="3"/>
      <c r="M3" s="3"/>
      <c r="N3" s="3"/>
      <c r="O3" s="3"/>
      <c r="P3" s="3"/>
      <c r="Q3" s="3" t="str">
        <f>TRIM(Data!BG5)</f>
        <v/>
      </c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</row>
    <row r="4" spans="1:46" s="42" customFormat="1" ht="60" customHeight="1">
      <c r="A4" s="183" t="s">
        <v>15</v>
      </c>
      <c r="B4" s="183"/>
      <c r="C4" s="183"/>
      <c r="D4" s="182" t="str">
        <f>TRIM(Data!BD5)</f>
        <v>A</v>
      </c>
      <c r="E4" s="182"/>
      <c r="F4" s="182"/>
      <c r="G4" s="187" t="s">
        <v>137</v>
      </c>
      <c r="H4" s="187"/>
      <c r="I4" s="187"/>
      <c r="J4" s="187"/>
      <c r="K4" s="3" t="str">
        <f>LEFT(Data!BA5,10)</f>
        <v>22/09/2026</v>
      </c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s="49" customFormat="1" ht="50.1" customHeight="1">
      <c r="A5" s="9" t="s">
        <v>142</v>
      </c>
      <c r="B5" s="13" t="s">
        <v>119</v>
      </c>
      <c r="C5" s="13" t="s">
        <v>398</v>
      </c>
      <c r="D5" s="13" t="s">
        <v>380</v>
      </c>
      <c r="E5" s="12" t="s">
        <v>120</v>
      </c>
      <c r="F5" s="13" t="s">
        <v>154</v>
      </c>
      <c r="G5" s="13" t="s">
        <v>155</v>
      </c>
      <c r="H5" s="13" t="s">
        <v>11</v>
      </c>
      <c r="I5" s="13" t="s">
        <v>11</v>
      </c>
      <c r="J5" s="13" t="s">
        <v>168</v>
      </c>
      <c r="K5" s="13" t="s">
        <v>215</v>
      </c>
      <c r="L5" s="13" t="s">
        <v>167</v>
      </c>
      <c r="M5" s="13" t="s">
        <v>181</v>
      </c>
      <c r="N5" s="13" t="s">
        <v>159</v>
      </c>
      <c r="O5" s="13" t="s">
        <v>373</v>
      </c>
      <c r="P5" s="13" t="s">
        <v>157</v>
      </c>
      <c r="Q5" s="13" t="s">
        <v>158</v>
      </c>
      <c r="R5" s="13" t="s">
        <v>177</v>
      </c>
      <c r="S5" s="13" t="s">
        <v>210</v>
      </c>
      <c r="T5" s="13" t="s">
        <v>211</v>
      </c>
      <c r="U5" s="13" t="s">
        <v>406</v>
      </c>
      <c r="V5" s="13" t="s">
        <v>407</v>
      </c>
      <c r="W5" s="13" t="s">
        <v>396</v>
      </c>
      <c r="X5" s="13" t="s">
        <v>381</v>
      </c>
      <c r="Y5" s="13" t="s">
        <v>186</v>
      </c>
      <c r="Z5" s="13" t="s">
        <v>160</v>
      </c>
      <c r="AA5" s="13" t="s">
        <v>176</v>
      </c>
      <c r="AB5" s="13" t="s">
        <v>183</v>
      </c>
      <c r="AC5" s="13" t="s">
        <v>184</v>
      </c>
      <c r="AD5" s="13" t="s">
        <v>222</v>
      </c>
      <c r="AE5" s="13" t="s">
        <v>400</v>
      </c>
      <c r="AF5" s="13" t="s">
        <v>348</v>
      </c>
      <c r="AG5" s="13" t="s">
        <v>346</v>
      </c>
      <c r="AH5" s="13" t="s">
        <v>393</v>
      </c>
      <c r="AI5" s="13" t="s">
        <v>217</v>
      </c>
      <c r="AJ5" s="13" t="s">
        <v>212</v>
      </c>
      <c r="AK5" s="13" t="s">
        <v>384</v>
      </c>
      <c r="AL5" s="13" t="s">
        <v>399</v>
      </c>
      <c r="AM5" s="12" t="s">
        <v>161</v>
      </c>
      <c r="AN5" s="12" t="s">
        <v>162</v>
      </c>
      <c r="AO5" s="12" t="s">
        <v>163</v>
      </c>
      <c r="AP5" s="13" t="s">
        <v>164</v>
      </c>
      <c r="AQ5" s="13" t="s">
        <v>151</v>
      </c>
      <c r="AR5" s="13" t="s">
        <v>418</v>
      </c>
      <c r="AS5" s="13" t="s">
        <v>397</v>
      </c>
      <c r="AT5" s="13" t="s">
        <v>5</v>
      </c>
    </row>
    <row r="6" spans="1:46" s="49" customFormat="1" ht="14.25" customHeight="1" hidden="1">
      <c r="A6" s="9"/>
      <c r="B6" s="13"/>
      <c r="C6" s="13"/>
      <c r="D6" s="13"/>
      <c r="E6" s="12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2"/>
      <c r="AN6" s="12"/>
      <c r="AO6" s="12"/>
      <c r="AP6" s="13"/>
      <c r="AQ6" s="13"/>
      <c r="AR6" s="13"/>
      <c r="AS6" s="13"/>
      <c r="AT6" s="13"/>
    </row>
    <row r="7" spans="1:46" s="50" customFormat="1" ht="50.1" customHeight="1">
      <c r="A7" s="9"/>
      <c r="B7" s="13"/>
      <c r="C7" s="13"/>
      <c r="D7" s="13"/>
      <c r="E7" s="12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2"/>
      <c r="AN7" s="12"/>
      <c r="AO7" s="12"/>
      <c r="AP7" s="13"/>
      <c r="AQ7" s="13"/>
      <c r="AR7" s="13"/>
      <c r="AS7" s="13"/>
      <c r="AT7" s="13"/>
    </row>
    <row r="8" spans="1:46" s="75" customFormat="1" ht="60" customHeight="1">
      <c r="A8" s="69">
        <f>IF(Data!AW11="","",Data!AW11)</f>
        <v>1</v>
      </c>
      <c r="B8" s="54" t="str">
        <f>IF(Data!AV11="","",Data!BN11)</f>
        <v>Barrier Door</v>
      </c>
      <c r="C8" s="54" t="str">
        <f>IF(Data!AV11="","",Data!BO11)</f>
        <v>Alu-Gard Perforated Aluminium</v>
      </c>
      <c r="D8" s="54" t="str">
        <f>IF(Data!AV11="","",IF(Data!BP11="Custom Powdercoat",'Job Sheet'!AA11,Data!BP11))</f>
        <v>Paperbark</v>
      </c>
      <c r="E8" s="74" t="str">
        <f>IF(Data!AV11="","",'Job Sheet'!C11)</f>
        <v>Rumpus</v>
      </c>
      <c r="F8" s="40">
        <f>IF(Data!AV11="","",'Job Sheet'!D11)</f>
        <v>940</v>
      </c>
      <c r="G8" s="40">
        <f>IF(Data!AW11="","",'Job Sheet'!E11)</f>
        <v>2046</v>
      </c>
      <c r="H8" s="55" t="str">
        <f>'Job Sheet'!F11</f>
        <v>Opening</v>
      </c>
      <c r="I8" s="55" t="str">
        <f>'Job Sheet'!G11</f>
        <v>Inside</v>
      </c>
      <c r="J8" s="55" t="str">
        <f t="array" ref="J8">bpLOOKUP(Data!$AV11,"FIXING",CustOrdOpt,6,FALSE)</f>
        <v>Aluminium</v>
      </c>
      <c r="K8" s="54" t="str">
        <f>'Job Sheet'!I11</f>
        <v>Single</v>
      </c>
      <c r="L8" s="54" t="str">
        <f>'Job Sheet'!J11</f>
        <v>Sliding</v>
      </c>
      <c r="M8" s="54" t="str">
        <f>'Job Sheet'!L11</f>
        <v/>
      </c>
      <c r="N8" s="54" t="str">
        <f>'Job Sheet'!M11</f>
        <v>Single Lock</v>
      </c>
      <c r="O8" s="55" t="e">
        <f>#REF!</f>
        <v>#REF!</v>
      </c>
      <c r="P8" s="54" t="str">
        <f>'Job Sheet'!O11</f>
        <v>1120</v>
      </c>
      <c r="Q8" s="54" t="str">
        <f>'Job Sheet'!N11</f>
        <v>BOL - Bottom of Lock</v>
      </c>
      <c r="R8" s="54" t="str">
        <f>'Job Sheet'!P11</f>
        <v>Left</v>
      </c>
      <c r="S8" s="55" t="str">
        <f>'Job Sheet'!Q11</f>
        <v>Paperbark</v>
      </c>
      <c r="T8" s="54" t="str">
        <f>'Job Sheet'!U11</f>
        <v>Not Required</v>
      </c>
      <c r="U8" s="55" t="str">
        <f>'Job Sheet'!Z11</f>
        <v/>
      </c>
      <c r="V8" s="55" t="str">
        <f>'Job Sheet'!AA11</f>
        <v/>
      </c>
      <c r="W8" s="55" t="str">
        <f>'Job Sheet'!AB11</f>
        <v/>
      </c>
      <c r="X8" s="54" t="str">
        <f>'Job Sheet'!AF11</f>
        <v/>
      </c>
      <c r="Y8" s="54" t="str">
        <f>'Job Sheet'!AF11</f>
        <v/>
      </c>
      <c r="Z8" s="54" t="str">
        <f>'Job Sheet'!AH11</f>
        <v>Standard</v>
      </c>
      <c r="AA8" s="54"/>
      <c r="AB8" s="54" t="str">
        <f>'Job Sheet'!AI11</f>
        <v>No</v>
      </c>
      <c r="AC8" s="54" t="str">
        <f>'Job Sheet'!AJ11</f>
        <v/>
      </c>
      <c r="AD8" s="54" t="str">
        <f>'Job Sheet'!AL11</f>
        <v>F &amp; Z Frames</v>
      </c>
      <c r="AE8" s="54" t="str">
        <f>'Job Sheet'!AM11</f>
        <v/>
      </c>
      <c r="AF8" s="54" t="str">
        <f>'Job Sheet'!AO11</f>
        <v/>
      </c>
      <c r="AG8" s="54" t="str">
        <f>'Job Sheet'!AP11</f>
        <v/>
      </c>
      <c r="AH8" s="54" t="str">
        <f>'Job Sheet'!AR11</f>
        <v>U Receiving Channel</v>
      </c>
      <c r="AI8" s="55" t="str">
        <f>'Job Sheet'!AS11</f>
        <v>Existing Track</v>
      </c>
      <c r="AJ8" s="68" t="str">
        <f>'Job Sheet'!AT11</f>
        <v/>
      </c>
      <c r="AK8" s="54" t="str">
        <f>'Job Sheet'!AU11</f>
        <v>No</v>
      </c>
      <c r="AL8" s="54" t="str">
        <f>IF(Data!AW11="","","Long Leg")</f>
        <v>Long Leg</v>
      </c>
      <c r="AM8" s="54" t="str">
        <f>'Job Sheet'!AV11</f>
        <v>No</v>
      </c>
      <c r="AN8" s="54" t="str">
        <f>'Job Sheet'!AW11</f>
        <v/>
      </c>
      <c r="AO8" s="54" t="str">
        <f>'Job Sheet'!AX11</f>
        <v/>
      </c>
      <c r="AP8" s="54" t="str">
        <f>'Job Sheet'!AY11</f>
        <v/>
      </c>
      <c r="AQ8" s="54" t="str">
        <f>'Job Sheet'!AZ11</f>
        <v>No</v>
      </c>
      <c r="AR8" s="54" t="str">
        <f>'Job Sheet'!BA11</f>
        <v>No</v>
      </c>
      <c r="AS8" s="54" t="str">
        <f>IF(D8="","","Deliver")</f>
        <v>Deliver</v>
      </c>
      <c r="AT8" s="54" t="str">
        <f>'Job Sheet'!BF11</f>
        <v/>
      </c>
    </row>
    <row r="9" spans="1:46" s="75" customFormat="1" ht="76.5">
      <c r="A9" s="69">
        <f>IF(Data!AW12="","",Data!AW12)</f>
        <v>2</v>
      </c>
      <c r="B9" s="54" t="str">
        <f>IF(Data!AV12="","",Data!BN12)</f>
        <v>Barrier Door</v>
      </c>
      <c r="C9" s="54" t="str">
        <f>IF(Data!AV12="","",Data!BO12)</f>
        <v>Alu-Gard Perforated Aluminium</v>
      </c>
      <c r="D9" s="54" t="str">
        <f>IF(Data!AV12="","",IF(Data!BP12="Custom Powdercoat",'Job Sheet'!AA12,Data!BP12))</f>
        <v>Paperbark</v>
      </c>
      <c r="E9" s="74" t="str">
        <f>IF(Data!AV12="","",'Job Sheet'!C12)</f>
        <v>Laundry</v>
      </c>
      <c r="F9" s="40">
        <f>IF(Data!AV12="","",'Job Sheet'!D12)</f>
        <v>821</v>
      </c>
      <c r="G9" s="40">
        <f>IF(Data!AW12="","",'Job Sheet'!E12)</f>
        <v>2054</v>
      </c>
      <c r="H9" s="55" t="str">
        <f>'Job Sheet'!F12</f>
        <v>Opening</v>
      </c>
      <c r="I9" s="55" t="str">
        <f>'Job Sheet'!G12</f>
        <v>Inside</v>
      </c>
      <c r="J9" s="55" t="str">
        <f t="array" ref="J9">bpLOOKUP(Data!$AV12,"FIXING",CustOrdOpt,6,FALSE)</f>
        <v>Timber</v>
      </c>
      <c r="K9" s="54" t="str">
        <f>'Job Sheet'!I12</f>
        <v>Single</v>
      </c>
      <c r="L9" s="54" t="str">
        <f>'Job Sheet'!J12</f>
        <v>Hinged</v>
      </c>
      <c r="M9" s="54" t="str">
        <f>'Job Sheet'!L12</f>
        <v>Yes</v>
      </c>
      <c r="N9" s="54" t="str">
        <f>'Job Sheet'!M12</f>
        <v>Single Lock</v>
      </c>
      <c r="O9" s="55" t="e">
        <f>#REF!</f>
        <v>#REF!</v>
      </c>
      <c r="P9" s="54" t="str">
        <f>'Job Sheet'!O12</f>
        <v>1100</v>
      </c>
      <c r="Q9" s="54" t="str">
        <f>'Job Sheet'!N12</f>
        <v>MOT - Middle of Tongue</v>
      </c>
      <c r="R9" s="54" t="str">
        <f>'Job Sheet'!P12</f>
        <v>Right</v>
      </c>
      <c r="S9" s="55" t="str">
        <f>'Job Sheet'!Q12</f>
        <v>Paperbark</v>
      </c>
      <c r="T9" s="54" t="str">
        <f>'Job Sheet'!U12</f>
        <v>Paperbark</v>
      </c>
      <c r="U9" s="55" t="str">
        <f>'Job Sheet'!Z12</f>
        <v/>
      </c>
      <c r="V9" s="55" t="str">
        <f>'Job Sheet'!AA12</f>
        <v/>
      </c>
      <c r="W9" s="55" t="str">
        <f>'Job Sheet'!AB12</f>
        <v/>
      </c>
      <c r="X9" s="54" t="str">
        <f>'Job Sheet'!AF12</f>
        <v/>
      </c>
      <c r="Y9" s="54" t="str">
        <f>'Job Sheet'!AF12</f>
        <v/>
      </c>
      <c r="Z9" s="54" t="str">
        <f>'Job Sheet'!AH12</f>
        <v>Standard</v>
      </c>
      <c r="AA9" s="54"/>
      <c r="AB9" s="54" t="str">
        <f>'Job Sheet'!AI12</f>
        <v>No</v>
      </c>
      <c r="AC9" s="54" t="str">
        <f>'Job Sheet'!AJ12</f>
        <v/>
      </c>
      <c r="AD9" s="54" t="str">
        <f>'Job Sheet'!AL12</f>
        <v/>
      </c>
      <c r="AE9" s="54" t="str">
        <f>'Job Sheet'!AM12</f>
        <v/>
      </c>
      <c r="AF9" s="54" t="str">
        <f>'Job Sheet'!AO12</f>
        <v/>
      </c>
      <c r="AG9" s="54" t="str">
        <f>'Job Sheet'!AP12</f>
        <v/>
      </c>
      <c r="AH9" s="54" t="str">
        <f>'Job Sheet'!AR12</f>
        <v>No</v>
      </c>
      <c r="AI9" s="55" t="str">
        <f>'Job Sheet'!AS12</f>
        <v>No</v>
      </c>
      <c r="AJ9" s="68" t="str">
        <f>'Job Sheet'!AT12</f>
        <v/>
      </c>
      <c r="AK9" s="54" t="str">
        <f>'Job Sheet'!AU12</f>
        <v/>
      </c>
      <c r="AL9" s="54" t="str">
        <f>IF(Data!AW12="","","Long Leg")</f>
        <v>Long Leg</v>
      </c>
      <c r="AM9" s="54" t="str">
        <f>'Job Sheet'!AV12</f>
        <v>No</v>
      </c>
      <c r="AN9" s="54" t="str">
        <f>'Job Sheet'!AW12</f>
        <v/>
      </c>
      <c r="AO9" s="54" t="str">
        <f>'Job Sheet'!AX12</f>
        <v/>
      </c>
      <c r="AP9" s="54" t="str">
        <f>'Job Sheet'!AY12</f>
        <v/>
      </c>
      <c r="AQ9" s="54" t="str">
        <f>'Job Sheet'!AZ12</f>
        <v>5mm off Drop Only</v>
      </c>
      <c r="AR9" s="54" t="str">
        <f>'Job Sheet'!BA12</f>
        <v>No</v>
      </c>
      <c r="AS9" s="54" t="str">
        <f t="shared" si="0" ref="AS9:AS17">IF(D9="","","Deliver")</f>
        <v>Deliver</v>
      </c>
      <c r="AT9" s="54" t="str">
        <f>'Job Sheet'!BF12</f>
        <v/>
      </c>
    </row>
    <row r="10" spans="1:46" s="75" customFormat="1" ht="76.5">
      <c r="A10" s="69">
        <f>IF(Data!AW13="","",Data!AW13)</f>
        <v>3</v>
      </c>
      <c r="B10" s="54" t="str">
        <f>IF(Data!AV13="","",Data!BN13)</f>
        <v>Barrier Door</v>
      </c>
      <c r="C10" s="54" t="str">
        <f>IF(Data!AV13="","",Data!BO13)</f>
        <v>Alu-Gard Perforated Aluminium</v>
      </c>
      <c r="D10" s="54" t="str">
        <f>IF(Data!AV13="","",IF(Data!BP13="Custom Powdercoat",'Job Sheet'!AA13,Data!BP13))</f>
        <v>Paperbark</v>
      </c>
      <c r="E10" s="74" t="str">
        <f>IF(Data!AV13="","",'Job Sheet'!C13)</f>
        <v>Kitchen</v>
      </c>
      <c r="F10" s="40">
        <f>IF(Data!AV13="","",'Job Sheet'!D13)</f>
        <v>908</v>
      </c>
      <c r="G10" s="40">
        <f>IF(Data!AW13="","",'Job Sheet'!E13)</f>
        <v>2078</v>
      </c>
      <c r="H10" s="55" t="str">
        <f>'Job Sheet'!F13</f>
        <v>Opening</v>
      </c>
      <c r="I10" s="55" t="str">
        <f>'Job Sheet'!G13</f>
        <v>Inside</v>
      </c>
      <c r="J10" s="55" t="str">
        <f t="array" ref="J10">bpLOOKUP(Data!$AV13,"FIXING",CustOrdOpt,6,FALSE)</f>
        <v>Aluminium</v>
      </c>
      <c r="K10" s="54" t="str">
        <f>'Job Sheet'!I13</f>
        <v>Single</v>
      </c>
      <c r="L10" s="54" t="str">
        <f>'Job Sheet'!J13</f>
        <v>Sliding</v>
      </c>
      <c r="M10" s="54" t="str">
        <f>'Job Sheet'!L13</f>
        <v/>
      </c>
      <c r="N10" s="54" t="str">
        <f>'Job Sheet'!M13</f>
        <v>Single Lock</v>
      </c>
      <c r="O10" s="55" t="e">
        <f>#REF!</f>
        <v>#REF!</v>
      </c>
      <c r="P10" s="54" t="str">
        <f>'Job Sheet'!O13</f>
        <v>1160</v>
      </c>
      <c r="Q10" s="54" t="str">
        <f>'Job Sheet'!N13</f>
        <v>BOL - Bottom of Lock</v>
      </c>
      <c r="R10" s="54" t="str">
        <f>'Job Sheet'!P13</f>
        <v>Right</v>
      </c>
      <c r="S10" s="55" t="str">
        <f>'Job Sheet'!Q13</f>
        <v>Paperbark</v>
      </c>
      <c r="T10" s="54" t="str">
        <f>'Job Sheet'!U13</f>
        <v>Not Required</v>
      </c>
      <c r="U10" s="55" t="str">
        <f>'Job Sheet'!Z13</f>
        <v/>
      </c>
      <c r="V10" s="55" t="str">
        <f>'Job Sheet'!AA13</f>
        <v/>
      </c>
      <c r="W10" s="55" t="str">
        <f>'Job Sheet'!AB13</f>
        <v/>
      </c>
      <c r="X10" s="54" t="str">
        <f>'Job Sheet'!AF13</f>
        <v/>
      </c>
      <c r="Y10" s="54" t="str">
        <f>'Job Sheet'!AF13</f>
        <v/>
      </c>
      <c r="Z10" s="54" t="str">
        <f>'Job Sheet'!AH13</f>
        <v>Standard</v>
      </c>
      <c r="AA10" s="54"/>
      <c r="AB10" s="54" t="str">
        <f>'Job Sheet'!AI13</f>
        <v>No</v>
      </c>
      <c r="AC10" s="54" t="str">
        <f>'Job Sheet'!AJ13</f>
        <v/>
      </c>
      <c r="AD10" s="54" t="str">
        <f>'Job Sheet'!AL13</f>
        <v>F &amp; Z Frames</v>
      </c>
      <c r="AE10" s="54" t="str">
        <f>'Job Sheet'!AM13</f>
        <v/>
      </c>
      <c r="AF10" s="54" t="str">
        <f>'Job Sheet'!AO13</f>
        <v/>
      </c>
      <c r="AG10" s="54" t="str">
        <f>'Job Sheet'!AP13</f>
        <v/>
      </c>
      <c r="AH10" s="54" t="str">
        <f>'Job Sheet'!AR13</f>
        <v>No</v>
      </c>
      <c r="AI10" s="55" t="str">
        <f>'Job Sheet'!AS13</f>
        <v>Existing Track</v>
      </c>
      <c r="AJ10" s="68" t="str">
        <f>'Job Sheet'!AT13</f>
        <v/>
      </c>
      <c r="AK10" s="54" t="str">
        <f>'Job Sheet'!AU13</f>
        <v>Yes</v>
      </c>
      <c r="AL10" s="54" t="str">
        <f>IF(Data!AW13="","","Long Leg")</f>
        <v>Long Leg</v>
      </c>
      <c r="AM10" s="54" t="str">
        <f>'Job Sheet'!AV13</f>
        <v>No</v>
      </c>
      <c r="AN10" s="54" t="str">
        <f>'Job Sheet'!AW13</f>
        <v/>
      </c>
      <c r="AO10" s="54" t="str">
        <f>'Job Sheet'!AX13</f>
        <v/>
      </c>
      <c r="AP10" s="54" t="str">
        <f>'Job Sheet'!AY13</f>
        <v/>
      </c>
      <c r="AQ10" s="54" t="str">
        <f>'Job Sheet'!AZ13</f>
        <v>No</v>
      </c>
      <c r="AR10" s="54" t="str">
        <f>'Job Sheet'!BA13</f>
        <v>No</v>
      </c>
      <c r="AS10" s="54" t="str">
        <f t="shared" si="0"/>
        <v>Deliver</v>
      </c>
      <c r="AT10" s="54" t="str">
        <f>'Job Sheet'!BF13</f>
        <v/>
      </c>
    </row>
    <row r="11" spans="1:46" s="75" customFormat="1" ht="60" customHeight="1">
      <c r="A11" s="69" t="str">
        <f>IF(Data!AW14="","",Data!AW14)</f>
        <v/>
      </c>
      <c r="B11" s="54" t="str">
        <f>IF(Data!AV14="","",Data!BN14)</f>
        <v/>
      </c>
      <c r="C11" s="54" t="str">
        <f>IF(Data!AV14="","",Data!BO14)</f>
        <v/>
      </c>
      <c r="D11" s="54" t="str">
        <f>IF(Data!AV14="","",IF(Data!BP14="Custom Powdercoat",'Job Sheet'!AA14,Data!BP14))</f>
        <v/>
      </c>
      <c r="E11" s="74" t="str">
        <f>IF(Data!AV14="","",'Job Sheet'!C14)</f>
        <v/>
      </c>
      <c r="F11" s="40" t="str">
        <f>IF(Data!AV14="","",'Job Sheet'!D14)</f>
        <v/>
      </c>
      <c r="G11" s="40" t="str">
        <f>IF(Data!AW14="","",'Job Sheet'!E14)</f>
        <v/>
      </c>
      <c r="H11" s="55" t="str">
        <f>'Job Sheet'!F14</f>
        <v/>
      </c>
      <c r="I11" s="55" t="str">
        <f>'Job Sheet'!G14</f>
        <v/>
      </c>
      <c r="J11" s="55" t="str">
        <f t="array" ref="J11">bpLOOKUP(Data!$AV14,"FIXING",CustOrdOpt,6,FALSE)</f>
        <v/>
      </c>
      <c r="K11" s="54" t="str">
        <f>'Job Sheet'!I14</f>
        <v/>
      </c>
      <c r="L11" s="54" t="str">
        <f>'Job Sheet'!J14</f>
        <v/>
      </c>
      <c r="M11" s="54" t="str">
        <f>'Job Sheet'!L14</f>
        <v/>
      </c>
      <c r="N11" s="54" t="str">
        <f>'Job Sheet'!M14</f>
        <v/>
      </c>
      <c r="O11" s="55" t="e">
        <f>#REF!</f>
        <v>#REF!</v>
      </c>
      <c r="P11" s="54" t="str">
        <f>'Job Sheet'!O14</f>
        <v/>
      </c>
      <c r="Q11" s="54" t="str">
        <f>'Job Sheet'!N14</f>
        <v/>
      </c>
      <c r="R11" s="54" t="str">
        <f>'Job Sheet'!P14</f>
        <v/>
      </c>
      <c r="S11" s="55" t="str">
        <f>'Job Sheet'!Q14</f>
        <v/>
      </c>
      <c r="T11" s="54" t="str">
        <f>'Job Sheet'!U14</f>
        <v/>
      </c>
      <c r="U11" s="55" t="str">
        <f>'Job Sheet'!Z14</f>
        <v/>
      </c>
      <c r="V11" s="55" t="str">
        <f>'Job Sheet'!AA14</f>
        <v/>
      </c>
      <c r="W11" s="55" t="str">
        <f>'Job Sheet'!AB14</f>
        <v/>
      </c>
      <c r="X11" s="54" t="str">
        <f>'Job Sheet'!AF14</f>
        <v/>
      </c>
      <c r="Y11" s="54" t="str">
        <f>'Job Sheet'!AF14</f>
        <v/>
      </c>
      <c r="Z11" s="54" t="str">
        <f>'Job Sheet'!AH14</f>
        <v/>
      </c>
      <c r="AA11" s="54"/>
      <c r="AB11" s="54" t="str">
        <f>'Job Sheet'!AI14</f>
        <v/>
      </c>
      <c r="AC11" s="54" t="str">
        <f>'Job Sheet'!AJ14</f>
        <v/>
      </c>
      <c r="AD11" s="54" t="str">
        <f>'Job Sheet'!AL14</f>
        <v/>
      </c>
      <c r="AE11" s="54" t="str">
        <f>'Job Sheet'!AM14</f>
        <v/>
      </c>
      <c r="AF11" s="54" t="str">
        <f>'Job Sheet'!AO14</f>
        <v/>
      </c>
      <c r="AG11" s="54" t="str">
        <f>'Job Sheet'!AP14</f>
        <v/>
      </c>
      <c r="AH11" s="54" t="str">
        <f>'Job Sheet'!AR14</f>
        <v/>
      </c>
      <c r="AI11" s="55" t="str">
        <f>'Job Sheet'!AS14</f>
        <v/>
      </c>
      <c r="AJ11" s="68" t="str">
        <f>'Job Sheet'!AT14</f>
        <v/>
      </c>
      <c r="AK11" s="54" t="str">
        <f>'Job Sheet'!AU14</f>
        <v/>
      </c>
      <c r="AL11" s="54" t="str">
        <f>IF(Data!AW14="","","Long Leg")</f>
        <v/>
      </c>
      <c r="AM11" s="54" t="str">
        <f>'Job Sheet'!AV14</f>
        <v/>
      </c>
      <c r="AN11" s="54" t="str">
        <f>'Job Sheet'!AW14</f>
        <v/>
      </c>
      <c r="AO11" s="54" t="str">
        <f>'Job Sheet'!AX14</f>
        <v/>
      </c>
      <c r="AP11" s="54" t="str">
        <f>'Job Sheet'!AY14</f>
        <v/>
      </c>
      <c r="AQ11" s="54" t="str">
        <f>'Job Sheet'!AZ14</f>
        <v/>
      </c>
      <c r="AR11" s="54" t="str">
        <f>'Job Sheet'!BA14</f>
        <v/>
      </c>
      <c r="AS11" s="54" t="str">
        <f t="shared" si="0"/>
        <v/>
      </c>
      <c r="AT11" s="54" t="str">
        <f>'Job Sheet'!BF14</f>
        <v/>
      </c>
    </row>
    <row r="12" spans="1:46" s="75" customFormat="1" ht="60" customHeight="1">
      <c r="A12" s="69" t="str">
        <f>IF(Data!AW15="","",Data!AW15)</f>
        <v/>
      </c>
      <c r="B12" s="54" t="str">
        <f>IF(Data!AV15="","",Data!BN15)</f>
        <v/>
      </c>
      <c r="C12" s="54" t="str">
        <f>IF(Data!AV15="","",Data!BO15)</f>
        <v/>
      </c>
      <c r="D12" s="54" t="str">
        <f>IF(Data!AV15="","",IF(Data!BP15="Custom Powdercoat",'Job Sheet'!AA15,Data!BP15))</f>
        <v/>
      </c>
      <c r="E12" s="74" t="str">
        <f>IF(Data!AV15="","",'Job Sheet'!C15)</f>
        <v/>
      </c>
      <c r="F12" s="40" t="str">
        <f>IF(Data!AV15="","",'Job Sheet'!D15)</f>
        <v/>
      </c>
      <c r="G12" s="40" t="str">
        <f>IF(Data!AW15="","",'Job Sheet'!E15)</f>
        <v/>
      </c>
      <c r="H12" s="55" t="str">
        <f>'Job Sheet'!F15</f>
        <v/>
      </c>
      <c r="I12" s="55" t="str">
        <f>'Job Sheet'!G15</f>
        <v/>
      </c>
      <c r="J12" s="55" t="str">
        <f t="array" ref="J12">bpLOOKUP(Data!$AV15,"FIXING",CustOrdOpt,6,FALSE)</f>
        <v/>
      </c>
      <c r="K12" s="54" t="str">
        <f>'Job Sheet'!I15</f>
        <v/>
      </c>
      <c r="L12" s="54" t="str">
        <f>'Job Sheet'!J15</f>
        <v/>
      </c>
      <c r="M12" s="54" t="str">
        <f>'Job Sheet'!L15</f>
        <v/>
      </c>
      <c r="N12" s="54" t="str">
        <f>'Job Sheet'!M15</f>
        <v/>
      </c>
      <c r="O12" s="55" t="e">
        <f>#REF!</f>
        <v>#REF!</v>
      </c>
      <c r="P12" s="54" t="str">
        <f>'Job Sheet'!O15</f>
        <v/>
      </c>
      <c r="Q12" s="54" t="str">
        <f>'Job Sheet'!N15</f>
        <v/>
      </c>
      <c r="R12" s="54" t="str">
        <f>'Job Sheet'!P15</f>
        <v/>
      </c>
      <c r="S12" s="55" t="str">
        <f>'Job Sheet'!Q15</f>
        <v/>
      </c>
      <c r="T12" s="54" t="str">
        <f>'Job Sheet'!U15</f>
        <v/>
      </c>
      <c r="U12" s="55" t="str">
        <f>'Job Sheet'!Z15</f>
        <v/>
      </c>
      <c r="V12" s="55" t="str">
        <f>'Job Sheet'!AA15</f>
        <v/>
      </c>
      <c r="W12" s="55" t="str">
        <f>'Job Sheet'!AB15</f>
        <v/>
      </c>
      <c r="X12" s="54" t="str">
        <f>'Job Sheet'!AF15</f>
        <v/>
      </c>
      <c r="Y12" s="54" t="str">
        <f>'Job Sheet'!AF15</f>
        <v/>
      </c>
      <c r="Z12" s="54" t="str">
        <f>'Job Sheet'!AH15</f>
        <v/>
      </c>
      <c r="AA12" s="54"/>
      <c r="AB12" s="54" t="str">
        <f>'Job Sheet'!AI15</f>
        <v/>
      </c>
      <c r="AC12" s="54" t="str">
        <f>'Job Sheet'!AJ15</f>
        <v/>
      </c>
      <c r="AD12" s="54" t="str">
        <f>'Job Sheet'!AL15</f>
        <v/>
      </c>
      <c r="AE12" s="54" t="str">
        <f>'Job Sheet'!AM15</f>
        <v/>
      </c>
      <c r="AF12" s="54" t="str">
        <f>'Job Sheet'!AO15</f>
        <v/>
      </c>
      <c r="AG12" s="54" t="str">
        <f>'Job Sheet'!AP15</f>
        <v/>
      </c>
      <c r="AH12" s="54" t="str">
        <f>'Job Sheet'!AR15</f>
        <v/>
      </c>
      <c r="AI12" s="55" t="str">
        <f>'Job Sheet'!AS15</f>
        <v/>
      </c>
      <c r="AJ12" s="68" t="str">
        <f>'Job Sheet'!AT15</f>
        <v/>
      </c>
      <c r="AK12" s="54" t="str">
        <f>'Job Sheet'!AU15</f>
        <v/>
      </c>
      <c r="AL12" s="54" t="str">
        <f>IF(Data!AW15="","","Long Leg")</f>
        <v/>
      </c>
      <c r="AM12" s="54" t="str">
        <f>'Job Sheet'!AV15</f>
        <v/>
      </c>
      <c r="AN12" s="54" t="str">
        <f>'Job Sheet'!AW15</f>
        <v/>
      </c>
      <c r="AO12" s="54" t="str">
        <f>'Job Sheet'!AX15</f>
        <v/>
      </c>
      <c r="AP12" s="54" t="str">
        <f>'Job Sheet'!AY15</f>
        <v/>
      </c>
      <c r="AQ12" s="54" t="str">
        <f>'Job Sheet'!AZ15</f>
        <v/>
      </c>
      <c r="AR12" s="54" t="str">
        <f>'Job Sheet'!BA15</f>
        <v/>
      </c>
      <c r="AS12" s="54" t="str">
        <f t="shared" si="0"/>
        <v/>
      </c>
      <c r="AT12" s="54" t="str">
        <f>'Job Sheet'!BF15</f>
        <v/>
      </c>
    </row>
    <row r="13" spans="1:46" s="75" customFormat="1" ht="60" customHeight="1">
      <c r="A13" s="69" t="str">
        <f>IF(Data!AW16="","",Data!AW16)</f>
        <v/>
      </c>
      <c r="B13" s="54" t="str">
        <f>IF(Data!AV16="","",Data!BN16)</f>
        <v/>
      </c>
      <c r="C13" s="54" t="str">
        <f>IF(Data!AV16="","",Data!BO16)</f>
        <v/>
      </c>
      <c r="D13" s="54" t="str">
        <f>IF(Data!AV16="","",IF(Data!BP16="Custom Powdercoat",'Job Sheet'!AA16,Data!BP16))</f>
        <v/>
      </c>
      <c r="E13" s="74" t="str">
        <f>IF(Data!AV16="","",'Job Sheet'!C16)</f>
        <v/>
      </c>
      <c r="F13" s="40" t="str">
        <f>IF(Data!AV16="","",'Job Sheet'!D16)</f>
        <v/>
      </c>
      <c r="G13" s="40" t="str">
        <f>IF(Data!AW16="","",'Job Sheet'!E16)</f>
        <v/>
      </c>
      <c r="H13" s="55" t="str">
        <f>'Job Sheet'!F16</f>
        <v/>
      </c>
      <c r="I13" s="55" t="str">
        <f>'Job Sheet'!G16</f>
        <v/>
      </c>
      <c r="J13" s="55" t="str">
        <f t="array" ref="J13">bpLOOKUP(Data!$AV16,"FIXING",CustOrdOpt,6,FALSE)</f>
        <v/>
      </c>
      <c r="K13" s="54" t="str">
        <f>'Job Sheet'!I16</f>
        <v/>
      </c>
      <c r="L13" s="54" t="str">
        <f>'Job Sheet'!J16</f>
        <v/>
      </c>
      <c r="M13" s="54" t="str">
        <f>'Job Sheet'!L16</f>
        <v/>
      </c>
      <c r="N13" s="54" t="str">
        <f>'Job Sheet'!M16</f>
        <v/>
      </c>
      <c r="O13" s="55" t="e">
        <f>#REF!</f>
        <v>#REF!</v>
      </c>
      <c r="P13" s="54" t="str">
        <f>'Job Sheet'!O16</f>
        <v/>
      </c>
      <c r="Q13" s="54" t="str">
        <f>'Job Sheet'!N16</f>
        <v/>
      </c>
      <c r="R13" s="54" t="str">
        <f>'Job Sheet'!P16</f>
        <v/>
      </c>
      <c r="S13" s="55" t="str">
        <f>'Job Sheet'!Q16</f>
        <v/>
      </c>
      <c r="T13" s="54" t="str">
        <f>'Job Sheet'!U16</f>
        <v/>
      </c>
      <c r="U13" s="55" t="str">
        <f>'Job Sheet'!Z16</f>
        <v/>
      </c>
      <c r="V13" s="55" t="str">
        <f>'Job Sheet'!AA16</f>
        <v/>
      </c>
      <c r="W13" s="55" t="str">
        <f>'Job Sheet'!AB16</f>
        <v/>
      </c>
      <c r="X13" s="54" t="str">
        <f>'Job Sheet'!AF16</f>
        <v/>
      </c>
      <c r="Y13" s="54" t="str">
        <f>'Job Sheet'!AF16</f>
        <v/>
      </c>
      <c r="Z13" s="54" t="str">
        <f>'Job Sheet'!AH16</f>
        <v/>
      </c>
      <c r="AA13" s="54"/>
      <c r="AB13" s="54" t="str">
        <f>'Job Sheet'!AI16</f>
        <v/>
      </c>
      <c r="AC13" s="54" t="str">
        <f>'Job Sheet'!AJ16</f>
        <v/>
      </c>
      <c r="AD13" s="54" t="str">
        <f>'Job Sheet'!AL16</f>
        <v/>
      </c>
      <c r="AE13" s="54" t="str">
        <f>'Job Sheet'!AM16</f>
        <v/>
      </c>
      <c r="AF13" s="54" t="str">
        <f>'Job Sheet'!AO16</f>
        <v/>
      </c>
      <c r="AG13" s="54" t="str">
        <f>'Job Sheet'!AP16</f>
        <v/>
      </c>
      <c r="AH13" s="54" t="str">
        <f>'Job Sheet'!AR16</f>
        <v/>
      </c>
      <c r="AI13" s="55" t="str">
        <f>'Job Sheet'!AS16</f>
        <v/>
      </c>
      <c r="AJ13" s="68" t="str">
        <f>'Job Sheet'!AT16</f>
        <v/>
      </c>
      <c r="AK13" s="54" t="str">
        <f>'Job Sheet'!AU16</f>
        <v/>
      </c>
      <c r="AL13" s="54" t="str">
        <f>IF(Data!AW16="","","Long Leg")</f>
        <v/>
      </c>
      <c r="AM13" s="54" t="str">
        <f>'Job Sheet'!AV16</f>
        <v/>
      </c>
      <c r="AN13" s="54" t="str">
        <f>'Job Sheet'!AW16</f>
        <v/>
      </c>
      <c r="AO13" s="54" t="str">
        <f>'Job Sheet'!AX16</f>
        <v/>
      </c>
      <c r="AP13" s="54" t="str">
        <f>'Job Sheet'!AY16</f>
        <v/>
      </c>
      <c r="AQ13" s="54" t="str">
        <f>'Job Sheet'!AZ16</f>
        <v/>
      </c>
      <c r="AR13" s="54" t="str">
        <f>'Job Sheet'!BA16</f>
        <v/>
      </c>
      <c r="AS13" s="54" t="str">
        <f t="shared" si="0"/>
        <v/>
      </c>
      <c r="AT13" s="54" t="str">
        <f>'Job Sheet'!BF16</f>
        <v/>
      </c>
    </row>
    <row r="14" spans="1:46" s="75" customFormat="1" ht="60" customHeight="1">
      <c r="A14" s="69" t="str">
        <f>IF(Data!AW17="","",Data!AW17)</f>
        <v/>
      </c>
      <c r="B14" s="54" t="str">
        <f>IF(Data!AV17="","",Data!BN17)</f>
        <v/>
      </c>
      <c r="C14" s="54" t="str">
        <f>IF(Data!AV17="","",Data!BO17)</f>
        <v/>
      </c>
      <c r="D14" s="54" t="str">
        <f>IF(Data!AV17="","",IF(Data!BP17="Custom Powdercoat",'Job Sheet'!AA17,Data!BP17))</f>
        <v/>
      </c>
      <c r="E14" s="74" t="str">
        <f>IF(Data!AV17="","",'Job Sheet'!C17)</f>
        <v/>
      </c>
      <c r="F14" s="40" t="str">
        <f>IF(Data!AV17="","",'Job Sheet'!D17)</f>
        <v/>
      </c>
      <c r="G14" s="40" t="str">
        <f>IF(Data!AW17="","",'Job Sheet'!E17)</f>
        <v/>
      </c>
      <c r="H14" s="55" t="str">
        <f>'Job Sheet'!F17</f>
        <v/>
      </c>
      <c r="I14" s="55" t="str">
        <f>'Job Sheet'!G17</f>
        <v/>
      </c>
      <c r="J14" s="55" t="str">
        <f t="array" ref="J14">bpLOOKUP(Data!$AV17,"FIXING",CustOrdOpt,6,FALSE)</f>
        <v/>
      </c>
      <c r="K14" s="54" t="str">
        <f>'Job Sheet'!I17</f>
        <v/>
      </c>
      <c r="L14" s="54" t="str">
        <f>'Job Sheet'!J17</f>
        <v/>
      </c>
      <c r="M14" s="54" t="str">
        <f>'Job Sheet'!L17</f>
        <v/>
      </c>
      <c r="N14" s="54" t="str">
        <f>'Job Sheet'!M17</f>
        <v/>
      </c>
      <c r="O14" s="55" t="e">
        <f>#REF!</f>
        <v>#REF!</v>
      </c>
      <c r="P14" s="54" t="str">
        <f>'Job Sheet'!O17</f>
        <v/>
      </c>
      <c r="Q14" s="54" t="str">
        <f>'Job Sheet'!N17</f>
        <v/>
      </c>
      <c r="R14" s="54" t="str">
        <f>'Job Sheet'!P17</f>
        <v/>
      </c>
      <c r="S14" s="55" t="str">
        <f>'Job Sheet'!Q17</f>
        <v/>
      </c>
      <c r="T14" s="54" t="str">
        <f>'Job Sheet'!U17</f>
        <v/>
      </c>
      <c r="U14" s="55" t="str">
        <f>'Job Sheet'!Z17</f>
        <v/>
      </c>
      <c r="V14" s="55" t="str">
        <f>'Job Sheet'!AA17</f>
        <v/>
      </c>
      <c r="W14" s="55" t="str">
        <f>'Job Sheet'!AB17</f>
        <v/>
      </c>
      <c r="X14" s="54" t="str">
        <f>'Job Sheet'!AF17</f>
        <v/>
      </c>
      <c r="Y14" s="54" t="str">
        <f>'Job Sheet'!AF17</f>
        <v/>
      </c>
      <c r="Z14" s="54" t="str">
        <f>'Job Sheet'!AH17</f>
        <v/>
      </c>
      <c r="AA14" s="54"/>
      <c r="AB14" s="54" t="str">
        <f>'Job Sheet'!AI17</f>
        <v/>
      </c>
      <c r="AC14" s="54" t="str">
        <f>'Job Sheet'!AJ17</f>
        <v/>
      </c>
      <c r="AD14" s="54" t="str">
        <f>'Job Sheet'!AL17</f>
        <v/>
      </c>
      <c r="AE14" s="54" t="str">
        <f>'Job Sheet'!AM17</f>
        <v/>
      </c>
      <c r="AF14" s="54" t="str">
        <f>'Job Sheet'!AO17</f>
        <v/>
      </c>
      <c r="AG14" s="54" t="str">
        <f>'Job Sheet'!AP17</f>
        <v/>
      </c>
      <c r="AH14" s="54" t="str">
        <f>'Job Sheet'!AR17</f>
        <v/>
      </c>
      <c r="AI14" s="55" t="str">
        <f>'Job Sheet'!AS17</f>
        <v/>
      </c>
      <c r="AJ14" s="68" t="str">
        <f>'Job Sheet'!AT17</f>
        <v/>
      </c>
      <c r="AK14" s="54" t="str">
        <f>'Job Sheet'!AU17</f>
        <v/>
      </c>
      <c r="AL14" s="54" t="str">
        <f>IF(Data!AW17="","","Long Leg")</f>
        <v/>
      </c>
      <c r="AM14" s="54" t="str">
        <f>'Job Sheet'!AV17</f>
        <v/>
      </c>
      <c r="AN14" s="54" t="str">
        <f>'Job Sheet'!AW17</f>
        <v/>
      </c>
      <c r="AO14" s="54" t="str">
        <f>'Job Sheet'!AX17</f>
        <v/>
      </c>
      <c r="AP14" s="54" t="str">
        <f>'Job Sheet'!AY17</f>
        <v/>
      </c>
      <c r="AQ14" s="54" t="str">
        <f>'Job Sheet'!AZ17</f>
        <v/>
      </c>
      <c r="AR14" s="54" t="str">
        <f>'Job Sheet'!BA17</f>
        <v/>
      </c>
      <c r="AS14" s="54" t="str">
        <f t="shared" si="0"/>
        <v/>
      </c>
      <c r="AT14" s="54" t="str">
        <f>'Job Sheet'!BF17</f>
        <v/>
      </c>
    </row>
    <row r="15" spans="1:46" s="75" customFormat="1" ht="60" customHeight="1">
      <c r="A15" s="69" t="str">
        <f>IF(Data!AW18="","",Data!AW18)</f>
        <v/>
      </c>
      <c r="B15" s="54" t="str">
        <f>IF(Data!AV18="","",Data!BN18)</f>
        <v/>
      </c>
      <c r="C15" s="54" t="str">
        <f>IF(Data!AV18="","",Data!BO18)</f>
        <v/>
      </c>
      <c r="D15" s="54" t="str">
        <f>IF(Data!AV18="","",IF(Data!BP18="Custom Powdercoat",'Job Sheet'!AA18,Data!BP18))</f>
        <v/>
      </c>
      <c r="E15" s="74" t="str">
        <f>IF(Data!AV18="","",'Job Sheet'!C18)</f>
        <v/>
      </c>
      <c r="F15" s="40" t="str">
        <f>IF(Data!AV18="","",'Job Sheet'!D18)</f>
        <v/>
      </c>
      <c r="G15" s="40" t="str">
        <f>IF(Data!AW18="","",'Job Sheet'!E18)</f>
        <v/>
      </c>
      <c r="H15" s="55" t="str">
        <f>'Job Sheet'!F18</f>
        <v/>
      </c>
      <c r="I15" s="55" t="str">
        <f>'Job Sheet'!G18</f>
        <v/>
      </c>
      <c r="J15" s="55" t="str">
        <f t="array" ref="J15">bpLOOKUP(Data!$AV18,"FIXING",CustOrdOpt,6,FALSE)</f>
        <v/>
      </c>
      <c r="K15" s="54" t="str">
        <f>'Job Sheet'!I18</f>
        <v/>
      </c>
      <c r="L15" s="54" t="str">
        <f>'Job Sheet'!J18</f>
        <v/>
      </c>
      <c r="M15" s="54" t="str">
        <f>'Job Sheet'!L18</f>
        <v/>
      </c>
      <c r="N15" s="54" t="str">
        <f>'Job Sheet'!M18</f>
        <v/>
      </c>
      <c r="O15" s="55" t="e">
        <f>#REF!</f>
        <v>#REF!</v>
      </c>
      <c r="P15" s="54" t="str">
        <f>'Job Sheet'!O18</f>
        <v/>
      </c>
      <c r="Q15" s="54" t="str">
        <f>'Job Sheet'!N18</f>
        <v/>
      </c>
      <c r="R15" s="54" t="str">
        <f>'Job Sheet'!P18</f>
        <v/>
      </c>
      <c r="S15" s="55" t="str">
        <f>'Job Sheet'!Q18</f>
        <v/>
      </c>
      <c r="T15" s="54" t="str">
        <f>'Job Sheet'!U18</f>
        <v/>
      </c>
      <c r="U15" s="55" t="str">
        <f>'Job Sheet'!Z18</f>
        <v/>
      </c>
      <c r="V15" s="55" t="str">
        <f>'Job Sheet'!AA18</f>
        <v/>
      </c>
      <c r="W15" s="55" t="str">
        <f>'Job Sheet'!AB18</f>
        <v/>
      </c>
      <c r="X15" s="54" t="str">
        <f>'Job Sheet'!AF18</f>
        <v/>
      </c>
      <c r="Y15" s="54" t="str">
        <f>'Job Sheet'!AF18</f>
        <v/>
      </c>
      <c r="Z15" s="54" t="str">
        <f>'Job Sheet'!AH18</f>
        <v/>
      </c>
      <c r="AA15" s="54"/>
      <c r="AB15" s="54" t="str">
        <f>'Job Sheet'!AI18</f>
        <v/>
      </c>
      <c r="AC15" s="54" t="str">
        <f>'Job Sheet'!AJ18</f>
        <v/>
      </c>
      <c r="AD15" s="54" t="str">
        <f>'Job Sheet'!AL18</f>
        <v/>
      </c>
      <c r="AE15" s="54" t="str">
        <f>'Job Sheet'!AM18</f>
        <v/>
      </c>
      <c r="AF15" s="54" t="str">
        <f>'Job Sheet'!AO18</f>
        <v/>
      </c>
      <c r="AG15" s="54" t="str">
        <f>'Job Sheet'!AP18</f>
        <v/>
      </c>
      <c r="AH15" s="54" t="str">
        <f>'Job Sheet'!AR18</f>
        <v/>
      </c>
      <c r="AI15" s="55" t="str">
        <f>'Job Sheet'!AS18</f>
        <v/>
      </c>
      <c r="AJ15" s="68" t="str">
        <f>'Job Sheet'!AT18</f>
        <v/>
      </c>
      <c r="AK15" s="54" t="str">
        <f>'Job Sheet'!AU18</f>
        <v/>
      </c>
      <c r="AL15" s="54" t="str">
        <f>IF(Data!AW18="","","Long Leg")</f>
        <v/>
      </c>
      <c r="AM15" s="54" t="str">
        <f>'Job Sheet'!AV18</f>
        <v/>
      </c>
      <c r="AN15" s="54" t="str">
        <f>'Job Sheet'!AW18</f>
        <v/>
      </c>
      <c r="AO15" s="54" t="str">
        <f>'Job Sheet'!AX18</f>
        <v/>
      </c>
      <c r="AP15" s="54" t="str">
        <f>'Job Sheet'!AY18</f>
        <v/>
      </c>
      <c r="AQ15" s="54" t="str">
        <f>'Job Sheet'!AZ18</f>
        <v/>
      </c>
      <c r="AR15" s="54" t="str">
        <f>'Job Sheet'!BA18</f>
        <v/>
      </c>
      <c r="AS15" s="54" t="str">
        <f t="shared" si="0"/>
        <v/>
      </c>
      <c r="AT15" s="54" t="str">
        <f>'Job Sheet'!BF18</f>
        <v/>
      </c>
    </row>
    <row r="16" spans="1:46" s="75" customFormat="1" ht="60" customHeight="1">
      <c r="A16" s="69" t="str">
        <f>IF(Data!AW19="","",Data!AW19)</f>
        <v/>
      </c>
      <c r="B16" s="54" t="str">
        <f>IF(Data!AV19="","",Data!BN19)</f>
        <v/>
      </c>
      <c r="C16" s="54" t="str">
        <f>IF(Data!AV19="","",Data!BO19)</f>
        <v/>
      </c>
      <c r="D16" s="54" t="str">
        <f>IF(Data!AV19="","",IF(Data!BP19="Custom Powdercoat",'Job Sheet'!AA19,Data!BP19))</f>
        <v/>
      </c>
      <c r="E16" s="74" t="str">
        <f>IF(Data!AV19="","",'Job Sheet'!C19)</f>
        <v/>
      </c>
      <c r="F16" s="40" t="str">
        <f>IF(Data!AV19="","",'Job Sheet'!D19)</f>
        <v/>
      </c>
      <c r="G16" s="40" t="str">
        <f>IF(Data!AW19="","",'Job Sheet'!E19)</f>
        <v/>
      </c>
      <c r="H16" s="55" t="str">
        <f>'Job Sheet'!F19</f>
        <v/>
      </c>
      <c r="I16" s="55" t="str">
        <f>'Job Sheet'!G19</f>
        <v/>
      </c>
      <c r="J16" s="55" t="str">
        <f t="array" ref="J16">bpLOOKUP(Data!$AV19,"FIXING",CustOrdOpt,6,FALSE)</f>
        <v/>
      </c>
      <c r="K16" s="54" t="str">
        <f>'Job Sheet'!I19</f>
        <v/>
      </c>
      <c r="L16" s="54" t="str">
        <f>'Job Sheet'!J19</f>
        <v/>
      </c>
      <c r="M16" s="54" t="str">
        <f>'Job Sheet'!L19</f>
        <v/>
      </c>
      <c r="N16" s="54" t="str">
        <f>'Job Sheet'!M19</f>
        <v/>
      </c>
      <c r="O16" s="55" t="e">
        <f>#REF!</f>
        <v>#REF!</v>
      </c>
      <c r="P16" s="54" t="str">
        <f>'Job Sheet'!O19</f>
        <v/>
      </c>
      <c r="Q16" s="54" t="str">
        <f>'Job Sheet'!N19</f>
        <v/>
      </c>
      <c r="R16" s="54" t="str">
        <f>'Job Sheet'!P19</f>
        <v/>
      </c>
      <c r="S16" s="55" t="str">
        <f>'Job Sheet'!Q19</f>
        <v/>
      </c>
      <c r="T16" s="54" t="str">
        <f>'Job Sheet'!U19</f>
        <v/>
      </c>
      <c r="U16" s="55" t="str">
        <f>'Job Sheet'!Z19</f>
        <v/>
      </c>
      <c r="V16" s="55" t="str">
        <f>'Job Sheet'!AA19</f>
        <v/>
      </c>
      <c r="W16" s="55" t="str">
        <f>'Job Sheet'!AB19</f>
        <v/>
      </c>
      <c r="X16" s="54" t="str">
        <f>'Job Sheet'!AF19</f>
        <v/>
      </c>
      <c r="Y16" s="54" t="str">
        <f>'Job Sheet'!AF19</f>
        <v/>
      </c>
      <c r="Z16" s="54" t="str">
        <f>'Job Sheet'!AH19</f>
        <v/>
      </c>
      <c r="AA16" s="54"/>
      <c r="AB16" s="54" t="str">
        <f>'Job Sheet'!AI19</f>
        <v/>
      </c>
      <c r="AC16" s="54" t="str">
        <f>'Job Sheet'!AJ19</f>
        <v/>
      </c>
      <c r="AD16" s="54" t="str">
        <f>'Job Sheet'!AL19</f>
        <v/>
      </c>
      <c r="AE16" s="54" t="str">
        <f>'Job Sheet'!AM19</f>
        <v/>
      </c>
      <c r="AF16" s="54" t="str">
        <f>'Job Sheet'!AO19</f>
        <v/>
      </c>
      <c r="AG16" s="54" t="str">
        <f>'Job Sheet'!AP19</f>
        <v/>
      </c>
      <c r="AH16" s="54" t="str">
        <f>'Job Sheet'!AR19</f>
        <v/>
      </c>
      <c r="AI16" s="55" t="str">
        <f>'Job Sheet'!AS19</f>
        <v/>
      </c>
      <c r="AJ16" s="68" t="str">
        <f>'Job Sheet'!AT19</f>
        <v/>
      </c>
      <c r="AK16" s="54" t="str">
        <f>'Job Sheet'!AU19</f>
        <v/>
      </c>
      <c r="AL16" s="54" t="str">
        <f>IF(Data!AW19="","","Long Leg")</f>
        <v/>
      </c>
      <c r="AM16" s="54" t="str">
        <f>'Job Sheet'!AV19</f>
        <v/>
      </c>
      <c r="AN16" s="54" t="str">
        <f>'Job Sheet'!AW19</f>
        <v/>
      </c>
      <c r="AO16" s="54" t="str">
        <f>'Job Sheet'!AX19</f>
        <v/>
      </c>
      <c r="AP16" s="54" t="str">
        <f>'Job Sheet'!AY19</f>
        <v/>
      </c>
      <c r="AQ16" s="54" t="str">
        <f>'Job Sheet'!AZ19</f>
        <v/>
      </c>
      <c r="AR16" s="54" t="str">
        <f>'Job Sheet'!BA19</f>
        <v/>
      </c>
      <c r="AS16" s="54" t="str">
        <f t="shared" si="0"/>
        <v/>
      </c>
      <c r="AT16" s="54" t="str">
        <f>'Job Sheet'!BF19</f>
        <v/>
      </c>
    </row>
    <row r="17" spans="1:46" s="75" customFormat="1" ht="60" customHeight="1">
      <c r="A17" s="69" t="str">
        <f>IF(Data!AW20="","",Data!AW20)</f>
        <v/>
      </c>
      <c r="B17" s="54" t="str">
        <f>IF(Data!AV20="","",Data!BN20)</f>
        <v/>
      </c>
      <c r="C17" s="54" t="str">
        <f>IF(Data!AV20="","",Data!BO20)</f>
        <v/>
      </c>
      <c r="D17" s="54" t="str">
        <f>IF(Data!AV20="","",IF(Data!BP20="Custom Powdercoat",'Job Sheet'!AA20,Data!BP20))</f>
        <v/>
      </c>
      <c r="E17" s="74" t="str">
        <f>IF(Data!AV20="","",'Job Sheet'!C20)</f>
        <v/>
      </c>
      <c r="F17" s="40" t="str">
        <f>IF(Data!AV20="","",'Job Sheet'!D20)</f>
        <v/>
      </c>
      <c r="G17" s="40" t="str">
        <f>IF(Data!AW20="","",'Job Sheet'!E20)</f>
        <v/>
      </c>
      <c r="H17" s="55" t="str">
        <f>'Job Sheet'!F20</f>
        <v/>
      </c>
      <c r="I17" s="55" t="str">
        <f>'Job Sheet'!G20</f>
        <v/>
      </c>
      <c r="J17" s="55" t="str">
        <f t="array" ref="J17">bpLOOKUP(Data!$AV20,"FIXING",CustOrdOpt,6,FALSE)</f>
        <v/>
      </c>
      <c r="K17" s="54" t="str">
        <f>'Job Sheet'!I20</f>
        <v/>
      </c>
      <c r="L17" s="54" t="str">
        <f>'Job Sheet'!J20</f>
        <v/>
      </c>
      <c r="M17" s="54" t="str">
        <f>'Job Sheet'!L20</f>
        <v/>
      </c>
      <c r="N17" s="54" t="str">
        <f>'Job Sheet'!M20</f>
        <v/>
      </c>
      <c r="O17" s="55" t="e">
        <f>#REF!</f>
        <v>#REF!</v>
      </c>
      <c r="P17" s="54" t="str">
        <f>'Job Sheet'!O20</f>
        <v/>
      </c>
      <c r="Q17" s="54" t="str">
        <f>'Job Sheet'!N20</f>
        <v/>
      </c>
      <c r="R17" s="54" t="str">
        <f>'Job Sheet'!P20</f>
        <v/>
      </c>
      <c r="S17" s="55" t="str">
        <f>'Job Sheet'!Q20</f>
        <v/>
      </c>
      <c r="T17" s="54" t="str">
        <f>'Job Sheet'!U20</f>
        <v/>
      </c>
      <c r="U17" s="55" t="str">
        <f>'Job Sheet'!Z20</f>
        <v/>
      </c>
      <c r="V17" s="55" t="str">
        <f>'Job Sheet'!AA20</f>
        <v/>
      </c>
      <c r="W17" s="55" t="str">
        <f>'Job Sheet'!AB20</f>
        <v/>
      </c>
      <c r="X17" s="54" t="str">
        <f>'Job Sheet'!AF20</f>
        <v/>
      </c>
      <c r="Y17" s="54" t="str">
        <f>'Job Sheet'!AF20</f>
        <v/>
      </c>
      <c r="Z17" s="54" t="str">
        <f>'Job Sheet'!AH20</f>
        <v/>
      </c>
      <c r="AA17" s="54"/>
      <c r="AB17" s="54" t="str">
        <f>'Job Sheet'!AI20</f>
        <v/>
      </c>
      <c r="AC17" s="54" t="str">
        <f>'Job Sheet'!AJ20</f>
        <v/>
      </c>
      <c r="AD17" s="54" t="str">
        <f>'Job Sheet'!AL20</f>
        <v/>
      </c>
      <c r="AE17" s="54" t="str">
        <f>'Job Sheet'!AM20</f>
        <v/>
      </c>
      <c r="AF17" s="54" t="str">
        <f>'Job Sheet'!AO20</f>
        <v/>
      </c>
      <c r="AG17" s="54" t="str">
        <f>'Job Sheet'!AP20</f>
        <v/>
      </c>
      <c r="AH17" s="54" t="str">
        <f>'Job Sheet'!AR20</f>
        <v/>
      </c>
      <c r="AI17" s="55" t="str">
        <f>'Job Sheet'!AS20</f>
        <v/>
      </c>
      <c r="AJ17" s="68" t="str">
        <f>'Job Sheet'!AT20</f>
        <v/>
      </c>
      <c r="AK17" s="54" t="str">
        <f>'Job Sheet'!AU20</f>
        <v/>
      </c>
      <c r="AL17" s="54" t="str">
        <f>IF(Data!AW20="","","Long Leg")</f>
        <v/>
      </c>
      <c r="AM17" s="54" t="str">
        <f>'Job Sheet'!AV20</f>
        <v/>
      </c>
      <c r="AN17" s="54" t="str">
        <f>'Job Sheet'!AW20</f>
        <v/>
      </c>
      <c r="AO17" s="54" t="str">
        <f>'Job Sheet'!AX20</f>
        <v/>
      </c>
      <c r="AP17" s="54" t="str">
        <f>'Job Sheet'!AY20</f>
        <v/>
      </c>
      <c r="AQ17" s="54" t="str">
        <f>'Job Sheet'!AZ20</f>
        <v/>
      </c>
      <c r="AR17" s="54" t="str">
        <f>'Job Sheet'!BA20</f>
        <v/>
      </c>
      <c r="AS17" s="54" t="str">
        <f t="shared" si="0"/>
        <v/>
      </c>
      <c r="AT17" s="54" t="str">
        <f>'Job Sheet'!BF20</f>
        <v/>
      </c>
    </row>
    <row r="18" spans="21:38" ht="60" customHeight="1"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</row>
    <row r="19" spans="21:38" ht="60" customHeight="1"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</row>
    <row r="20" spans="21:38" ht="60" customHeight="1"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</row>
    <row r="21" spans="21:38" ht="60" customHeight="1"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</row>
    <row r="22" spans="21:38" ht="60" customHeight="1"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</row>
    <row r="23" spans="21:38" ht="60" customHeight="1"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</row>
    <row r="24" spans="21:38" ht="60" customHeight="1"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</row>
    <row r="25" spans="21:38" ht="60" customHeight="1"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</row>
    <row r="26" spans="21:38" ht="60" customHeight="1"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</row>
    <row r="27" spans="21:38" ht="60" customHeight="1"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</row>
    <row r="28" spans="21:38" ht="60" customHeight="1"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</row>
    <row r="29" spans="21:38" ht="60" customHeight="1"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2"/>
      <c r="AL29" s="52"/>
    </row>
    <row r="30" spans="21:38" ht="60" customHeight="1"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2"/>
      <c r="AL30" s="52"/>
    </row>
    <row r="31" spans="21:38" ht="60" customHeight="1"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2"/>
      <c r="AL31" s="52"/>
    </row>
    <row r="32" spans="37:38" ht="60" customHeight="1">
      <c r="AK32" s="52"/>
      <c r="AL32" s="52"/>
    </row>
    <row r="33" spans="37:38" ht="60" customHeight="1">
      <c r="AK33" s="52"/>
      <c r="AL33" s="52"/>
    </row>
    <row r="34" spans="37:38" ht="60" customHeight="1">
      <c r="AK34" s="52"/>
      <c r="AL34" s="52"/>
    </row>
    <row r="35" spans="37:38" ht="60" customHeight="1">
      <c r="AK35" s="52"/>
      <c r="AL35" s="52"/>
    </row>
    <row r="36" spans="37:38" ht="60" customHeight="1">
      <c r="AK36" s="52"/>
      <c r="AL36" s="52"/>
    </row>
    <row r="37" spans="37:38" ht="60" customHeight="1">
      <c r="AK37" s="52"/>
      <c r="AL37" s="52"/>
    </row>
    <row r="38" spans="37:38" ht="60" customHeight="1">
      <c r="AK38" s="52"/>
      <c r="AL38" s="52"/>
    </row>
    <row r="39" spans="37:38" ht="60" customHeight="1">
      <c r="AK39" s="52"/>
      <c r="AL39" s="52"/>
    </row>
    <row r="40" spans="37:38" ht="60" customHeight="1">
      <c r="AK40" s="52"/>
      <c r="AL40" s="52"/>
    </row>
    <row r="41" spans="37:38" ht="60" customHeight="1">
      <c r="AK41" s="52"/>
      <c r="AL41" s="52"/>
    </row>
    <row r="42" spans="37:38" ht="60" customHeight="1">
      <c r="AK42" s="52"/>
      <c r="AL42" s="52"/>
    </row>
    <row r="43" spans="37:38" ht="60" customHeight="1">
      <c r="AK43" s="52"/>
      <c r="AL43" s="52"/>
    </row>
    <row r="44" spans="37:38" ht="60" customHeight="1">
      <c r="AK44" s="52"/>
      <c r="AL44" s="52"/>
    </row>
    <row r="45" spans="37:38" ht="60" customHeight="1">
      <c r="AK45" s="52"/>
      <c r="AL45" s="52"/>
    </row>
    <row r="46" spans="37:38" ht="60" customHeight="1">
      <c r="AK46" s="52"/>
      <c r="AL46" s="52"/>
    </row>
    <row r="47" spans="37:38" ht="60" customHeight="1">
      <c r="AK47" s="52"/>
      <c r="AL47" s="52"/>
    </row>
    <row r="48" spans="37:38" ht="60" customHeight="1">
      <c r="AK48" s="52"/>
      <c r="AL48" s="52"/>
    </row>
    <row r="49" spans="37:38" ht="60" customHeight="1">
      <c r="AK49" s="52"/>
      <c r="AL49" s="52"/>
    </row>
    <row r="50" spans="37:38" ht="60" customHeight="1">
      <c r="AK50" s="52"/>
      <c r="AL50" s="52"/>
    </row>
    <row r="51" spans="37:38" ht="60" customHeight="1">
      <c r="AK51" s="52"/>
      <c r="AL51" s="52"/>
    </row>
    <row r="52" spans="37:38" ht="60" customHeight="1">
      <c r="AK52" s="52"/>
      <c r="AL52" s="52"/>
    </row>
    <row r="53" spans="37:38" ht="60" customHeight="1">
      <c r="AK53" s="52"/>
      <c r="AL53" s="52"/>
    </row>
    <row r="54" spans="37:38" ht="13.2">
      <c r="AK54" s="52"/>
      <c r="AL54" s="52"/>
    </row>
    <row r="55" spans="37:38" ht="13.2">
      <c r="AK55" s="52"/>
      <c r="AL55" s="52"/>
    </row>
    <row r="56" spans="37:38" ht="13.2">
      <c r="AK56" s="52"/>
      <c r="AL56" s="52"/>
    </row>
    <row r="57" spans="37:38" ht="13.2">
      <c r="AK57" s="52"/>
      <c r="AL57" s="52"/>
    </row>
    <row r="58" spans="37:38" ht="13.2">
      <c r="AK58" s="52"/>
      <c r="AL58" s="52"/>
    </row>
    <row r="59" spans="37:38" ht="13.2">
      <c r="AK59" s="52"/>
      <c r="AL59" s="52"/>
    </row>
    <row r="60" spans="37:38" ht="13.2">
      <c r="AK60" s="52"/>
      <c r="AL60" s="52"/>
    </row>
    <row r="61" spans="37:38" ht="13.2">
      <c r="AK61" s="52"/>
      <c r="AL61" s="52"/>
    </row>
    <row r="62" spans="37:38" ht="13.2">
      <c r="AK62" s="52"/>
      <c r="AL62" s="52"/>
    </row>
    <row r="63" spans="37:38" ht="13.2">
      <c r="AK63" s="52"/>
      <c r="AL63" s="52"/>
    </row>
  </sheetData>
  <mergeCells count="61">
    <mergeCell ref="AT5:AT7"/>
    <mergeCell ref="AB5:AB7"/>
    <mergeCell ref="AC5:AC7"/>
    <mergeCell ref="AD5:AD7"/>
    <mergeCell ref="AE5:AE7"/>
    <mergeCell ref="AS5:AS7"/>
    <mergeCell ref="AK5:AK7"/>
    <mergeCell ref="AM5:AM7"/>
    <mergeCell ref="AJ5:AJ7"/>
    <mergeCell ref="AL5:AL7"/>
    <mergeCell ref="AQ5:AQ7"/>
    <mergeCell ref="AR5:AR7"/>
    <mergeCell ref="AN5:AN7"/>
    <mergeCell ref="AO5:AO7"/>
    <mergeCell ref="AP5:AP7"/>
    <mergeCell ref="AA5:AA7"/>
    <mergeCell ref="T5:T7"/>
    <mergeCell ref="AI5:AI7"/>
    <mergeCell ref="U5:U7"/>
    <mergeCell ref="V5:V7"/>
    <mergeCell ref="AF5:AF7"/>
    <mergeCell ref="AG5:AG7"/>
    <mergeCell ref="AH5:AH7"/>
    <mergeCell ref="Z5:Z7"/>
    <mergeCell ref="X5:X7"/>
    <mergeCell ref="Y5:Y7"/>
    <mergeCell ref="M5:M7"/>
    <mergeCell ref="O5:O7"/>
    <mergeCell ref="S5:S7"/>
    <mergeCell ref="W5:W7"/>
    <mergeCell ref="P5:P7"/>
    <mergeCell ref="R5:R7"/>
    <mergeCell ref="Q5:Q7"/>
    <mergeCell ref="N5:N7"/>
    <mergeCell ref="A5:A7"/>
    <mergeCell ref="L5:L7"/>
    <mergeCell ref="E5:E7"/>
    <mergeCell ref="F5:F7"/>
    <mergeCell ref="G5:G7"/>
    <mergeCell ref="K5:K7"/>
    <mergeCell ref="B5:B7"/>
    <mergeCell ref="C5:C7"/>
    <mergeCell ref="D5:D7"/>
    <mergeCell ref="I5:I7"/>
    <mergeCell ref="J5:J7"/>
    <mergeCell ref="H5:H7"/>
    <mergeCell ref="A1:AT1"/>
    <mergeCell ref="Q2:AT2"/>
    <mergeCell ref="Q3:AT4"/>
    <mergeCell ref="A4:C4"/>
    <mergeCell ref="D4:F4"/>
    <mergeCell ref="G4:J4"/>
    <mergeCell ref="K4:P4"/>
    <mergeCell ref="A2:C2"/>
    <mergeCell ref="D2:F2"/>
    <mergeCell ref="G2:J2"/>
    <mergeCell ref="K2:P2"/>
    <mergeCell ref="A3:C3"/>
    <mergeCell ref="D3:F3"/>
    <mergeCell ref="G3:J3"/>
    <mergeCell ref="K3:P3"/>
  </mergeCells>
  <pageMargins left="0.645669291338609" right="0.645669291338609" top="0.236220472440945" bottom="0.236220472440945" header="0.236220472440945" footer="0.236220472440945"/>
  <pageSetup fitToHeight="0" orientation="landscape" paperSize="9" scale="10" r:id="rId1"/>
  <rowBreaks count="1" manualBreakCount="1">
    <brk id="17" max="255" man="1"/>
  </rowBreaks>
  <colBreaks count="2" manualBreakCount="2">
    <brk id="5" max="16" man="1"/>
    <brk id="28" max="16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012E1-7436-4BBE-BCD3-2F42492C40D1}">
  <sheetPr codeName="Sheet12"/>
  <dimension ref="A1:AMF15"/>
  <sheetViews>
    <sheetView workbookViewId="0" topLeftCell="OF1">
      <selection pane="topLeft" activeCell="OQ5" sqref="OQ5"/>
    </sheetView>
  </sheetViews>
  <sheetFormatPr defaultColWidth="4.6640625" defaultRowHeight="13.5"/>
  <cols>
    <col min="1" max="3" width="5.71428571428571" bestFit="1" customWidth="1"/>
    <col min="4" max="5" width="9.14285714285714" customWidth="1"/>
    <col min="6" max="6" width="12.4285714285714" customWidth="1"/>
    <col min="7" max="7" width="11.1428571428571" customWidth="1"/>
    <col min="8" max="8" width="20" customWidth="1"/>
    <col min="9" max="9" width="16.7142857142857" customWidth="1"/>
    <col min="10" max="23" width="4.71428571428571" style="73"/>
    <col min="24" max="25" width="5" style="73" bestFit="1" customWidth="1"/>
    <col min="26" max="77" width="4.71428571428571" style="73"/>
    <col min="78" max="94" width="5" customWidth="1"/>
    <col min="95" max="102" width="4.71428571428571" style="73"/>
    <col min="103" max="103" width="5" style="73" bestFit="1" customWidth="1"/>
    <col min="104" max="130" width="4.71428571428571" style="73"/>
    <col min="131" max="131" width="6.71428571428571" style="73" bestFit="1" customWidth="1"/>
    <col min="132" max="138" width="4.71428571428571" style="73"/>
    <col min="139" max="139" width="5" style="73" bestFit="1" customWidth="1"/>
    <col min="140" max="175" width="4.71428571428571" style="73"/>
    <col min="176" max="176" width="5" style="73" bestFit="1" customWidth="1"/>
    <col min="177" max="224" width="4.71428571428571" style="73"/>
    <col min="225" max="225" width="5" style="73" bestFit="1" customWidth="1"/>
    <col min="226" max="238" width="4.71428571428571" style="73"/>
    <col min="239" max="239" width="5" style="73" bestFit="1" customWidth="1"/>
    <col min="240" max="242" width="4.71428571428571" style="73"/>
    <col min="243" max="243" width="4.71428571428571" style="73" customWidth="1"/>
    <col min="244" max="252" width="4.71428571428571" style="73"/>
    <col min="253" max="253" width="4.85714285714286" style="73" customWidth="1"/>
    <col min="254" max="257" width="4.71428571428571" style="73"/>
    <col min="258" max="258" width="5" style="73" bestFit="1" customWidth="1"/>
    <col min="259" max="259" width="4.71428571428571" style="73"/>
    <col min="260" max="260" width="4.71428571428571" style="73" customWidth="1"/>
    <col min="261" max="275" width="4.71428571428571" style="73"/>
    <col min="276" max="278" width="5" style="73" bestFit="1" customWidth="1"/>
    <col min="279" max="288" width="4.71428571428571" style="73"/>
    <col min="289" max="289" width="5" style="73" bestFit="1" customWidth="1"/>
    <col min="290" max="293" width="4.71428571428571" style="73"/>
    <col min="294" max="294" width="5" style="73" bestFit="1" customWidth="1"/>
    <col min="295" max="303" width="4.71428571428571" style="73"/>
    <col min="304" max="304" width="5" style="73" bestFit="1" customWidth="1"/>
    <col min="305" max="320" width="4.71428571428571" style="73"/>
    <col min="321" max="321" width="5" style="73" bestFit="1" customWidth="1"/>
    <col min="322" max="350" width="4.71428571428571" style="73"/>
    <col min="351" max="351" width="5" style="73" bestFit="1" customWidth="1"/>
    <col min="352" max="357" width="4.71428571428571" style="73"/>
    <col min="358" max="358" width="5" style="73" bestFit="1" customWidth="1"/>
    <col min="359" max="366" width="4.71428571428571" style="73"/>
    <col min="367" max="367" width="5" style="73" bestFit="1" customWidth="1"/>
    <col min="368" max="403" width="4.71428571428571" style="73"/>
    <col min="404" max="405" width="4.71428571428571" style="73" customWidth="1"/>
    <col min="406" max="406" width="4.71428571428571" style="73"/>
    <col min="407" max="409" width="4.71428571428571" style="48" bestFit="1" customWidth="1"/>
    <col min="410" max="410" width="4.71428571428571" style="73" customWidth="1"/>
    <col min="411" max="411" width="8.42857142857143" style="73" bestFit="1" customWidth="1"/>
    <col min="412" max="412" width="4.71428571428571" style="73" customWidth="1"/>
    <col min="413" max="413" width="4.71428571428571" style="73"/>
    <col min="414" max="414" width="4.42857142857143" style="73" customWidth="1"/>
    <col min="415" max="485" width="4.71428571428571" style="73"/>
    <col min="486" max="486" width="11.4285714285714" style="73" customWidth="1"/>
    <col min="487" max="487" width="30.7142857142857" style="73" customWidth="1"/>
    <col min="488" max="665" width="4.71428571428571" style="73"/>
    <col min="666" max="666" width="4.71428571428571" style="73" customWidth="1"/>
    <col min="667" max="667" width="4.71428571428571" style="73"/>
    <col min="668" max="668" width="5" customWidth="1"/>
    <col min="669" max="700" width="4.71428571428571" style="73"/>
    <col min="701" max="701" width="4.71428571428571" style="73" customWidth="1"/>
    <col min="702" max="735" width="4.71428571428571" style="73"/>
    <col min="736" max="736" width="4.85714285714286" style="73" customWidth="1"/>
    <col min="737" max="739" width="4.71428571428571" style="73"/>
    <col min="740" max="740" width="5.42857142857143" style="73" customWidth="1"/>
    <col min="741" max="757" width="4.71428571428571" style="73"/>
    <col min="758" max="758" width="9.85714285714286" style="73" bestFit="1" customWidth="1"/>
    <col min="759" max="759" width="12.2857142857143" style="73" customWidth="1"/>
    <col min="760" max="760" width="12.5714285714286" style="73" customWidth="1"/>
    <col min="761" max="761" width="13.7142857142857" style="73" customWidth="1"/>
    <col min="762" max="763" width="10.7142857142857" style="73" customWidth="1"/>
    <col min="764" max="764" width="5" customWidth="1"/>
  </cols>
  <sheetData>
    <row r="1" spans="4:1020" s="146" customFormat="1" ht="55.95" customHeight="1">
      <c r="D1" s="136"/>
      <c r="E1" s="136"/>
      <c r="F1" s="136"/>
      <c r="G1" s="136"/>
      <c r="H1" s="136"/>
      <c r="I1" s="136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8"/>
      <c r="AU1" s="138"/>
      <c r="AV1" s="137"/>
      <c r="AW1" s="137"/>
      <c r="AX1" s="137"/>
      <c r="AY1" s="137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41"/>
      <c r="CA1" s="141"/>
      <c r="CB1" s="141"/>
      <c r="CC1" s="141"/>
      <c r="CD1" s="141"/>
      <c r="CE1" s="141"/>
      <c r="CF1" s="141"/>
      <c r="CG1" s="141"/>
      <c r="CH1" s="141"/>
      <c r="CI1" s="141"/>
      <c r="CJ1" s="141"/>
      <c r="CK1" s="141"/>
      <c r="CL1" s="141"/>
      <c r="CM1" s="141"/>
      <c r="CN1" s="141"/>
      <c r="CO1" s="141"/>
      <c r="CP1" s="141"/>
      <c r="CQ1" s="138"/>
      <c r="CR1" s="138"/>
      <c r="CS1" s="137"/>
      <c r="CT1" s="137"/>
      <c r="CU1" s="137"/>
      <c r="CV1" s="137"/>
      <c r="CW1" s="137"/>
      <c r="CX1" s="137"/>
      <c r="CY1" s="137"/>
      <c r="CZ1" s="137"/>
      <c r="DA1" s="137"/>
      <c r="DB1" s="137"/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7"/>
      <c r="DX1" s="137"/>
      <c r="DY1" s="137"/>
      <c r="DZ1" s="137"/>
      <c r="EA1" s="137"/>
      <c r="EB1" s="137"/>
      <c r="EC1" s="137"/>
      <c r="ED1" s="137"/>
      <c r="EE1" s="137"/>
      <c r="EF1" s="137"/>
      <c r="EG1" s="137"/>
      <c r="EH1" s="137"/>
      <c r="EI1" s="137"/>
      <c r="EJ1" s="137"/>
      <c r="EK1" s="137"/>
      <c r="EL1" s="137"/>
      <c r="EM1" s="137"/>
      <c r="EN1" s="137"/>
      <c r="EO1" s="137"/>
      <c r="EP1" s="137"/>
      <c r="EQ1" s="138"/>
      <c r="ER1" s="138"/>
      <c r="ES1" s="137"/>
      <c r="ET1" s="137"/>
      <c r="EU1" s="137"/>
      <c r="EV1" s="137"/>
      <c r="EW1" s="137"/>
      <c r="EX1" s="137"/>
      <c r="EY1" s="137"/>
      <c r="EZ1" s="137"/>
      <c r="FA1" s="138"/>
      <c r="FB1" s="138"/>
      <c r="FC1" s="137"/>
      <c r="FD1" s="137"/>
      <c r="FE1" s="139"/>
      <c r="FF1" s="139"/>
      <c r="FG1" s="139"/>
      <c r="FH1" s="139"/>
      <c r="FI1" s="139"/>
      <c r="FJ1" s="137"/>
      <c r="FK1" s="138"/>
      <c r="FL1" s="138"/>
      <c r="FM1" s="138"/>
      <c r="FN1" s="137"/>
      <c r="FO1" s="137"/>
      <c r="FP1" s="137"/>
      <c r="FQ1" s="137"/>
      <c r="FR1" s="137"/>
      <c r="FS1" s="137"/>
      <c r="FT1" s="137"/>
      <c r="FU1" s="138"/>
      <c r="FV1" s="138"/>
      <c r="FW1" s="138"/>
      <c r="FX1" s="137"/>
      <c r="FY1" s="137"/>
      <c r="FZ1" s="137"/>
      <c r="GA1" s="137"/>
      <c r="GB1" s="137"/>
      <c r="GC1" s="137"/>
      <c r="GD1" s="137"/>
      <c r="GE1" s="137"/>
      <c r="GF1" s="137"/>
      <c r="GG1" s="137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7"/>
      <c r="GX1" s="137"/>
      <c r="GY1" s="137"/>
      <c r="GZ1" s="137"/>
      <c r="HA1" s="138"/>
      <c r="HB1" s="138"/>
      <c r="HC1" s="137"/>
      <c r="HD1" s="137"/>
      <c r="HE1" s="137"/>
      <c r="HF1" s="137"/>
      <c r="HG1" s="137"/>
      <c r="HH1" s="137"/>
      <c r="HI1" s="137"/>
      <c r="HJ1" s="137"/>
      <c r="HK1" s="137"/>
      <c r="HL1" s="137"/>
      <c r="HM1" s="138"/>
      <c r="HN1" s="138"/>
      <c r="HO1" s="138"/>
      <c r="HP1" s="138"/>
      <c r="HQ1" s="138"/>
      <c r="HR1" s="137"/>
      <c r="HS1" s="137"/>
      <c r="HT1" s="137"/>
      <c r="HU1" s="137"/>
      <c r="HV1" s="137"/>
      <c r="HW1" s="137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7"/>
      <c r="IP1" s="137"/>
      <c r="IQ1" s="137"/>
      <c r="IR1" s="137"/>
      <c r="IS1" s="137"/>
      <c r="IT1" s="137"/>
      <c r="IU1" s="137"/>
      <c r="IV1" s="137"/>
      <c r="IW1" s="137"/>
      <c r="IX1" s="137"/>
      <c r="IY1" s="137"/>
      <c r="IZ1" s="137"/>
      <c r="JA1" s="137"/>
      <c r="JB1" s="137"/>
      <c r="JC1" s="137"/>
      <c r="JD1" s="137"/>
      <c r="JE1" s="137"/>
      <c r="JF1" s="137"/>
      <c r="JG1" s="137"/>
      <c r="JH1" s="137"/>
      <c r="JI1" s="137"/>
      <c r="JJ1" s="137"/>
      <c r="JK1" s="137"/>
      <c r="JL1" s="137"/>
      <c r="JM1" s="137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8"/>
      <c r="KG1" s="138"/>
      <c r="KH1" s="138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8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8"/>
      <c r="LY1" s="138"/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7"/>
      <c r="MS1" s="137"/>
      <c r="MT1" s="137"/>
      <c r="MU1" s="137"/>
      <c r="MV1" s="138"/>
      <c r="MW1" s="138"/>
      <c r="MX1" s="137"/>
      <c r="MY1" s="137"/>
      <c r="MZ1" s="137"/>
      <c r="NA1" s="137"/>
      <c r="NB1" s="137"/>
      <c r="NC1" s="137"/>
      <c r="ND1" s="138"/>
      <c r="NE1" s="138"/>
      <c r="NF1" s="138"/>
      <c r="NG1" s="138"/>
      <c r="NH1" s="138"/>
      <c r="NI1" s="138"/>
      <c r="NJ1" s="138"/>
      <c r="NK1" s="138"/>
      <c r="NL1" s="138"/>
      <c r="NM1" s="138"/>
      <c r="NN1" s="138"/>
      <c r="NO1" s="138"/>
      <c r="NP1" s="138"/>
      <c r="NQ1" s="138"/>
      <c r="NR1" s="138"/>
      <c r="NS1" s="138"/>
      <c r="NT1" s="138"/>
      <c r="NU1" s="138"/>
      <c r="NV1" s="138"/>
      <c r="NW1" s="138"/>
      <c r="NX1" s="138"/>
      <c r="NY1" s="138"/>
      <c r="NZ1" s="138"/>
      <c r="OA1" s="138"/>
      <c r="OB1" s="138"/>
      <c r="OC1" s="138"/>
      <c r="OD1" s="138"/>
      <c r="OE1" s="138"/>
      <c r="OF1" s="138"/>
      <c r="OG1" s="138"/>
      <c r="OH1" s="138"/>
      <c r="OI1" s="138"/>
      <c r="OJ1" s="138"/>
      <c r="OK1" s="138"/>
      <c r="OL1" s="138"/>
      <c r="OM1" s="138"/>
      <c r="ON1" s="140"/>
      <c r="OO1" s="140"/>
      <c r="OP1" s="140"/>
      <c r="OQ1" s="140"/>
      <c r="OR1" s="140"/>
      <c r="OS1" s="140"/>
      <c r="OT1" s="138"/>
      <c r="OU1" s="138"/>
      <c r="OV1" s="138"/>
      <c r="OW1" s="136"/>
      <c r="OX1" s="138"/>
      <c r="OY1" s="138"/>
      <c r="OZ1" s="138"/>
      <c r="PA1" s="138"/>
      <c r="PB1" s="138"/>
      <c r="PC1" s="138"/>
      <c r="PD1" s="138"/>
      <c r="PE1" s="138"/>
      <c r="PF1" s="138"/>
      <c r="PG1" s="138"/>
      <c r="PH1" s="138"/>
      <c r="PI1" s="138"/>
      <c r="PJ1" s="138"/>
      <c r="PK1" s="138"/>
      <c r="PL1" s="138"/>
      <c r="PM1" s="138"/>
      <c r="PN1" s="138"/>
      <c r="PO1" s="138"/>
      <c r="PP1" s="138"/>
      <c r="PQ1" s="138"/>
      <c r="PR1" s="138"/>
      <c r="PS1" s="138"/>
      <c r="PT1" s="138"/>
      <c r="PU1" s="138"/>
      <c r="PV1" s="138"/>
      <c r="PW1" s="138"/>
      <c r="PX1" s="138"/>
      <c r="PY1" s="138"/>
      <c r="PZ1" s="138"/>
      <c r="QA1" s="138"/>
      <c r="QB1" s="138"/>
      <c r="QC1" s="138"/>
      <c r="QD1" s="138"/>
      <c r="QE1" s="138"/>
      <c r="QF1" s="138"/>
      <c r="QG1" s="138"/>
      <c r="QH1" s="138"/>
      <c r="QI1" s="138"/>
      <c r="QJ1" s="138"/>
      <c r="QK1" s="138"/>
      <c r="QL1" s="138"/>
      <c r="QM1" s="138"/>
      <c r="QN1" s="138"/>
      <c r="QO1" s="138"/>
      <c r="QP1" s="138"/>
      <c r="QQ1" s="138"/>
      <c r="QR1" s="138"/>
      <c r="QS1" s="138"/>
      <c r="QT1" s="138"/>
      <c r="QU1" s="138"/>
      <c r="QV1" s="138"/>
      <c r="QW1" s="138"/>
      <c r="QX1" s="138"/>
      <c r="QY1" s="138"/>
      <c r="QZ1" s="138"/>
      <c r="RA1" s="138"/>
      <c r="RB1" s="138"/>
      <c r="RC1" s="138"/>
      <c r="RD1" s="138"/>
      <c r="RE1" s="138"/>
      <c r="RF1" s="138"/>
      <c r="RG1" s="138"/>
      <c r="RH1" s="138"/>
      <c r="RI1" s="138"/>
      <c r="RJ1" s="138"/>
      <c r="RK1" s="138"/>
      <c r="RL1" s="138"/>
      <c r="RM1" s="138"/>
      <c r="RN1" s="138"/>
      <c r="RO1" s="138"/>
      <c r="RP1" s="138"/>
      <c r="RQ1" s="138"/>
      <c r="RR1" s="138"/>
      <c r="RS1" s="138"/>
      <c r="RT1" s="138"/>
      <c r="RU1" s="138"/>
      <c r="RV1" s="138"/>
      <c r="RW1" s="138"/>
      <c r="RX1" s="138"/>
      <c r="RY1" s="138"/>
      <c r="RZ1" s="138"/>
      <c r="SA1" s="138"/>
      <c r="SB1" s="138"/>
      <c r="SC1" s="138"/>
      <c r="SD1" s="138"/>
      <c r="SE1" s="138"/>
      <c r="SF1" s="138"/>
      <c r="SG1" s="138"/>
      <c r="SH1" s="138"/>
      <c r="SI1" s="138"/>
      <c r="SJ1" s="138"/>
      <c r="SK1" s="138"/>
      <c r="SL1" s="138"/>
      <c r="SM1" s="138"/>
      <c r="SN1" s="138"/>
      <c r="SO1" s="138"/>
      <c r="SP1" s="138"/>
      <c r="SQ1" s="138"/>
      <c r="SR1" s="138"/>
      <c r="SS1" s="138"/>
      <c r="ST1" s="138"/>
      <c r="SU1" s="138"/>
      <c r="SV1" s="138"/>
      <c r="SW1" s="138"/>
      <c r="SX1" s="138"/>
      <c r="SY1" s="138"/>
      <c r="SZ1" s="138"/>
      <c r="TA1" s="138"/>
      <c r="TB1" s="138"/>
      <c r="TC1" s="138"/>
      <c r="TD1" s="138"/>
      <c r="TE1" s="138"/>
      <c r="TF1" s="138"/>
      <c r="TG1" s="138"/>
      <c r="TH1" s="138"/>
      <c r="TI1" s="138"/>
      <c r="TJ1" s="138"/>
      <c r="TK1" s="138"/>
      <c r="TL1" s="138"/>
      <c r="TM1" s="138"/>
      <c r="TN1" s="138"/>
      <c r="TO1" s="138"/>
      <c r="TP1" s="138"/>
      <c r="TQ1" s="138"/>
      <c r="TR1" s="138"/>
      <c r="TS1" s="138"/>
      <c r="TT1" s="138"/>
      <c r="TU1" s="138"/>
      <c r="TV1" s="138"/>
      <c r="TW1" s="138"/>
      <c r="TX1" s="138"/>
      <c r="TY1" s="138"/>
      <c r="TZ1" s="138"/>
      <c r="UA1" s="138"/>
      <c r="UB1" s="138"/>
      <c r="UC1" s="138"/>
      <c r="UD1" s="138"/>
      <c r="UE1" s="138"/>
      <c r="UF1" s="138"/>
      <c r="UG1" s="138"/>
      <c r="UH1" s="138"/>
      <c r="UI1" s="138"/>
      <c r="UJ1" s="138"/>
      <c r="UK1" s="138"/>
      <c r="UL1" s="138"/>
      <c r="UM1" s="138"/>
      <c r="UN1" s="138"/>
      <c r="UO1" s="138"/>
      <c r="UP1" s="138"/>
      <c r="UQ1" s="138"/>
      <c r="UR1" s="138"/>
      <c r="US1" s="138"/>
      <c r="UT1" s="138"/>
      <c r="UU1" s="138"/>
      <c r="UV1" s="138"/>
      <c r="UW1" s="138"/>
      <c r="UX1" s="138"/>
      <c r="UY1" s="138"/>
      <c r="UZ1" s="138"/>
      <c r="VA1" s="138"/>
      <c r="VB1" s="138"/>
      <c r="VC1" s="138"/>
      <c r="VD1" s="138"/>
      <c r="VE1" s="138"/>
      <c r="VF1" s="138"/>
      <c r="VG1" s="138"/>
      <c r="VH1" s="138"/>
      <c r="VI1" s="138"/>
      <c r="VJ1" s="138"/>
      <c r="VK1" s="138"/>
      <c r="VL1" s="138"/>
      <c r="VM1" s="138"/>
      <c r="VN1" s="138"/>
      <c r="VO1" s="138"/>
      <c r="VP1" s="138"/>
      <c r="VQ1" s="138"/>
      <c r="VR1" s="138"/>
      <c r="VS1" s="138"/>
      <c r="VT1" s="138"/>
      <c r="VU1" s="138"/>
      <c r="VV1" s="138"/>
      <c r="VW1" s="138"/>
      <c r="VX1" s="138"/>
      <c r="VY1" s="138"/>
      <c r="VZ1" s="138"/>
      <c r="WA1" s="138"/>
      <c r="WB1" s="138"/>
      <c r="WC1" s="138"/>
      <c r="WD1" s="138"/>
      <c r="WE1" s="138"/>
      <c r="WF1" s="138"/>
      <c r="WG1" s="138"/>
      <c r="WH1" s="138"/>
      <c r="WI1" s="138"/>
      <c r="WJ1" s="138"/>
      <c r="WK1" s="138"/>
      <c r="WL1" s="138"/>
      <c r="WM1" s="138"/>
      <c r="WN1" s="138"/>
      <c r="WO1" s="138"/>
      <c r="WP1" s="138"/>
      <c r="WQ1" s="138"/>
      <c r="WR1" s="138"/>
      <c r="WS1" s="138"/>
      <c r="WT1" s="138"/>
      <c r="WU1" s="138"/>
      <c r="WV1" s="138"/>
      <c r="WW1" s="138"/>
      <c r="WX1" s="138"/>
      <c r="WY1" s="138"/>
      <c r="WZ1" s="138"/>
      <c r="XA1" s="138"/>
      <c r="XB1" s="138"/>
      <c r="XC1" s="138"/>
      <c r="XD1" s="138"/>
      <c r="XE1" s="138"/>
      <c r="XF1" s="138"/>
      <c r="XG1" s="138"/>
      <c r="XH1" s="138"/>
      <c r="XI1" s="138"/>
      <c r="XJ1" s="138"/>
      <c r="XK1" s="138"/>
      <c r="XL1" s="138"/>
      <c r="XM1" s="138"/>
      <c r="XN1" s="138"/>
      <c r="XO1" s="138"/>
      <c r="XP1" s="138"/>
      <c r="XQ1" s="138"/>
      <c r="XR1" s="138"/>
      <c r="XS1" s="138"/>
      <c r="XT1" s="138"/>
      <c r="XU1" s="138"/>
      <c r="XV1" s="138"/>
      <c r="XW1" s="138"/>
      <c r="XX1" s="138"/>
      <c r="XY1" s="138"/>
      <c r="XZ1" s="138"/>
      <c r="YA1" s="138"/>
      <c r="YB1" s="138"/>
      <c r="YC1" s="138"/>
      <c r="YD1" s="138"/>
      <c r="YE1" s="138"/>
      <c r="YF1" s="138"/>
      <c r="YG1" s="138"/>
      <c r="YH1" s="138"/>
      <c r="YI1" s="138"/>
      <c r="YJ1" s="138"/>
      <c r="YK1" s="138"/>
      <c r="YL1" s="138"/>
      <c r="YM1" s="138"/>
      <c r="YN1" s="138"/>
      <c r="YO1" s="138"/>
      <c r="YP1" s="138"/>
      <c r="YQ1" s="138"/>
      <c r="YR1" s="138"/>
      <c r="YS1" s="138"/>
      <c r="YT1" s="138"/>
      <c r="YU1" s="138"/>
      <c r="YV1" s="138"/>
      <c r="YW1" s="138"/>
      <c r="YX1" s="138"/>
      <c r="YY1" s="138"/>
      <c r="YZ1" s="138"/>
      <c r="ZA1" s="138"/>
      <c r="ZB1" s="138"/>
      <c r="ZC1" s="138"/>
      <c r="ZD1" s="138"/>
      <c r="ZE1" s="138"/>
      <c r="ZF1" s="138"/>
      <c r="ZG1" s="138"/>
      <c r="ZH1" s="138"/>
      <c r="ZI1" s="138"/>
      <c r="ZJ1" s="138"/>
      <c r="ZK1" s="138"/>
      <c r="ZL1" s="138"/>
      <c r="ZM1" s="138"/>
      <c r="ZN1" s="138"/>
      <c r="ZO1" s="138"/>
      <c r="ZP1" s="138"/>
      <c r="ZQ1" s="138"/>
      <c r="ZR1" s="138"/>
      <c r="ZS1" s="138"/>
      <c r="ZT1" s="138"/>
      <c r="ZU1" s="138"/>
      <c r="ZV1" s="138"/>
      <c r="ZW1" s="138"/>
      <c r="ZX1" s="138"/>
      <c r="ZY1" s="138"/>
      <c r="ZZ1" s="138"/>
      <c r="AAA1" s="138"/>
      <c r="AAB1" s="138"/>
      <c r="AAC1" s="138"/>
      <c r="AAD1" s="138"/>
      <c r="AAE1" s="138"/>
      <c r="AAF1" s="138"/>
      <c r="AAG1" s="138"/>
      <c r="AAH1" s="138"/>
      <c r="AAI1" s="138"/>
      <c r="AAJ1" s="138"/>
      <c r="AAK1" s="138"/>
      <c r="AAL1" s="138"/>
      <c r="AAM1" s="138"/>
      <c r="AAN1" s="138"/>
      <c r="AAO1" s="138"/>
      <c r="AAP1" s="138"/>
      <c r="AAQ1" s="138"/>
      <c r="AAR1" s="138"/>
      <c r="AAS1" s="138"/>
      <c r="AAT1" s="138"/>
      <c r="AAU1" s="138"/>
      <c r="AAV1" s="138"/>
      <c r="AAW1" s="138"/>
      <c r="AAX1" s="138"/>
      <c r="AAY1" s="138"/>
      <c r="AAZ1" s="138"/>
      <c r="ABA1" s="138"/>
      <c r="ABB1" s="138"/>
      <c r="ABC1" s="138"/>
      <c r="ABD1" s="138"/>
      <c r="ABE1" s="138"/>
      <c r="ABF1" s="138"/>
      <c r="ABG1" s="138"/>
      <c r="ABH1" s="138"/>
      <c r="ABI1" s="138"/>
      <c r="ABJ1" s="138"/>
      <c r="ABK1" s="138"/>
      <c r="ABL1" s="138"/>
      <c r="ABM1" s="138"/>
      <c r="ABN1" s="138"/>
      <c r="ABO1" s="138"/>
      <c r="ABP1" s="138"/>
      <c r="ABQ1" s="138"/>
      <c r="ABR1" s="138"/>
      <c r="ABS1" s="138"/>
      <c r="ABT1" s="138"/>
      <c r="ABU1" s="138"/>
      <c r="ABV1" s="138"/>
      <c r="ABW1" s="138"/>
      <c r="ABX1" s="138"/>
      <c r="ABY1" s="138"/>
      <c r="ABZ1" s="138"/>
      <c r="ACA1" s="138"/>
      <c r="ACB1" s="138"/>
      <c r="ACC1" s="138"/>
      <c r="ACD1" s="138"/>
      <c r="ACE1" s="138"/>
      <c r="ACF1" s="138"/>
      <c r="ACG1" s="138"/>
      <c r="ACH1" s="138"/>
      <c r="ACI1" s="138"/>
      <c r="ACJ1" s="138"/>
      <c r="ACK1" s="136"/>
      <c r="ACL1" s="136"/>
      <c r="ACM1" s="136"/>
      <c r="ACN1" s="136"/>
      <c r="ACO1" s="136"/>
      <c r="ACP1" s="136"/>
      <c r="ACQ1" s="136"/>
      <c r="ACR1" s="136"/>
      <c r="ACS1" s="136"/>
      <c r="ACT1" s="136"/>
      <c r="ACU1" s="136"/>
      <c r="ACV1" s="136"/>
      <c r="ACW1" s="136"/>
      <c r="ACX1" s="136"/>
      <c r="ACY1" s="136"/>
      <c r="ACZ1" s="136"/>
      <c r="ADA1" s="136"/>
      <c r="ADB1" s="136"/>
      <c r="ADC1" s="136"/>
      <c r="ADD1" s="136"/>
      <c r="ADE1" s="136"/>
      <c r="ADF1" s="136"/>
      <c r="ADG1" s="136"/>
      <c r="ADH1" s="136"/>
      <c r="ADI1" s="136"/>
      <c r="ADJ1" s="136"/>
      <c r="ADK1" s="136"/>
      <c r="ADL1" s="136"/>
      <c r="ADM1" s="136"/>
      <c r="ADN1" s="136"/>
      <c r="ADO1" s="136"/>
      <c r="ADP1" s="136"/>
      <c r="ADQ1" s="136"/>
      <c r="ADR1" s="136"/>
      <c r="ADS1" s="136"/>
      <c r="ADT1" s="136"/>
      <c r="ADU1" s="136"/>
      <c r="ADV1" s="136"/>
      <c r="ADW1" s="136"/>
      <c r="ADX1" s="136"/>
      <c r="ADY1" s="136"/>
      <c r="ADZ1" s="136"/>
      <c r="AEA1" s="136"/>
      <c r="AEB1" s="136"/>
      <c r="AEC1" s="136"/>
      <c r="AED1" s="136"/>
      <c r="AEE1" s="136"/>
      <c r="AEF1" s="136"/>
      <c r="AEG1" s="136"/>
      <c r="AEH1" s="136"/>
      <c r="AEI1" s="136"/>
      <c r="AEJ1" s="136"/>
      <c r="AEK1" s="136"/>
      <c r="AEL1" s="136"/>
      <c r="AEM1" s="136"/>
      <c r="AEN1" s="136"/>
      <c r="AEO1" s="136"/>
      <c r="AEP1" s="136"/>
      <c r="AEQ1" s="136"/>
      <c r="AER1" s="136"/>
      <c r="AES1" s="136"/>
      <c r="AET1" s="136"/>
      <c r="AEU1" s="136"/>
      <c r="AEV1" s="136"/>
      <c r="AEW1" s="136"/>
      <c r="AEX1" s="136"/>
      <c r="AEY1" s="136"/>
      <c r="AEZ1" s="136"/>
      <c r="AFA1" s="136"/>
      <c r="AFB1" s="136"/>
      <c r="AFC1" s="136"/>
      <c r="AFD1" s="136"/>
      <c r="AFE1" s="136"/>
      <c r="AFF1" s="136"/>
      <c r="AFG1" s="136"/>
      <c r="AFH1" s="136"/>
      <c r="AFI1" s="136"/>
      <c r="AFJ1" s="136"/>
      <c r="AFK1" s="136"/>
      <c r="AFL1" s="136"/>
      <c r="AFM1" s="136"/>
      <c r="AFN1" s="136"/>
      <c r="AFO1" s="136"/>
      <c r="AFP1" s="136"/>
      <c r="AFQ1" s="136"/>
      <c r="AFR1" s="136"/>
      <c r="AFS1" s="136"/>
      <c r="AFT1" s="136"/>
      <c r="AFU1" s="136"/>
      <c r="AFV1" s="136"/>
      <c r="AFW1" s="136"/>
      <c r="AFX1" s="136"/>
      <c r="AFY1" s="136"/>
      <c r="AFZ1" s="136"/>
      <c r="AGA1" s="136"/>
      <c r="AGB1" s="136"/>
      <c r="AGC1" s="136"/>
      <c r="AGD1" s="136"/>
      <c r="AGE1" s="136"/>
      <c r="AGF1" s="136"/>
      <c r="AGG1" s="136"/>
      <c r="AGH1" s="136"/>
      <c r="AGI1" s="136"/>
      <c r="AGJ1" s="136"/>
      <c r="AGK1" s="136"/>
      <c r="AGL1" s="136"/>
      <c r="AGM1" s="136"/>
      <c r="AGN1" s="136"/>
      <c r="AGO1" s="136"/>
      <c r="AGP1" s="136"/>
      <c r="AGQ1" s="136"/>
      <c r="AGR1" s="136"/>
      <c r="AGS1" s="136"/>
      <c r="AGT1" s="136"/>
      <c r="AGU1" s="136"/>
      <c r="AGV1" s="136"/>
      <c r="AGW1" s="136"/>
      <c r="AGX1" s="136"/>
      <c r="AGY1" s="136"/>
      <c r="AGZ1" s="136"/>
      <c r="AHA1" s="136"/>
      <c r="AHB1" s="136"/>
      <c r="AHC1" s="136"/>
      <c r="AHD1" s="136"/>
      <c r="AHE1" s="136"/>
      <c r="AHF1" s="136"/>
      <c r="AHG1" s="136"/>
      <c r="AHH1" s="136"/>
      <c r="AHI1" s="136"/>
      <c r="AHJ1" s="136"/>
      <c r="AHK1" s="136"/>
      <c r="AHL1" s="136"/>
      <c r="AHM1" s="136"/>
      <c r="AHN1" s="136"/>
      <c r="AHO1" s="136"/>
      <c r="AHP1" s="136"/>
      <c r="AHQ1" s="136"/>
      <c r="AHR1" s="136"/>
      <c r="AHS1" s="136"/>
      <c r="AHT1" s="136"/>
      <c r="AHU1" s="136"/>
      <c r="AHV1" s="136"/>
      <c r="AHW1" s="136"/>
      <c r="AHX1" s="136"/>
      <c r="AHY1" s="136"/>
      <c r="AHZ1" s="136"/>
      <c r="AIA1" s="136"/>
      <c r="AIB1" s="136"/>
      <c r="AIC1" s="136"/>
      <c r="AID1" s="136"/>
      <c r="AIE1" s="136"/>
      <c r="AIF1" s="136"/>
      <c r="AIG1" s="136"/>
      <c r="AIH1" s="136"/>
      <c r="AII1" s="136"/>
      <c r="AIJ1" s="136"/>
      <c r="AIK1" s="136"/>
      <c r="AIL1" s="136"/>
      <c r="AIM1" s="136"/>
      <c r="AIN1" s="136"/>
      <c r="AIO1" s="136"/>
      <c r="AIP1" s="136"/>
      <c r="AIQ1" s="136"/>
      <c r="AIR1" s="136"/>
      <c r="AIS1" s="136"/>
      <c r="AIT1" s="136"/>
      <c r="AIU1" s="136"/>
      <c r="AIV1" s="136"/>
      <c r="AIW1" s="136"/>
      <c r="AIX1" s="136"/>
      <c r="AIY1" s="136"/>
      <c r="AIZ1" s="136"/>
      <c r="AJA1" s="136"/>
      <c r="AJB1" s="136"/>
      <c r="AJC1" s="136"/>
      <c r="AJD1" s="136"/>
      <c r="AJE1" s="136"/>
      <c r="AJF1" s="136"/>
      <c r="AJG1" s="136"/>
      <c r="AJH1" s="136"/>
      <c r="AJI1" s="136"/>
      <c r="AJJ1" s="136"/>
      <c r="AJK1" s="136"/>
      <c r="AJL1" s="136"/>
      <c r="AJM1" s="136"/>
      <c r="AJN1" s="136"/>
      <c r="AJO1" s="136"/>
      <c r="AJP1" s="136"/>
      <c r="AJQ1" s="136"/>
      <c r="AJR1" s="136"/>
      <c r="AJS1" s="136"/>
      <c r="AJT1" s="136"/>
      <c r="AJU1" s="136"/>
      <c r="AJV1" s="136"/>
      <c r="AJW1" s="136"/>
      <c r="AJX1" s="136"/>
      <c r="AJY1" s="136"/>
      <c r="AJZ1" s="136"/>
      <c r="AKA1" s="136"/>
      <c r="AKB1" s="136"/>
      <c r="AKC1" s="136"/>
      <c r="AKD1" s="136"/>
      <c r="AKE1" s="136"/>
      <c r="AKF1" s="136"/>
      <c r="AKG1" s="136"/>
      <c r="AKH1" s="136"/>
      <c r="AKI1" s="136"/>
      <c r="AKJ1" s="136"/>
      <c r="AKK1" s="136"/>
      <c r="AKL1" s="136"/>
      <c r="AKM1" s="136"/>
      <c r="AKN1" s="136"/>
      <c r="AKO1" s="136"/>
      <c r="AKP1" s="136"/>
      <c r="AKQ1" s="136"/>
      <c r="AKR1" s="136"/>
      <c r="AKS1" s="136"/>
      <c r="AKT1" s="136"/>
      <c r="AKU1" s="136"/>
      <c r="AKV1" s="136"/>
      <c r="AKW1" s="136"/>
      <c r="AKX1" s="136"/>
      <c r="AKY1" s="136"/>
      <c r="AKZ1" s="136"/>
      <c r="ALA1" s="136"/>
      <c r="ALB1" s="136"/>
      <c r="ALC1" s="136"/>
      <c r="ALD1" s="136"/>
      <c r="ALE1" s="136"/>
      <c r="ALF1" s="136"/>
      <c r="ALG1" s="136"/>
      <c r="ALH1" s="136"/>
      <c r="ALI1" s="136"/>
      <c r="ALJ1" s="136"/>
      <c r="ALK1" s="136"/>
      <c r="ALL1" s="136"/>
      <c r="ALM1" s="136"/>
      <c r="ALN1" s="136"/>
      <c r="ALO1" s="136"/>
      <c r="ALP1" s="136"/>
      <c r="ALQ1" s="136"/>
      <c r="ALR1" s="136"/>
      <c r="ALS1" s="136"/>
      <c r="ALT1" s="136"/>
      <c r="ALU1" s="136"/>
      <c r="ALV1" s="136"/>
      <c r="ALW1" s="136"/>
      <c r="ALX1" s="136"/>
      <c r="ALY1" s="136"/>
      <c r="ALZ1" s="136"/>
      <c r="AMA1" s="136"/>
      <c r="AMB1" s="136"/>
      <c r="AMC1" s="136"/>
      <c r="AMD1" s="136"/>
      <c r="AME1" s="136"/>
      <c r="AMF1" s="145"/>
    </row>
    <row r="2" spans="1:1020" s="148" customFormat="1" ht="12.6" customHeight="1">
      <c r="A2" s="164"/>
      <c r="B2" s="164"/>
      <c r="C2" s="164"/>
      <c r="D2" s="319"/>
      <c r="E2" s="320"/>
      <c r="F2" s="320"/>
      <c r="G2" s="320"/>
      <c r="H2" s="320"/>
      <c r="I2" s="320"/>
      <c r="J2" s="304" t="s">
        <v>524</v>
      </c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6"/>
      <c r="AA2" s="307" t="s">
        <v>525</v>
      </c>
      <c r="AB2" s="307"/>
      <c r="AC2" s="307"/>
      <c r="AD2" s="307"/>
      <c r="AE2" s="307"/>
      <c r="AF2" s="307"/>
      <c r="AG2" s="307"/>
      <c r="AH2" s="307"/>
      <c r="AI2" s="307"/>
      <c r="AJ2" s="307"/>
      <c r="AK2" s="307"/>
      <c r="AL2" s="307"/>
      <c r="AM2" s="307"/>
      <c r="AN2" s="307"/>
      <c r="AO2" s="307"/>
      <c r="AP2" s="307"/>
      <c r="AQ2" s="308"/>
      <c r="AR2" s="309" t="s">
        <v>526</v>
      </c>
      <c r="AS2" s="310"/>
      <c r="AT2" s="310"/>
      <c r="AU2" s="310"/>
      <c r="AV2" s="310"/>
      <c r="AW2" s="310"/>
      <c r="AX2" s="310"/>
      <c r="AY2" s="310"/>
      <c r="AZ2" s="310"/>
      <c r="BA2" s="310"/>
      <c r="BB2" s="310"/>
      <c r="BC2" s="310"/>
      <c r="BD2" s="310"/>
      <c r="BE2" s="310"/>
      <c r="BF2" s="310"/>
      <c r="BG2" s="310"/>
      <c r="BH2" s="311"/>
      <c r="BI2" s="312" t="s">
        <v>527</v>
      </c>
      <c r="BJ2" s="307"/>
      <c r="BK2" s="307"/>
      <c r="BL2" s="307"/>
      <c r="BM2" s="307"/>
      <c r="BN2" s="307"/>
      <c r="BO2" s="307"/>
      <c r="BP2" s="307"/>
      <c r="BQ2" s="307"/>
      <c r="BR2" s="307"/>
      <c r="BS2" s="307"/>
      <c r="BT2" s="307"/>
      <c r="BU2" s="307"/>
      <c r="BV2" s="307"/>
      <c r="BW2" s="307"/>
      <c r="BX2" s="307"/>
      <c r="BY2" s="308"/>
      <c r="BZ2" s="313" t="s">
        <v>528</v>
      </c>
      <c r="CA2" s="314"/>
      <c r="CB2" s="314"/>
      <c r="CC2" s="314"/>
      <c r="CD2" s="314"/>
      <c r="CE2" s="314"/>
      <c r="CF2" s="314"/>
      <c r="CG2" s="314"/>
      <c r="CH2" s="314"/>
      <c r="CI2" s="314"/>
      <c r="CJ2" s="314"/>
      <c r="CK2" s="314"/>
      <c r="CL2" s="314"/>
      <c r="CM2" s="314"/>
      <c r="CN2" s="314"/>
      <c r="CO2" s="314"/>
      <c r="CP2" s="315"/>
      <c r="CQ2" s="301" t="s">
        <v>529</v>
      </c>
      <c r="CR2" s="302"/>
      <c r="CS2" s="302"/>
      <c r="CT2" s="302"/>
      <c r="CU2" s="302"/>
      <c r="CV2" s="302"/>
      <c r="CW2" s="302"/>
      <c r="CX2" s="302"/>
      <c r="CY2" s="302"/>
      <c r="CZ2" s="302"/>
      <c r="DA2" s="302"/>
      <c r="DB2" s="302"/>
      <c r="DC2" s="302"/>
      <c r="DD2" s="302"/>
      <c r="DE2" s="302"/>
      <c r="DF2" s="302"/>
      <c r="DG2" s="303"/>
      <c r="DH2" s="309" t="s">
        <v>530</v>
      </c>
      <c r="DI2" s="310"/>
      <c r="DJ2" s="310"/>
      <c r="DK2" s="310"/>
      <c r="DL2" s="310"/>
      <c r="DM2" s="310"/>
      <c r="DN2" s="310"/>
      <c r="DO2" s="310"/>
      <c r="DP2" s="310"/>
      <c r="DQ2" s="310"/>
      <c r="DR2" s="310"/>
      <c r="DS2" s="310"/>
      <c r="DT2" s="310"/>
      <c r="DU2" s="310"/>
      <c r="DV2" s="310"/>
      <c r="DW2" s="310"/>
      <c r="DX2" s="311"/>
      <c r="DY2" s="312" t="s">
        <v>531</v>
      </c>
      <c r="DZ2" s="307"/>
      <c r="EA2" s="307"/>
      <c r="EB2" s="307"/>
      <c r="EC2" s="307"/>
      <c r="ED2" s="307"/>
      <c r="EE2" s="307"/>
      <c r="EF2" s="307"/>
      <c r="EG2" s="307"/>
      <c r="EH2" s="307"/>
      <c r="EI2" s="307"/>
      <c r="EJ2" s="307"/>
      <c r="EK2" s="307"/>
      <c r="EL2" s="307"/>
      <c r="EM2" s="307"/>
      <c r="EN2" s="308"/>
      <c r="EO2" s="309" t="s">
        <v>532</v>
      </c>
      <c r="EP2" s="310"/>
      <c r="EQ2" s="310"/>
      <c r="ER2" s="310"/>
      <c r="ES2" s="310"/>
      <c r="ET2" s="310"/>
      <c r="EU2" s="310"/>
      <c r="EV2" s="310"/>
      <c r="EW2" s="310"/>
      <c r="EX2" s="310"/>
      <c r="EY2" s="310"/>
      <c r="EZ2" s="310"/>
      <c r="FA2" s="310"/>
      <c r="FB2" s="310"/>
      <c r="FC2" s="310"/>
      <c r="FD2" s="311"/>
      <c r="FE2" s="301" t="s">
        <v>533</v>
      </c>
      <c r="FF2" s="302"/>
      <c r="FG2" s="302"/>
      <c r="FH2" s="302"/>
      <c r="FI2" s="302"/>
      <c r="FJ2" s="302"/>
      <c r="FK2" s="302"/>
      <c r="FL2" s="302"/>
      <c r="FM2" s="302"/>
      <c r="FN2" s="302"/>
      <c r="FO2" s="302"/>
      <c r="FP2" s="302"/>
      <c r="FQ2" s="302"/>
      <c r="FR2" s="302"/>
      <c r="FS2" s="302"/>
      <c r="FT2" s="302"/>
      <c r="FU2" s="303"/>
      <c r="FV2" s="313" t="s">
        <v>534</v>
      </c>
      <c r="FW2" s="314"/>
      <c r="FX2" s="314"/>
      <c r="FY2" s="314"/>
      <c r="FZ2" s="314"/>
      <c r="GA2" s="314"/>
      <c r="GB2" s="314"/>
      <c r="GC2" s="314"/>
      <c r="GD2" s="314"/>
      <c r="GE2" s="314"/>
      <c r="GF2" s="314"/>
      <c r="GG2" s="314"/>
      <c r="GH2" s="314"/>
      <c r="GI2" s="314"/>
      <c r="GJ2" s="314"/>
      <c r="GK2" s="315"/>
      <c r="GL2" s="312" t="s">
        <v>535</v>
      </c>
      <c r="GM2" s="307"/>
      <c r="GN2" s="307"/>
      <c r="GO2" s="307"/>
      <c r="GP2" s="307"/>
      <c r="GQ2" s="307"/>
      <c r="GR2" s="307"/>
      <c r="GS2" s="307"/>
      <c r="GT2" s="307"/>
      <c r="GU2" s="307"/>
      <c r="GV2" s="307"/>
      <c r="GW2" s="307"/>
      <c r="GX2" s="307"/>
      <c r="GY2" s="307"/>
      <c r="GZ2" s="307"/>
      <c r="HA2" s="308"/>
      <c r="HB2" s="313" t="s">
        <v>536</v>
      </c>
      <c r="HC2" s="314"/>
      <c r="HD2" s="314"/>
      <c r="HE2" s="314"/>
      <c r="HF2" s="314"/>
      <c r="HG2" s="314"/>
      <c r="HH2" s="314"/>
      <c r="HI2" s="314"/>
      <c r="HJ2" s="314"/>
      <c r="HK2" s="314"/>
      <c r="HL2" s="314"/>
      <c r="HM2" s="314"/>
      <c r="HN2" s="314"/>
      <c r="HO2" s="314"/>
      <c r="HP2" s="314"/>
      <c r="HQ2" s="314"/>
      <c r="HR2" s="315"/>
      <c r="HS2" s="312" t="s">
        <v>256</v>
      </c>
      <c r="HT2" s="307"/>
      <c r="HU2" s="307"/>
      <c r="HV2" s="307"/>
      <c r="HW2" s="307"/>
      <c r="HX2" s="307"/>
      <c r="HY2" s="307"/>
      <c r="HZ2" s="307"/>
      <c r="IA2" s="307"/>
      <c r="IB2" s="307"/>
      <c r="IC2" s="307"/>
      <c r="ID2" s="307"/>
      <c r="IE2" s="307"/>
      <c r="IF2" s="307"/>
      <c r="IG2" s="307"/>
      <c r="IH2" s="308"/>
      <c r="II2" s="309" t="s">
        <v>488</v>
      </c>
      <c r="IJ2" s="310"/>
      <c r="IK2" s="310"/>
      <c r="IL2" s="310"/>
      <c r="IM2" s="310"/>
      <c r="IN2" s="310"/>
      <c r="IO2" s="310"/>
      <c r="IP2" s="310"/>
      <c r="IQ2" s="310"/>
      <c r="IR2" s="310"/>
      <c r="IS2" s="310"/>
      <c r="IT2" s="310"/>
      <c r="IU2" s="310"/>
      <c r="IV2" s="310"/>
      <c r="IW2" s="310"/>
      <c r="IX2" s="310"/>
      <c r="IY2" s="311"/>
      <c r="IZ2" s="312" t="s">
        <v>344</v>
      </c>
      <c r="JA2" s="307"/>
      <c r="JB2" s="307"/>
      <c r="JC2" s="307"/>
      <c r="JD2" s="307"/>
      <c r="JE2" s="307"/>
      <c r="JF2" s="307"/>
      <c r="JG2" s="307"/>
      <c r="JH2" s="307"/>
      <c r="JI2" s="307"/>
      <c r="JJ2" s="307"/>
      <c r="JK2" s="307"/>
      <c r="JL2" s="307"/>
      <c r="JM2" s="307"/>
      <c r="JN2" s="307"/>
      <c r="JO2" s="308"/>
      <c r="JP2" s="309" t="s">
        <v>537</v>
      </c>
      <c r="JQ2" s="310"/>
      <c r="JR2" s="310"/>
      <c r="JS2" s="310"/>
      <c r="JT2" s="310"/>
      <c r="JU2" s="310"/>
      <c r="JV2" s="310"/>
      <c r="JW2" s="310"/>
      <c r="JX2" s="310"/>
      <c r="JY2" s="310"/>
      <c r="JZ2" s="310"/>
      <c r="KA2" s="310"/>
      <c r="KB2" s="310"/>
      <c r="KC2" s="310"/>
      <c r="KD2" s="310"/>
      <c r="KE2" s="311"/>
      <c r="KF2" s="301" t="s">
        <v>538</v>
      </c>
      <c r="KG2" s="302"/>
      <c r="KH2" s="302"/>
      <c r="KI2" s="302"/>
      <c r="KJ2" s="302"/>
      <c r="KK2" s="302"/>
      <c r="KL2" s="302"/>
      <c r="KM2" s="302"/>
      <c r="KN2" s="302"/>
      <c r="KO2" s="302"/>
      <c r="KP2" s="302"/>
      <c r="KQ2" s="302"/>
      <c r="KR2" s="302"/>
      <c r="KS2" s="302"/>
      <c r="KT2" s="302"/>
      <c r="KU2" s="303"/>
      <c r="KV2" s="313" t="s">
        <v>539</v>
      </c>
      <c r="KW2" s="314"/>
      <c r="KX2" s="314"/>
      <c r="KY2" s="314"/>
      <c r="KZ2" s="314"/>
      <c r="LA2" s="314"/>
      <c r="LB2" s="314"/>
      <c r="LC2" s="314"/>
      <c r="LD2" s="314"/>
      <c r="LE2" s="314"/>
      <c r="LF2" s="314"/>
      <c r="LG2" s="314"/>
      <c r="LH2" s="314"/>
      <c r="LI2" s="314"/>
      <c r="LJ2" s="314"/>
      <c r="LK2" s="315"/>
      <c r="LL2" s="301" t="s">
        <v>540</v>
      </c>
      <c r="LM2" s="302"/>
      <c r="LN2" s="302"/>
      <c r="LO2" s="302"/>
      <c r="LP2" s="302"/>
      <c r="LQ2" s="302"/>
      <c r="LR2" s="302"/>
      <c r="LS2" s="302"/>
      <c r="LT2" s="302"/>
      <c r="LU2" s="302"/>
      <c r="LV2" s="302"/>
      <c r="LW2" s="302"/>
      <c r="LX2" s="302"/>
      <c r="LY2" s="302"/>
      <c r="LZ2" s="302"/>
      <c r="MA2" s="303"/>
      <c r="MB2" s="313" t="s">
        <v>541</v>
      </c>
      <c r="MC2" s="314"/>
      <c r="MD2" s="314"/>
      <c r="ME2" s="314"/>
      <c r="MF2" s="314"/>
      <c r="MG2" s="314"/>
      <c r="MH2" s="314"/>
      <c r="MI2" s="314"/>
      <c r="MJ2" s="314"/>
      <c r="MK2" s="314"/>
      <c r="ML2" s="314"/>
      <c r="MM2" s="314"/>
      <c r="MN2" s="314"/>
      <c r="MO2" s="314"/>
      <c r="MP2" s="314"/>
      <c r="MQ2" s="315"/>
      <c r="MR2" s="312" t="s">
        <v>183</v>
      </c>
      <c r="MS2" s="307"/>
      <c r="MT2" s="307"/>
      <c r="MU2" s="307"/>
      <c r="MV2" s="307"/>
      <c r="MW2" s="307"/>
      <c r="MX2" s="307"/>
      <c r="MY2" s="307"/>
      <c r="MZ2" s="307"/>
      <c r="NA2" s="307"/>
      <c r="NB2" s="307"/>
      <c r="NC2" s="307"/>
      <c r="ND2" s="307"/>
      <c r="NE2" s="307"/>
      <c r="NF2" s="307"/>
      <c r="NG2" s="308"/>
      <c r="NH2" s="313" t="s">
        <v>542</v>
      </c>
      <c r="NI2" s="314"/>
      <c r="NJ2" s="314"/>
      <c r="NK2" s="314"/>
      <c r="NL2" s="314"/>
      <c r="NM2" s="314"/>
      <c r="NN2" s="314"/>
      <c r="NO2" s="314"/>
      <c r="NP2" s="314"/>
      <c r="NQ2" s="314"/>
      <c r="NR2" s="314"/>
      <c r="NS2" s="314"/>
      <c r="NT2" s="314"/>
      <c r="NU2" s="314"/>
      <c r="NV2" s="314"/>
      <c r="NW2" s="315"/>
      <c r="NX2" s="301" t="s">
        <v>543</v>
      </c>
      <c r="NY2" s="302"/>
      <c r="NZ2" s="302"/>
      <c r="OA2" s="302"/>
      <c r="OB2" s="302"/>
      <c r="OC2" s="302"/>
      <c r="OD2" s="302"/>
      <c r="OE2" s="302"/>
      <c r="OF2" s="302"/>
      <c r="OG2" s="302"/>
      <c r="OH2" s="302"/>
      <c r="OI2" s="302"/>
      <c r="OJ2" s="302"/>
      <c r="OK2" s="302"/>
      <c r="OL2" s="302"/>
      <c r="OM2" s="303"/>
      <c r="ON2" s="316" t="s">
        <v>544</v>
      </c>
      <c r="OO2" s="317"/>
      <c r="OP2" s="317"/>
      <c r="OQ2" s="317"/>
      <c r="OR2" s="317"/>
      <c r="OS2" s="318"/>
      <c r="OT2" s="301" t="s">
        <v>545</v>
      </c>
      <c r="OU2" s="303"/>
      <c r="OV2" s="301" t="s">
        <v>364</v>
      </c>
      <c r="OW2" s="302"/>
      <c r="OX2" s="302"/>
      <c r="OY2" s="302"/>
      <c r="OZ2" s="302"/>
      <c r="PA2" s="302"/>
      <c r="PB2" s="302"/>
      <c r="PC2" s="303"/>
      <c r="PD2" s="301" t="s">
        <v>546</v>
      </c>
      <c r="PE2" s="302"/>
      <c r="PF2" s="302"/>
      <c r="PG2" s="302"/>
      <c r="PH2" s="302"/>
      <c r="PI2" s="303"/>
      <c r="PJ2" s="301" t="s">
        <v>547</v>
      </c>
      <c r="PK2" s="302"/>
      <c r="PL2" s="302"/>
      <c r="PM2" s="302"/>
      <c r="PN2" s="303"/>
      <c r="PO2" s="301" t="s">
        <v>545</v>
      </c>
      <c r="PP2" s="303"/>
      <c r="PQ2" s="301" t="s">
        <v>548</v>
      </c>
      <c r="PR2" s="302"/>
      <c r="PS2" s="302"/>
      <c r="PT2" s="302"/>
      <c r="PU2" s="302"/>
      <c r="PV2" s="302"/>
      <c r="PW2" s="302"/>
      <c r="PX2" s="302"/>
      <c r="PY2" s="303"/>
      <c r="PZ2" s="301" t="s">
        <v>549</v>
      </c>
      <c r="QA2" s="302"/>
      <c r="QB2" s="302"/>
      <c r="QC2" s="302"/>
      <c r="QD2" s="302"/>
      <c r="QE2" s="302"/>
      <c r="QF2" s="302"/>
      <c r="QG2" s="302"/>
      <c r="QH2" s="303"/>
      <c r="QI2" s="301" t="s">
        <v>373</v>
      </c>
      <c r="QJ2" s="302"/>
      <c r="QK2" s="302"/>
      <c r="QL2" s="302"/>
      <c r="QM2" s="302"/>
      <c r="QN2" s="302"/>
      <c r="QO2" s="302"/>
      <c r="QP2" s="302"/>
      <c r="QQ2" s="303"/>
      <c r="QR2" s="301" t="s">
        <v>550</v>
      </c>
      <c r="QS2" s="302"/>
      <c r="QT2" s="302"/>
      <c r="QU2" s="302"/>
      <c r="QV2" s="302"/>
      <c r="QW2" s="302"/>
      <c r="QX2" s="302"/>
      <c r="QY2" s="302"/>
      <c r="QZ2" s="303"/>
      <c r="RA2" s="301" t="s">
        <v>545</v>
      </c>
      <c r="RB2" s="302"/>
      <c r="RC2" s="302"/>
      <c r="RD2" s="303"/>
      <c r="RE2" s="147" t="s">
        <v>547</v>
      </c>
      <c r="RF2" s="301" t="s">
        <v>551</v>
      </c>
      <c r="RG2" s="302"/>
      <c r="RH2" s="302"/>
      <c r="RI2" s="302"/>
      <c r="RJ2" s="302"/>
      <c r="RK2" s="303"/>
      <c r="RL2" s="301" t="s">
        <v>545</v>
      </c>
      <c r="RM2" s="302"/>
      <c r="RN2" s="302"/>
      <c r="RO2" s="302"/>
      <c r="RP2" s="302"/>
      <c r="RQ2" s="303"/>
      <c r="RR2" s="301" t="s">
        <v>552</v>
      </c>
      <c r="RS2" s="303"/>
      <c r="RT2" s="313" t="s">
        <v>553</v>
      </c>
      <c r="RU2" s="314"/>
      <c r="RV2" s="314"/>
      <c r="RW2" s="314"/>
      <c r="RX2" s="314"/>
      <c r="RY2" s="314"/>
      <c r="RZ2" s="314"/>
      <c r="SA2" s="314"/>
      <c r="SB2" s="314"/>
      <c r="SC2" s="314"/>
      <c r="SD2" s="314"/>
      <c r="SE2" s="315"/>
      <c r="SF2" s="301" t="s">
        <v>326</v>
      </c>
      <c r="SG2" s="302"/>
      <c r="SH2" s="302"/>
      <c r="SI2" s="302"/>
      <c r="SJ2" s="302"/>
      <c r="SK2" s="302"/>
      <c r="SL2" s="302"/>
      <c r="SM2" s="302"/>
      <c r="SN2" s="302"/>
      <c r="SO2" s="302"/>
      <c r="SP2" s="302"/>
      <c r="SQ2" s="303"/>
      <c r="SR2" s="313" t="s">
        <v>554</v>
      </c>
      <c r="SS2" s="314"/>
      <c r="ST2" s="314"/>
      <c r="SU2" s="314"/>
      <c r="SV2" s="314"/>
      <c r="SW2" s="315"/>
      <c r="SX2" s="301" t="s">
        <v>555</v>
      </c>
      <c r="SY2" s="302"/>
      <c r="SZ2" s="302"/>
      <c r="TA2" s="302"/>
      <c r="TB2" s="302"/>
      <c r="TC2" s="302"/>
      <c r="TD2" s="302"/>
      <c r="TE2" s="302"/>
      <c r="TF2" s="302"/>
      <c r="TG2" s="302"/>
      <c r="TH2" s="302"/>
      <c r="TI2" s="302"/>
      <c r="TJ2" s="302"/>
      <c r="TK2" s="302"/>
      <c r="TL2" s="302"/>
      <c r="TM2" s="303"/>
      <c r="TN2" s="313" t="s">
        <v>556</v>
      </c>
      <c r="TO2" s="314"/>
      <c r="TP2" s="314"/>
      <c r="TQ2" s="314"/>
      <c r="TR2" s="314"/>
      <c r="TS2" s="314"/>
      <c r="TT2" s="314"/>
      <c r="TU2" s="314"/>
      <c r="TV2" s="314"/>
      <c r="TW2" s="314"/>
      <c r="TX2" s="314"/>
      <c r="TY2" s="314"/>
      <c r="TZ2" s="314"/>
      <c r="UA2" s="314"/>
      <c r="UB2" s="314"/>
      <c r="UC2" s="315"/>
      <c r="UD2" s="301" t="s">
        <v>557</v>
      </c>
      <c r="UE2" s="302"/>
      <c r="UF2" s="302"/>
      <c r="UG2" s="302"/>
      <c r="UH2" s="302"/>
      <c r="UI2" s="302"/>
      <c r="UJ2" s="302"/>
      <c r="UK2" s="302"/>
      <c r="UL2" s="302"/>
      <c r="UM2" s="302"/>
      <c r="UN2" s="302"/>
      <c r="UO2" s="302"/>
      <c r="UP2" s="302"/>
      <c r="UQ2" s="302"/>
      <c r="UR2" s="302"/>
      <c r="US2" s="303"/>
      <c r="UT2" s="313" t="s">
        <v>558</v>
      </c>
      <c r="UU2" s="314"/>
      <c r="UV2" s="314"/>
      <c r="UW2" s="314"/>
      <c r="UX2" s="314"/>
      <c r="UY2" s="314"/>
      <c r="UZ2" s="314"/>
      <c r="VA2" s="314"/>
      <c r="VB2" s="314"/>
      <c r="VC2" s="314"/>
      <c r="VD2" s="314"/>
      <c r="VE2" s="314"/>
      <c r="VF2" s="314"/>
      <c r="VG2" s="314"/>
      <c r="VH2" s="314"/>
      <c r="VI2" s="315"/>
      <c r="VJ2" s="301" t="s">
        <v>559</v>
      </c>
      <c r="VK2" s="302"/>
      <c r="VL2" s="302"/>
      <c r="VM2" s="302"/>
      <c r="VN2" s="302"/>
      <c r="VO2" s="302"/>
      <c r="VP2" s="302"/>
      <c r="VQ2" s="302"/>
      <c r="VR2" s="302"/>
      <c r="VS2" s="302"/>
      <c r="VT2" s="302"/>
      <c r="VU2" s="302"/>
      <c r="VV2" s="302"/>
      <c r="VW2" s="302"/>
      <c r="VX2" s="302"/>
      <c r="VY2" s="303"/>
      <c r="VZ2" s="301" t="s">
        <v>560</v>
      </c>
      <c r="WA2" s="302"/>
      <c r="WB2" s="302"/>
      <c r="WC2" s="302"/>
      <c r="WD2" s="302"/>
      <c r="WE2" s="302"/>
      <c r="WF2" s="302"/>
      <c r="WG2" s="302"/>
      <c r="WH2" s="302"/>
      <c r="WI2" s="302"/>
      <c r="WJ2" s="302"/>
      <c r="WK2" s="302"/>
      <c r="WL2" s="302"/>
      <c r="WM2" s="302"/>
      <c r="WN2" s="302"/>
      <c r="WO2" s="303"/>
      <c r="WP2" s="313" t="s">
        <v>561</v>
      </c>
      <c r="WQ2" s="314"/>
      <c r="WR2" s="314"/>
      <c r="WS2" s="314"/>
      <c r="WT2" s="314"/>
      <c r="WU2" s="314"/>
      <c r="WV2" s="314"/>
      <c r="WW2" s="314"/>
      <c r="WX2" s="314"/>
      <c r="WY2" s="314"/>
      <c r="WZ2" s="314"/>
      <c r="XA2" s="314"/>
      <c r="XB2" s="314"/>
      <c r="XC2" s="314"/>
      <c r="XD2" s="314"/>
      <c r="XE2" s="315"/>
      <c r="XF2" s="301" t="s">
        <v>562</v>
      </c>
      <c r="XG2" s="302"/>
      <c r="XH2" s="302"/>
      <c r="XI2" s="302"/>
      <c r="XJ2" s="302"/>
      <c r="XK2" s="302"/>
      <c r="XL2" s="302"/>
      <c r="XM2" s="302"/>
      <c r="XN2" s="302"/>
      <c r="XO2" s="302"/>
      <c r="XP2" s="302"/>
      <c r="XQ2" s="302"/>
      <c r="XR2" s="302"/>
      <c r="XS2" s="302"/>
      <c r="XT2" s="302"/>
      <c r="XU2" s="303"/>
      <c r="XV2" s="313" t="s">
        <v>563</v>
      </c>
      <c r="XW2" s="314"/>
      <c r="XX2" s="314"/>
      <c r="XY2" s="314"/>
      <c r="XZ2" s="314"/>
      <c r="YA2" s="314"/>
      <c r="YB2" s="314"/>
      <c r="YC2" s="314"/>
      <c r="YD2" s="314"/>
      <c r="YE2" s="314"/>
      <c r="YF2" s="314"/>
      <c r="YG2" s="314"/>
      <c r="YH2" s="314"/>
      <c r="YI2" s="314"/>
      <c r="YJ2" s="314"/>
      <c r="YK2" s="315"/>
      <c r="YL2" s="301" t="s">
        <v>564</v>
      </c>
      <c r="YM2" s="302"/>
      <c r="YN2" s="302"/>
      <c r="YO2" s="302"/>
      <c r="YP2" s="302"/>
      <c r="YQ2" s="302"/>
      <c r="YR2" s="302"/>
      <c r="YS2" s="302"/>
      <c r="YT2" s="302"/>
      <c r="YU2" s="302"/>
      <c r="YV2" s="302"/>
      <c r="YW2" s="302"/>
      <c r="YX2" s="302"/>
      <c r="YY2" s="302"/>
      <c r="YZ2" s="302"/>
      <c r="ZA2" s="303"/>
      <c r="ZB2" s="313" t="s">
        <v>565</v>
      </c>
      <c r="ZC2" s="314"/>
      <c r="ZD2" s="314"/>
      <c r="ZE2" s="314"/>
      <c r="ZF2" s="314"/>
      <c r="ZG2" s="314"/>
      <c r="ZH2" s="314"/>
      <c r="ZI2" s="314"/>
      <c r="ZJ2" s="314"/>
      <c r="ZK2" s="314"/>
      <c r="ZL2" s="314"/>
      <c r="ZM2" s="314"/>
      <c r="ZN2" s="314"/>
      <c r="ZO2" s="314"/>
      <c r="ZP2" s="314"/>
      <c r="ZQ2" s="315"/>
      <c r="ZR2" s="301" t="s">
        <v>566</v>
      </c>
      <c r="ZS2" s="302"/>
      <c r="ZT2" s="302"/>
      <c r="ZU2" s="302"/>
      <c r="ZV2" s="302"/>
      <c r="ZW2" s="302"/>
      <c r="ZX2" s="302"/>
      <c r="ZY2" s="302"/>
      <c r="ZZ2" s="302"/>
      <c r="AAA2" s="302"/>
      <c r="AAB2" s="302"/>
      <c r="AAC2" s="302"/>
      <c r="AAD2" s="302"/>
      <c r="AAE2" s="302"/>
      <c r="AAF2" s="302"/>
      <c r="AAG2" s="303"/>
      <c r="AAH2" s="313" t="s">
        <v>670</v>
      </c>
      <c r="AAI2" s="314"/>
      <c r="AAJ2" s="314"/>
      <c r="AAK2" s="314"/>
      <c r="AAL2" s="314"/>
      <c r="AAM2" s="314"/>
      <c r="AAN2" s="314"/>
      <c r="AAO2" s="314"/>
      <c r="AAP2" s="314"/>
      <c r="AAQ2" s="314"/>
      <c r="AAR2" s="314"/>
      <c r="AAS2" s="314"/>
      <c r="AAT2" s="314"/>
      <c r="AAU2" s="314"/>
      <c r="AAV2" s="314"/>
      <c r="AAW2" s="315"/>
      <c r="AAX2" s="301" t="s">
        <v>567</v>
      </c>
      <c r="AAY2" s="302"/>
      <c r="AAZ2" s="302"/>
      <c r="ABA2" s="302"/>
      <c r="ABB2" s="302"/>
      <c r="ABC2" s="302"/>
      <c r="ABD2" s="302"/>
      <c r="ABE2" s="302"/>
      <c r="ABF2" s="302"/>
      <c r="ABG2" s="302"/>
      <c r="ABH2" s="302"/>
      <c r="ABI2" s="302"/>
      <c r="ABJ2" s="302"/>
      <c r="ABK2" s="302"/>
      <c r="ABL2" s="302"/>
      <c r="ABM2" s="303"/>
      <c r="ABN2" s="313" t="s">
        <v>671</v>
      </c>
      <c r="ABO2" s="314"/>
      <c r="ABP2" s="314"/>
      <c r="ABQ2" s="314"/>
      <c r="ABR2" s="314"/>
      <c r="ABS2" s="314"/>
      <c r="ABT2" s="314"/>
      <c r="ABU2" s="314"/>
      <c r="ABV2" s="314"/>
      <c r="ABW2" s="314"/>
      <c r="ABX2" s="314"/>
      <c r="ABY2" s="314"/>
      <c r="ABZ2" s="314"/>
      <c r="ACA2" s="314"/>
      <c r="ACB2" s="314"/>
      <c r="ACC2" s="315"/>
      <c r="ACD2" s="301" t="s">
        <v>568</v>
      </c>
      <c r="ACE2" s="302"/>
      <c r="ACF2" s="302"/>
      <c r="ACG2" s="302"/>
      <c r="ACH2" s="302"/>
      <c r="ACI2" s="302"/>
      <c r="ACJ2" s="303"/>
      <c r="ACK2" s="319" t="s">
        <v>569</v>
      </c>
      <c r="ACL2" s="320"/>
      <c r="ACM2" s="320"/>
      <c r="ACN2" s="320"/>
      <c r="ACO2" s="320"/>
      <c r="ACP2" s="320"/>
      <c r="ACQ2" s="320"/>
      <c r="ACR2" s="320"/>
      <c r="ACS2" s="320"/>
      <c r="ACT2" s="320"/>
      <c r="ACU2" s="320"/>
      <c r="ACV2" s="320"/>
      <c r="ACW2" s="320"/>
      <c r="ACX2" s="320"/>
      <c r="ACY2" s="320"/>
      <c r="ACZ2" s="321"/>
      <c r="ADA2" s="319" t="s">
        <v>570</v>
      </c>
      <c r="ADB2" s="320"/>
      <c r="ADC2" s="320"/>
      <c r="ADD2" s="320"/>
      <c r="ADE2" s="320"/>
      <c r="ADF2" s="320"/>
      <c r="ADG2" s="320"/>
      <c r="ADH2" s="320"/>
      <c r="ADI2" s="320"/>
      <c r="ADJ2" s="320"/>
      <c r="ADK2" s="320"/>
      <c r="ADL2" s="320"/>
      <c r="ADM2" s="320"/>
      <c r="ADN2" s="320"/>
      <c r="ADO2" s="320"/>
      <c r="ADP2" s="321"/>
      <c r="ADQ2" s="319" t="s">
        <v>571</v>
      </c>
      <c r="ADR2" s="320"/>
      <c r="ADS2" s="320"/>
      <c r="ADT2" s="320"/>
      <c r="ADU2" s="320"/>
      <c r="ADV2" s="320"/>
      <c r="ADW2" s="320"/>
      <c r="ADX2" s="320"/>
      <c r="ADY2" s="320"/>
      <c r="ADZ2" s="320"/>
      <c r="AEA2" s="320"/>
      <c r="AEB2" s="320"/>
      <c r="AEC2" s="320"/>
      <c r="AED2" s="320"/>
      <c r="AEE2" s="320"/>
      <c r="AEF2" s="321"/>
      <c r="AEG2" s="319" t="s">
        <v>572</v>
      </c>
      <c r="AEH2" s="320"/>
      <c r="AEI2" s="320"/>
      <c r="AEJ2" s="320"/>
      <c r="AEK2" s="320"/>
      <c r="AEL2" s="320"/>
      <c r="AEM2" s="320"/>
      <c r="AEN2" s="320"/>
      <c r="AEO2" s="320"/>
      <c r="AEP2" s="320"/>
      <c r="AEQ2" s="320"/>
      <c r="AER2" s="320"/>
      <c r="AES2" s="320"/>
      <c r="AET2" s="320"/>
      <c r="AEU2" s="320"/>
      <c r="AEV2" s="321"/>
      <c r="AEW2" s="319" t="s">
        <v>573</v>
      </c>
      <c r="AEX2" s="320"/>
      <c r="AEY2" s="320"/>
      <c r="AEZ2" s="320"/>
      <c r="AFA2" s="320"/>
      <c r="AFB2" s="320"/>
      <c r="AFC2" s="320"/>
      <c r="AFD2" s="320"/>
      <c r="AFE2" s="320"/>
      <c r="AFF2" s="320"/>
      <c r="AFG2" s="320"/>
      <c r="AFH2" s="320"/>
      <c r="AFI2" s="320"/>
      <c r="AFJ2" s="320"/>
      <c r="AFK2" s="320"/>
      <c r="AFL2" s="321"/>
      <c r="AFM2" s="319" t="s">
        <v>574</v>
      </c>
      <c r="AFN2" s="320"/>
      <c r="AFO2" s="320"/>
      <c r="AFP2" s="320"/>
      <c r="AFQ2" s="320"/>
      <c r="AFR2" s="320"/>
      <c r="AFS2" s="320"/>
      <c r="AFT2" s="320"/>
      <c r="AFU2" s="320"/>
      <c r="AFV2" s="320"/>
      <c r="AFW2" s="320"/>
      <c r="AFX2" s="320"/>
      <c r="AFY2" s="320"/>
      <c r="AFZ2" s="320"/>
      <c r="AGA2" s="320"/>
      <c r="AGB2" s="321"/>
      <c r="AGC2" s="319" t="s">
        <v>575</v>
      </c>
      <c r="AGD2" s="320"/>
      <c r="AGE2" s="320"/>
      <c r="AGF2" s="320"/>
      <c r="AGG2" s="320"/>
      <c r="AGH2" s="320"/>
      <c r="AGI2" s="320"/>
      <c r="AGJ2" s="320"/>
      <c r="AGK2" s="320"/>
      <c r="AGL2" s="320"/>
      <c r="AGM2" s="320"/>
      <c r="AGN2" s="320"/>
      <c r="AGO2" s="320"/>
      <c r="AGP2" s="320"/>
      <c r="AGQ2" s="320"/>
      <c r="AGR2" s="321"/>
      <c r="AGS2" s="319" t="s">
        <v>576</v>
      </c>
      <c r="AGT2" s="320"/>
      <c r="AGU2" s="320"/>
      <c r="AGV2" s="320"/>
      <c r="AGW2" s="320"/>
      <c r="AGX2" s="320"/>
      <c r="AGY2" s="320"/>
      <c r="AGZ2" s="320"/>
      <c r="AHA2" s="320"/>
      <c r="AHB2" s="320"/>
      <c r="AHC2" s="320"/>
      <c r="AHD2" s="320"/>
      <c r="AHE2" s="320"/>
      <c r="AHF2" s="320"/>
      <c r="AHG2" s="320"/>
      <c r="AHH2" s="321"/>
      <c r="AHI2" s="319" t="s">
        <v>577</v>
      </c>
      <c r="AHJ2" s="320"/>
      <c r="AHK2" s="320"/>
      <c r="AHL2" s="320"/>
      <c r="AHM2" s="320"/>
      <c r="AHN2" s="320"/>
      <c r="AHO2" s="320"/>
      <c r="AHP2" s="320"/>
      <c r="AHQ2" s="320"/>
      <c r="AHR2" s="320"/>
      <c r="AHS2" s="320"/>
      <c r="AHT2" s="320"/>
      <c r="AHU2" s="320"/>
      <c r="AHV2" s="320"/>
      <c r="AHW2" s="320"/>
      <c r="AHX2" s="321"/>
      <c r="AHY2" s="319" t="s">
        <v>578</v>
      </c>
      <c r="AHZ2" s="320"/>
      <c r="AIA2" s="320"/>
      <c r="AIB2" s="320"/>
      <c r="AIC2" s="320"/>
      <c r="AID2" s="320"/>
      <c r="AIE2" s="320"/>
      <c r="AIF2" s="320"/>
      <c r="AIG2" s="320"/>
      <c r="AIH2" s="320"/>
      <c r="AII2" s="320"/>
      <c r="AIJ2" s="320"/>
      <c r="AIK2" s="320"/>
      <c r="AIL2" s="320"/>
      <c r="AIM2" s="320"/>
      <c r="AIN2" s="321"/>
      <c r="AIO2" s="319" t="s">
        <v>579</v>
      </c>
      <c r="AIP2" s="320"/>
      <c r="AIQ2" s="320"/>
      <c r="AIR2" s="320"/>
      <c r="AIS2" s="320"/>
      <c r="AIT2" s="320"/>
      <c r="AIU2" s="320"/>
      <c r="AIV2" s="320"/>
      <c r="AIW2" s="320"/>
      <c r="AIX2" s="320"/>
      <c r="AIY2" s="320"/>
      <c r="AIZ2" s="320"/>
      <c r="AJA2" s="320"/>
      <c r="AJB2" s="320"/>
      <c r="AJC2" s="320"/>
      <c r="AJD2" s="321"/>
      <c r="AJE2" s="319" t="s">
        <v>580</v>
      </c>
      <c r="AJF2" s="320"/>
      <c r="AJG2" s="320"/>
      <c r="AJH2" s="320"/>
      <c r="AJI2" s="320"/>
      <c r="AJJ2" s="320"/>
      <c r="AJK2" s="320"/>
      <c r="AJL2" s="320"/>
      <c r="AJM2" s="320"/>
      <c r="AJN2" s="320"/>
      <c r="AJO2" s="320"/>
      <c r="AJP2" s="320"/>
      <c r="AJQ2" s="320"/>
      <c r="AJR2" s="320"/>
      <c r="AJS2" s="320"/>
      <c r="AJT2" s="321"/>
      <c r="AJU2" s="319" t="s">
        <v>581</v>
      </c>
      <c r="AJV2" s="320"/>
      <c r="AJW2" s="320"/>
      <c r="AJX2" s="320"/>
      <c r="AJY2" s="320"/>
      <c r="AJZ2" s="320"/>
      <c r="AKA2" s="320"/>
      <c r="AKB2" s="320"/>
      <c r="AKC2" s="320"/>
      <c r="AKD2" s="320"/>
      <c r="AKE2" s="320"/>
      <c r="AKF2" s="320"/>
      <c r="AKG2" s="320"/>
      <c r="AKH2" s="320"/>
      <c r="AKI2" s="320"/>
      <c r="AKJ2" s="321"/>
      <c r="AKK2" s="319" t="s">
        <v>582</v>
      </c>
      <c r="AKL2" s="320"/>
      <c r="AKM2" s="320"/>
      <c r="AKN2" s="320"/>
      <c r="AKO2" s="320"/>
      <c r="AKP2" s="320"/>
      <c r="AKQ2" s="320"/>
      <c r="AKR2" s="320"/>
      <c r="AKS2" s="320"/>
      <c r="AKT2" s="320"/>
      <c r="AKU2" s="320"/>
      <c r="AKV2" s="320"/>
      <c r="AKW2" s="320"/>
      <c r="AKX2" s="320"/>
      <c r="AKY2" s="320"/>
      <c r="AKZ2" s="321"/>
      <c r="ALA2" s="319" t="s">
        <v>583</v>
      </c>
      <c r="ALB2" s="320"/>
      <c r="ALC2" s="320"/>
      <c r="ALD2" s="320"/>
      <c r="ALE2" s="320"/>
      <c r="ALF2" s="320"/>
      <c r="ALG2" s="320"/>
      <c r="ALH2" s="320"/>
      <c r="ALI2" s="320"/>
      <c r="ALJ2" s="320"/>
      <c r="ALK2" s="320"/>
      <c r="ALL2" s="320"/>
      <c r="ALM2" s="320"/>
      <c r="ALN2" s="320"/>
      <c r="ALO2" s="320"/>
      <c r="ALP2" s="321"/>
      <c r="ALQ2" s="319" t="s">
        <v>584</v>
      </c>
      <c r="ALR2" s="320"/>
      <c r="ALS2" s="320"/>
      <c r="ALT2" s="320"/>
      <c r="ALU2" s="320"/>
      <c r="ALV2" s="320"/>
      <c r="ALW2" s="320"/>
      <c r="ALX2" s="320"/>
      <c r="ALY2" s="320"/>
      <c r="ALZ2" s="320"/>
      <c r="AMA2" s="320"/>
      <c r="AMB2" s="320"/>
      <c r="AMC2" s="320"/>
      <c r="AMD2" s="320"/>
      <c r="AME2" s="320"/>
      <c r="AMF2" s="321"/>
    </row>
    <row r="3" spans="1:1020" s="143" customFormat="1" ht="64.2" customHeight="1">
      <c r="A3" s="165" t="s">
        <v>651</v>
      </c>
      <c r="B3" s="165" t="s">
        <v>652</v>
      </c>
      <c r="C3" s="165" t="s">
        <v>653</v>
      </c>
      <c r="D3" s="109" t="s">
        <v>420</v>
      </c>
      <c r="E3" s="109" t="s">
        <v>421</v>
      </c>
      <c r="F3" s="109" t="s">
        <v>422</v>
      </c>
      <c r="G3" s="109" t="s">
        <v>119</v>
      </c>
      <c r="H3" s="109" t="s">
        <v>423</v>
      </c>
      <c r="I3" s="149" t="s">
        <v>424</v>
      </c>
      <c r="J3" s="150" t="s">
        <v>585</v>
      </c>
      <c r="K3" s="151" t="s">
        <v>586</v>
      </c>
      <c r="L3" s="151" t="s">
        <v>587</v>
      </c>
      <c r="M3" s="151" t="s">
        <v>588</v>
      </c>
      <c r="N3" s="151" t="s">
        <v>589</v>
      </c>
      <c r="O3" s="151" t="s">
        <v>590</v>
      </c>
      <c r="P3" s="151" t="s">
        <v>523</v>
      </c>
      <c r="Q3" s="151" t="s">
        <v>591</v>
      </c>
      <c r="R3" s="151" t="s">
        <v>592</v>
      </c>
      <c r="S3" s="151" t="s">
        <v>593</v>
      </c>
      <c r="T3" s="151" t="s">
        <v>594</v>
      </c>
      <c r="U3" s="151" t="s">
        <v>595</v>
      </c>
      <c r="V3" s="151" t="s">
        <v>596</v>
      </c>
      <c r="W3" s="151" t="s">
        <v>597</v>
      </c>
      <c r="X3" s="151" t="s">
        <v>598</v>
      </c>
      <c r="Y3" s="151" t="s">
        <v>599</v>
      </c>
      <c r="Z3" s="152" t="s">
        <v>600</v>
      </c>
      <c r="AA3" s="153" t="s">
        <v>585</v>
      </c>
      <c r="AB3" s="141" t="s">
        <v>586</v>
      </c>
      <c r="AC3" s="141" t="s">
        <v>587</v>
      </c>
      <c r="AD3" s="141" t="s">
        <v>588</v>
      </c>
      <c r="AE3" s="141" t="s">
        <v>589</v>
      </c>
      <c r="AF3" s="141" t="s">
        <v>590</v>
      </c>
      <c r="AG3" s="141" t="s">
        <v>523</v>
      </c>
      <c r="AH3" s="141" t="s">
        <v>591</v>
      </c>
      <c r="AI3" s="141" t="s">
        <v>592</v>
      </c>
      <c r="AJ3" s="141" t="s">
        <v>593</v>
      </c>
      <c r="AK3" s="141" t="s">
        <v>594</v>
      </c>
      <c r="AL3" s="141" t="s">
        <v>595</v>
      </c>
      <c r="AM3" s="141" t="s">
        <v>596</v>
      </c>
      <c r="AN3" s="141" t="s">
        <v>597</v>
      </c>
      <c r="AO3" s="141" t="s">
        <v>598</v>
      </c>
      <c r="AP3" s="141" t="s">
        <v>599</v>
      </c>
      <c r="AQ3" s="141" t="s">
        <v>600</v>
      </c>
      <c r="AR3" s="151" t="s">
        <v>585</v>
      </c>
      <c r="AS3" s="151" t="s">
        <v>586</v>
      </c>
      <c r="AT3" s="151" t="s">
        <v>587</v>
      </c>
      <c r="AU3" s="151" t="s">
        <v>588</v>
      </c>
      <c r="AV3" s="151" t="s">
        <v>589</v>
      </c>
      <c r="AW3" s="151" t="s">
        <v>590</v>
      </c>
      <c r="AX3" s="151" t="s">
        <v>523</v>
      </c>
      <c r="AY3" s="151" t="s">
        <v>591</v>
      </c>
      <c r="AZ3" s="151" t="s">
        <v>592</v>
      </c>
      <c r="BA3" s="151" t="s">
        <v>593</v>
      </c>
      <c r="BB3" s="151" t="s">
        <v>594</v>
      </c>
      <c r="BC3" s="151" t="s">
        <v>595</v>
      </c>
      <c r="BD3" s="151" t="s">
        <v>596</v>
      </c>
      <c r="BE3" s="151" t="s">
        <v>597</v>
      </c>
      <c r="BF3" s="151" t="s">
        <v>598</v>
      </c>
      <c r="BG3" s="151" t="s">
        <v>599</v>
      </c>
      <c r="BH3" s="151" t="s">
        <v>600</v>
      </c>
      <c r="BI3" s="141" t="s">
        <v>585</v>
      </c>
      <c r="BJ3" s="141" t="s">
        <v>586</v>
      </c>
      <c r="BK3" s="141" t="s">
        <v>587</v>
      </c>
      <c r="BL3" s="141" t="s">
        <v>588</v>
      </c>
      <c r="BM3" s="141" t="s">
        <v>589</v>
      </c>
      <c r="BN3" s="141" t="s">
        <v>590</v>
      </c>
      <c r="BO3" s="141" t="s">
        <v>523</v>
      </c>
      <c r="BP3" s="141" t="s">
        <v>591</v>
      </c>
      <c r="BQ3" s="141" t="s">
        <v>592</v>
      </c>
      <c r="BR3" s="141" t="s">
        <v>593</v>
      </c>
      <c r="BS3" s="141" t="s">
        <v>594</v>
      </c>
      <c r="BT3" s="141" t="s">
        <v>595</v>
      </c>
      <c r="BU3" s="141" t="s">
        <v>596</v>
      </c>
      <c r="BV3" s="141" t="s">
        <v>597</v>
      </c>
      <c r="BW3" s="141" t="s">
        <v>598</v>
      </c>
      <c r="BX3" s="141" t="s">
        <v>599</v>
      </c>
      <c r="BY3" s="141" t="s">
        <v>600</v>
      </c>
      <c r="BZ3" s="151" t="s">
        <v>585</v>
      </c>
      <c r="CA3" s="151" t="s">
        <v>586</v>
      </c>
      <c r="CB3" s="151" t="s">
        <v>587</v>
      </c>
      <c r="CC3" s="151" t="s">
        <v>588</v>
      </c>
      <c r="CD3" s="151" t="s">
        <v>589</v>
      </c>
      <c r="CE3" s="151" t="s">
        <v>590</v>
      </c>
      <c r="CF3" s="151" t="s">
        <v>523</v>
      </c>
      <c r="CG3" s="151" t="s">
        <v>591</v>
      </c>
      <c r="CH3" s="151" t="s">
        <v>592</v>
      </c>
      <c r="CI3" s="151" t="s">
        <v>593</v>
      </c>
      <c r="CJ3" s="151" t="s">
        <v>594</v>
      </c>
      <c r="CK3" s="151" t="s">
        <v>595</v>
      </c>
      <c r="CL3" s="151" t="s">
        <v>596</v>
      </c>
      <c r="CM3" s="151" t="s">
        <v>597</v>
      </c>
      <c r="CN3" s="151" t="s">
        <v>598</v>
      </c>
      <c r="CO3" s="151" t="s">
        <v>599</v>
      </c>
      <c r="CP3" s="151" t="s">
        <v>600</v>
      </c>
      <c r="CQ3" s="141" t="s">
        <v>585</v>
      </c>
      <c r="CR3" s="141" t="s">
        <v>586</v>
      </c>
      <c r="CS3" s="141" t="s">
        <v>587</v>
      </c>
      <c r="CT3" s="141" t="s">
        <v>588</v>
      </c>
      <c r="CU3" s="141" t="s">
        <v>589</v>
      </c>
      <c r="CV3" s="141" t="s">
        <v>590</v>
      </c>
      <c r="CW3" s="141" t="s">
        <v>523</v>
      </c>
      <c r="CX3" s="141" t="s">
        <v>591</v>
      </c>
      <c r="CY3" s="141" t="s">
        <v>592</v>
      </c>
      <c r="CZ3" s="141" t="s">
        <v>593</v>
      </c>
      <c r="DA3" s="141" t="s">
        <v>594</v>
      </c>
      <c r="DB3" s="141" t="s">
        <v>595</v>
      </c>
      <c r="DC3" s="141" t="s">
        <v>596</v>
      </c>
      <c r="DD3" s="141" t="s">
        <v>597</v>
      </c>
      <c r="DE3" s="141" t="s">
        <v>598</v>
      </c>
      <c r="DF3" s="141" t="s">
        <v>599</v>
      </c>
      <c r="DG3" s="141" t="s">
        <v>600</v>
      </c>
      <c r="DH3" s="151" t="s">
        <v>585</v>
      </c>
      <c r="DI3" s="151" t="s">
        <v>586</v>
      </c>
      <c r="DJ3" s="151" t="s">
        <v>587</v>
      </c>
      <c r="DK3" s="151" t="s">
        <v>588</v>
      </c>
      <c r="DL3" s="151" t="s">
        <v>589</v>
      </c>
      <c r="DM3" s="151" t="s">
        <v>590</v>
      </c>
      <c r="DN3" s="151" t="s">
        <v>523</v>
      </c>
      <c r="DO3" s="151" t="s">
        <v>591</v>
      </c>
      <c r="DP3" s="151" t="s">
        <v>592</v>
      </c>
      <c r="DQ3" s="151" t="s">
        <v>593</v>
      </c>
      <c r="DR3" s="151" t="s">
        <v>594</v>
      </c>
      <c r="DS3" s="151" t="s">
        <v>595</v>
      </c>
      <c r="DT3" s="151" t="s">
        <v>596</v>
      </c>
      <c r="DU3" s="151" t="s">
        <v>597</v>
      </c>
      <c r="DV3" s="151" t="s">
        <v>598</v>
      </c>
      <c r="DW3" s="151" t="s">
        <v>599</v>
      </c>
      <c r="DX3" s="151" t="s">
        <v>600</v>
      </c>
      <c r="DY3" s="141" t="s">
        <v>585</v>
      </c>
      <c r="DZ3" s="141" t="s">
        <v>586</v>
      </c>
      <c r="EA3" s="141" t="s">
        <v>587</v>
      </c>
      <c r="EB3" s="141" t="s">
        <v>588</v>
      </c>
      <c r="EC3" s="141" t="s">
        <v>589</v>
      </c>
      <c r="ED3" s="141" t="s">
        <v>590</v>
      </c>
      <c r="EE3" s="141" t="s">
        <v>523</v>
      </c>
      <c r="EF3" s="141" t="s">
        <v>591</v>
      </c>
      <c r="EG3" s="141" t="s">
        <v>592</v>
      </c>
      <c r="EH3" s="141" t="s">
        <v>593</v>
      </c>
      <c r="EI3" s="141" t="s">
        <v>594</v>
      </c>
      <c r="EJ3" s="141" t="s">
        <v>595</v>
      </c>
      <c r="EK3" s="141" t="s">
        <v>596</v>
      </c>
      <c r="EL3" s="141" t="s">
        <v>597</v>
      </c>
      <c r="EM3" s="141" t="s">
        <v>598</v>
      </c>
      <c r="EN3" s="141" t="s">
        <v>600</v>
      </c>
      <c r="EO3" s="151" t="s">
        <v>585</v>
      </c>
      <c r="EP3" s="151" t="s">
        <v>586</v>
      </c>
      <c r="EQ3" s="151" t="s">
        <v>587</v>
      </c>
      <c r="ER3" s="151" t="s">
        <v>588</v>
      </c>
      <c r="ES3" s="151" t="s">
        <v>589</v>
      </c>
      <c r="ET3" s="151" t="s">
        <v>590</v>
      </c>
      <c r="EU3" s="151" t="s">
        <v>523</v>
      </c>
      <c r="EV3" s="151" t="s">
        <v>591</v>
      </c>
      <c r="EW3" s="151" t="s">
        <v>592</v>
      </c>
      <c r="EX3" s="151" t="s">
        <v>593</v>
      </c>
      <c r="EY3" s="151" t="s">
        <v>594</v>
      </c>
      <c r="EZ3" s="151" t="s">
        <v>595</v>
      </c>
      <c r="FA3" s="151" t="s">
        <v>596</v>
      </c>
      <c r="FB3" s="151" t="s">
        <v>597</v>
      </c>
      <c r="FC3" s="151" t="s">
        <v>598</v>
      </c>
      <c r="FD3" s="151" t="s">
        <v>600</v>
      </c>
      <c r="FE3" s="141" t="s">
        <v>585</v>
      </c>
      <c r="FF3" s="141" t="s">
        <v>586</v>
      </c>
      <c r="FG3" s="141" t="s">
        <v>587</v>
      </c>
      <c r="FH3" s="141" t="s">
        <v>588</v>
      </c>
      <c r="FI3" s="141" t="s">
        <v>589</v>
      </c>
      <c r="FJ3" s="141" t="s">
        <v>590</v>
      </c>
      <c r="FK3" s="141" t="s">
        <v>523</v>
      </c>
      <c r="FL3" s="141" t="s">
        <v>591</v>
      </c>
      <c r="FM3" s="141" t="s">
        <v>592</v>
      </c>
      <c r="FN3" s="141" t="s">
        <v>593</v>
      </c>
      <c r="FO3" s="141" t="s">
        <v>594</v>
      </c>
      <c r="FP3" s="141" t="s">
        <v>595</v>
      </c>
      <c r="FQ3" s="141" t="s">
        <v>596</v>
      </c>
      <c r="FR3" s="141" t="s">
        <v>597</v>
      </c>
      <c r="FS3" s="141" t="s">
        <v>598</v>
      </c>
      <c r="FT3" s="141" t="s">
        <v>599</v>
      </c>
      <c r="FU3" s="141" t="s">
        <v>600</v>
      </c>
      <c r="FV3" s="151" t="s">
        <v>585</v>
      </c>
      <c r="FW3" s="151" t="s">
        <v>586</v>
      </c>
      <c r="FX3" s="151" t="s">
        <v>587</v>
      </c>
      <c r="FY3" s="151" t="s">
        <v>588</v>
      </c>
      <c r="FZ3" s="151" t="s">
        <v>589</v>
      </c>
      <c r="GA3" s="151" t="s">
        <v>590</v>
      </c>
      <c r="GB3" s="151" t="s">
        <v>523</v>
      </c>
      <c r="GC3" s="151" t="s">
        <v>591</v>
      </c>
      <c r="GD3" s="151" t="s">
        <v>592</v>
      </c>
      <c r="GE3" s="151" t="s">
        <v>593</v>
      </c>
      <c r="GF3" s="151" t="s">
        <v>594</v>
      </c>
      <c r="GG3" s="151" t="s">
        <v>595</v>
      </c>
      <c r="GH3" s="151" t="s">
        <v>596</v>
      </c>
      <c r="GI3" s="151" t="s">
        <v>597</v>
      </c>
      <c r="GJ3" s="151" t="s">
        <v>598</v>
      </c>
      <c r="GK3" s="151" t="s">
        <v>600</v>
      </c>
      <c r="GL3" s="141" t="s">
        <v>585</v>
      </c>
      <c r="GM3" s="141" t="s">
        <v>586</v>
      </c>
      <c r="GN3" s="141" t="s">
        <v>587</v>
      </c>
      <c r="GO3" s="141" t="s">
        <v>588</v>
      </c>
      <c r="GP3" s="141" t="s">
        <v>589</v>
      </c>
      <c r="GQ3" s="141" t="s">
        <v>590</v>
      </c>
      <c r="GR3" s="141" t="s">
        <v>523</v>
      </c>
      <c r="GS3" s="141" t="s">
        <v>591</v>
      </c>
      <c r="GT3" s="141" t="s">
        <v>592</v>
      </c>
      <c r="GU3" s="141" t="s">
        <v>593</v>
      </c>
      <c r="GV3" s="141" t="s">
        <v>594</v>
      </c>
      <c r="GW3" s="141" t="s">
        <v>595</v>
      </c>
      <c r="GX3" s="141" t="s">
        <v>596</v>
      </c>
      <c r="GY3" s="141" t="s">
        <v>597</v>
      </c>
      <c r="GZ3" s="141" t="s">
        <v>598</v>
      </c>
      <c r="HA3" s="141" t="s">
        <v>600</v>
      </c>
      <c r="HB3" s="151" t="s">
        <v>585</v>
      </c>
      <c r="HC3" s="151" t="s">
        <v>586</v>
      </c>
      <c r="HD3" s="151" t="s">
        <v>587</v>
      </c>
      <c r="HE3" s="151" t="s">
        <v>588</v>
      </c>
      <c r="HF3" s="151" t="s">
        <v>589</v>
      </c>
      <c r="HG3" s="151" t="s">
        <v>590</v>
      </c>
      <c r="HH3" s="151" t="s">
        <v>523</v>
      </c>
      <c r="HI3" s="151" t="s">
        <v>591</v>
      </c>
      <c r="HJ3" s="151" t="s">
        <v>592</v>
      </c>
      <c r="HK3" s="151" t="s">
        <v>593</v>
      </c>
      <c r="HL3" s="151" t="s">
        <v>594</v>
      </c>
      <c r="HM3" s="151" t="s">
        <v>595</v>
      </c>
      <c r="HN3" s="151" t="s">
        <v>596</v>
      </c>
      <c r="HO3" s="151" t="s">
        <v>597</v>
      </c>
      <c r="HP3" s="151" t="s">
        <v>598</v>
      </c>
      <c r="HQ3" s="151" t="s">
        <v>599</v>
      </c>
      <c r="HR3" s="151" t="s">
        <v>600</v>
      </c>
      <c r="HS3" s="141" t="s">
        <v>585</v>
      </c>
      <c r="HT3" s="141" t="s">
        <v>586</v>
      </c>
      <c r="HU3" s="141" t="s">
        <v>587</v>
      </c>
      <c r="HV3" s="141" t="s">
        <v>588</v>
      </c>
      <c r="HW3" s="141" t="s">
        <v>589</v>
      </c>
      <c r="HX3" s="141" t="s">
        <v>590</v>
      </c>
      <c r="HY3" s="141" t="s">
        <v>523</v>
      </c>
      <c r="HZ3" s="141" t="s">
        <v>591</v>
      </c>
      <c r="IA3" s="141" t="s">
        <v>592</v>
      </c>
      <c r="IB3" s="141" t="s">
        <v>593</v>
      </c>
      <c r="IC3" s="141" t="s">
        <v>594</v>
      </c>
      <c r="ID3" s="141" t="s">
        <v>595</v>
      </c>
      <c r="IE3" s="141" t="s">
        <v>596</v>
      </c>
      <c r="IF3" s="141" t="s">
        <v>597</v>
      </c>
      <c r="IG3" s="141" t="s">
        <v>598</v>
      </c>
      <c r="IH3" s="141" t="s">
        <v>600</v>
      </c>
      <c r="II3" s="151" t="s">
        <v>585</v>
      </c>
      <c r="IJ3" s="151" t="s">
        <v>586</v>
      </c>
      <c r="IK3" s="151" t="s">
        <v>587</v>
      </c>
      <c r="IL3" s="151" t="s">
        <v>588</v>
      </c>
      <c r="IM3" s="151" t="s">
        <v>589</v>
      </c>
      <c r="IN3" s="151" t="s">
        <v>590</v>
      </c>
      <c r="IO3" s="151" t="s">
        <v>523</v>
      </c>
      <c r="IP3" s="151" t="s">
        <v>591</v>
      </c>
      <c r="IQ3" s="151" t="s">
        <v>592</v>
      </c>
      <c r="IR3" s="151" t="s">
        <v>593</v>
      </c>
      <c r="IS3" s="151" t="s">
        <v>594</v>
      </c>
      <c r="IT3" s="151" t="s">
        <v>595</v>
      </c>
      <c r="IU3" s="151" t="s">
        <v>596</v>
      </c>
      <c r="IV3" s="151" t="s">
        <v>597</v>
      </c>
      <c r="IW3" s="151" t="s">
        <v>598</v>
      </c>
      <c r="IX3" s="151" t="s">
        <v>599</v>
      </c>
      <c r="IY3" s="151" t="s">
        <v>600</v>
      </c>
      <c r="IZ3" s="141" t="s">
        <v>585</v>
      </c>
      <c r="JA3" s="141" t="s">
        <v>586</v>
      </c>
      <c r="JB3" s="141" t="s">
        <v>587</v>
      </c>
      <c r="JC3" s="141" t="s">
        <v>588</v>
      </c>
      <c r="JD3" s="141" t="s">
        <v>589</v>
      </c>
      <c r="JE3" s="141" t="s">
        <v>590</v>
      </c>
      <c r="JF3" s="141" t="s">
        <v>523</v>
      </c>
      <c r="JG3" s="141" t="s">
        <v>591</v>
      </c>
      <c r="JH3" s="141" t="s">
        <v>592</v>
      </c>
      <c r="JI3" s="141" t="s">
        <v>593</v>
      </c>
      <c r="JJ3" s="141" t="s">
        <v>594</v>
      </c>
      <c r="JK3" s="141" t="s">
        <v>595</v>
      </c>
      <c r="JL3" s="141" t="s">
        <v>596</v>
      </c>
      <c r="JM3" s="141" t="s">
        <v>597</v>
      </c>
      <c r="JN3" s="141" t="s">
        <v>598</v>
      </c>
      <c r="JO3" s="141" t="s">
        <v>600</v>
      </c>
      <c r="JP3" s="151" t="s">
        <v>585</v>
      </c>
      <c r="JQ3" s="151" t="s">
        <v>586</v>
      </c>
      <c r="JR3" s="151" t="s">
        <v>587</v>
      </c>
      <c r="JS3" s="151" t="s">
        <v>588</v>
      </c>
      <c r="JT3" s="151" t="s">
        <v>589</v>
      </c>
      <c r="JU3" s="151" t="s">
        <v>590</v>
      </c>
      <c r="JV3" s="151" t="s">
        <v>523</v>
      </c>
      <c r="JW3" s="151" t="s">
        <v>591</v>
      </c>
      <c r="JX3" s="151" t="s">
        <v>592</v>
      </c>
      <c r="JY3" s="151" t="s">
        <v>593</v>
      </c>
      <c r="JZ3" s="151" t="s">
        <v>594</v>
      </c>
      <c r="KA3" s="151" t="s">
        <v>595</v>
      </c>
      <c r="KB3" s="151" t="s">
        <v>596</v>
      </c>
      <c r="KC3" s="151" t="s">
        <v>597</v>
      </c>
      <c r="KD3" s="151" t="s">
        <v>598</v>
      </c>
      <c r="KE3" s="151" t="s">
        <v>600</v>
      </c>
      <c r="KF3" s="141" t="s">
        <v>585</v>
      </c>
      <c r="KG3" s="141" t="s">
        <v>586</v>
      </c>
      <c r="KH3" s="141" t="s">
        <v>587</v>
      </c>
      <c r="KI3" s="141" t="s">
        <v>588</v>
      </c>
      <c r="KJ3" s="141" t="s">
        <v>589</v>
      </c>
      <c r="KK3" s="141" t="s">
        <v>590</v>
      </c>
      <c r="KL3" s="141" t="s">
        <v>523</v>
      </c>
      <c r="KM3" s="141" t="s">
        <v>591</v>
      </c>
      <c r="KN3" s="141" t="s">
        <v>592</v>
      </c>
      <c r="KO3" s="141" t="s">
        <v>593</v>
      </c>
      <c r="KP3" s="141" t="s">
        <v>594</v>
      </c>
      <c r="KQ3" s="141" t="s">
        <v>595</v>
      </c>
      <c r="KR3" s="141" t="s">
        <v>596</v>
      </c>
      <c r="KS3" s="141" t="s">
        <v>597</v>
      </c>
      <c r="KT3" s="141" t="s">
        <v>598</v>
      </c>
      <c r="KU3" s="141" t="s">
        <v>600</v>
      </c>
      <c r="KV3" s="151" t="s">
        <v>585</v>
      </c>
      <c r="KW3" s="151" t="s">
        <v>586</v>
      </c>
      <c r="KX3" s="151" t="s">
        <v>587</v>
      </c>
      <c r="KY3" s="151" t="s">
        <v>588</v>
      </c>
      <c r="KZ3" s="151" t="s">
        <v>589</v>
      </c>
      <c r="LA3" s="151" t="s">
        <v>590</v>
      </c>
      <c r="LB3" s="151" t="s">
        <v>523</v>
      </c>
      <c r="LC3" s="151" t="s">
        <v>591</v>
      </c>
      <c r="LD3" s="151" t="s">
        <v>592</v>
      </c>
      <c r="LE3" s="151" t="s">
        <v>593</v>
      </c>
      <c r="LF3" s="151" t="s">
        <v>594</v>
      </c>
      <c r="LG3" s="151" t="s">
        <v>595</v>
      </c>
      <c r="LH3" s="151" t="s">
        <v>596</v>
      </c>
      <c r="LI3" s="151" t="s">
        <v>597</v>
      </c>
      <c r="LJ3" s="151" t="s">
        <v>598</v>
      </c>
      <c r="LK3" s="151" t="s">
        <v>600</v>
      </c>
      <c r="LL3" s="141" t="s">
        <v>585</v>
      </c>
      <c r="LM3" s="141" t="s">
        <v>586</v>
      </c>
      <c r="LN3" s="141" t="s">
        <v>587</v>
      </c>
      <c r="LO3" s="141" t="s">
        <v>588</v>
      </c>
      <c r="LP3" s="141" t="s">
        <v>589</v>
      </c>
      <c r="LQ3" s="141" t="s">
        <v>590</v>
      </c>
      <c r="LR3" s="141" t="s">
        <v>523</v>
      </c>
      <c r="LS3" s="141" t="s">
        <v>591</v>
      </c>
      <c r="LT3" s="141" t="s">
        <v>592</v>
      </c>
      <c r="LU3" s="141" t="s">
        <v>593</v>
      </c>
      <c r="LV3" s="141" t="s">
        <v>594</v>
      </c>
      <c r="LW3" s="141" t="s">
        <v>595</v>
      </c>
      <c r="LX3" s="141" t="s">
        <v>596</v>
      </c>
      <c r="LY3" s="141" t="s">
        <v>597</v>
      </c>
      <c r="LZ3" s="141" t="s">
        <v>598</v>
      </c>
      <c r="MA3" s="141" t="s">
        <v>600</v>
      </c>
      <c r="MB3" s="151" t="s">
        <v>585</v>
      </c>
      <c r="MC3" s="151" t="s">
        <v>586</v>
      </c>
      <c r="MD3" s="151" t="s">
        <v>587</v>
      </c>
      <c r="ME3" s="151" t="s">
        <v>588</v>
      </c>
      <c r="MF3" s="151" t="s">
        <v>589</v>
      </c>
      <c r="MG3" s="151" t="s">
        <v>590</v>
      </c>
      <c r="MH3" s="151" t="s">
        <v>523</v>
      </c>
      <c r="MI3" s="151" t="s">
        <v>591</v>
      </c>
      <c r="MJ3" s="151" t="s">
        <v>592</v>
      </c>
      <c r="MK3" s="151" t="s">
        <v>593</v>
      </c>
      <c r="ML3" s="151" t="s">
        <v>594</v>
      </c>
      <c r="MM3" s="151" t="s">
        <v>595</v>
      </c>
      <c r="MN3" s="151" t="s">
        <v>596</v>
      </c>
      <c r="MO3" s="151" t="s">
        <v>597</v>
      </c>
      <c r="MP3" s="151" t="s">
        <v>598</v>
      </c>
      <c r="MQ3" s="151" t="s">
        <v>600</v>
      </c>
      <c r="MR3" s="141" t="s">
        <v>585</v>
      </c>
      <c r="MS3" s="141" t="s">
        <v>586</v>
      </c>
      <c r="MT3" s="141" t="s">
        <v>587</v>
      </c>
      <c r="MU3" s="141" t="s">
        <v>588</v>
      </c>
      <c r="MV3" s="141" t="s">
        <v>589</v>
      </c>
      <c r="MW3" s="141" t="s">
        <v>590</v>
      </c>
      <c r="MX3" s="141" t="s">
        <v>523</v>
      </c>
      <c r="MY3" s="141" t="s">
        <v>591</v>
      </c>
      <c r="MZ3" s="141" t="s">
        <v>592</v>
      </c>
      <c r="NA3" s="141" t="s">
        <v>593</v>
      </c>
      <c r="NB3" s="141" t="s">
        <v>594</v>
      </c>
      <c r="NC3" s="141" t="s">
        <v>595</v>
      </c>
      <c r="ND3" s="141" t="s">
        <v>596</v>
      </c>
      <c r="NE3" s="141" t="s">
        <v>597</v>
      </c>
      <c r="NF3" s="141" t="s">
        <v>598</v>
      </c>
      <c r="NG3" s="141" t="s">
        <v>600</v>
      </c>
      <c r="NH3" s="151" t="s">
        <v>585</v>
      </c>
      <c r="NI3" s="151" t="s">
        <v>586</v>
      </c>
      <c r="NJ3" s="151" t="s">
        <v>587</v>
      </c>
      <c r="NK3" s="151" t="s">
        <v>588</v>
      </c>
      <c r="NL3" s="151" t="s">
        <v>589</v>
      </c>
      <c r="NM3" s="151" t="s">
        <v>590</v>
      </c>
      <c r="NN3" s="151" t="s">
        <v>523</v>
      </c>
      <c r="NO3" s="151" t="s">
        <v>591</v>
      </c>
      <c r="NP3" s="151" t="s">
        <v>592</v>
      </c>
      <c r="NQ3" s="151" t="s">
        <v>593</v>
      </c>
      <c r="NR3" s="151" t="s">
        <v>594</v>
      </c>
      <c r="NS3" s="151" t="s">
        <v>595</v>
      </c>
      <c r="NT3" s="151" t="s">
        <v>596</v>
      </c>
      <c r="NU3" s="151" t="s">
        <v>597</v>
      </c>
      <c r="NV3" s="151" t="s">
        <v>598</v>
      </c>
      <c r="NW3" s="151" t="s">
        <v>600</v>
      </c>
      <c r="NX3" s="141" t="s">
        <v>585</v>
      </c>
      <c r="NY3" s="141" t="s">
        <v>586</v>
      </c>
      <c r="NZ3" s="141" t="s">
        <v>587</v>
      </c>
      <c r="OA3" s="141" t="s">
        <v>588</v>
      </c>
      <c r="OB3" s="141" t="s">
        <v>589</v>
      </c>
      <c r="OC3" s="141" t="s">
        <v>590</v>
      </c>
      <c r="OD3" s="141" t="s">
        <v>523</v>
      </c>
      <c r="OE3" s="141" t="s">
        <v>591</v>
      </c>
      <c r="OF3" s="141" t="s">
        <v>592</v>
      </c>
      <c r="OG3" s="141" t="s">
        <v>593</v>
      </c>
      <c r="OH3" s="141" t="s">
        <v>594</v>
      </c>
      <c r="OI3" s="141" t="s">
        <v>595</v>
      </c>
      <c r="OJ3" s="141" t="s">
        <v>596</v>
      </c>
      <c r="OK3" s="141" t="s">
        <v>597</v>
      </c>
      <c r="OL3" s="141" t="s">
        <v>598</v>
      </c>
      <c r="OM3" s="141" t="s">
        <v>600</v>
      </c>
      <c r="ON3" s="154" t="s">
        <v>273</v>
      </c>
      <c r="OO3" s="154" t="s">
        <v>601</v>
      </c>
      <c r="OP3" s="154" t="s">
        <v>602</v>
      </c>
      <c r="OQ3" s="142" t="s">
        <v>359</v>
      </c>
      <c r="OR3" s="142" t="s">
        <v>431</v>
      </c>
      <c r="OS3" s="142" t="s">
        <v>432</v>
      </c>
      <c r="OT3" s="151" t="s">
        <v>603</v>
      </c>
      <c r="OU3" s="151" t="s">
        <v>430</v>
      </c>
      <c r="OV3" s="155" t="s">
        <v>604</v>
      </c>
      <c r="OW3" s="155" t="s">
        <v>605</v>
      </c>
      <c r="OX3" s="155" t="s">
        <v>606</v>
      </c>
      <c r="OY3" s="155" t="s">
        <v>607</v>
      </c>
      <c r="OZ3" s="141" t="s">
        <v>608</v>
      </c>
      <c r="PA3" s="141" t="s">
        <v>609</v>
      </c>
      <c r="PB3" s="141" t="s">
        <v>610</v>
      </c>
      <c r="PC3" s="141" t="s">
        <v>611</v>
      </c>
      <c r="PD3" s="155" t="s">
        <v>612</v>
      </c>
      <c r="PE3" s="155" t="s">
        <v>613</v>
      </c>
      <c r="PF3" s="155" t="s">
        <v>614</v>
      </c>
      <c r="PG3" s="155" t="s">
        <v>615</v>
      </c>
      <c r="PH3" s="155" t="s">
        <v>616</v>
      </c>
      <c r="PI3" s="155" t="s">
        <v>617</v>
      </c>
      <c r="PJ3" s="141" t="s">
        <v>426</v>
      </c>
      <c r="PK3" s="141" t="s">
        <v>425</v>
      </c>
      <c r="PL3" s="141" t="s">
        <v>428</v>
      </c>
      <c r="PM3" s="141" t="s">
        <v>427</v>
      </c>
      <c r="PN3" s="141" t="s">
        <v>429</v>
      </c>
      <c r="PO3" s="141" t="s">
        <v>284</v>
      </c>
      <c r="PP3" s="155" t="s">
        <v>384</v>
      </c>
      <c r="PQ3" s="141" t="s">
        <v>587</v>
      </c>
      <c r="PR3" s="141" t="s">
        <v>598</v>
      </c>
      <c r="PS3" s="141" t="s">
        <v>590</v>
      </c>
      <c r="PT3" s="141" t="s">
        <v>596</v>
      </c>
      <c r="PU3" s="141" t="s">
        <v>523</v>
      </c>
      <c r="PV3" s="141" t="s">
        <v>592</v>
      </c>
      <c r="PW3" s="141" t="s">
        <v>597</v>
      </c>
      <c r="PX3" s="141" t="s">
        <v>595</v>
      </c>
      <c r="PY3" s="141" t="s">
        <v>594</v>
      </c>
      <c r="PZ3" s="155" t="s">
        <v>587</v>
      </c>
      <c r="QA3" s="155" t="s">
        <v>598</v>
      </c>
      <c r="QB3" s="155" t="s">
        <v>590</v>
      </c>
      <c r="QC3" s="155" t="s">
        <v>596</v>
      </c>
      <c r="QD3" s="155" t="s">
        <v>523</v>
      </c>
      <c r="QE3" s="155" t="s">
        <v>592</v>
      </c>
      <c r="QF3" s="155" t="s">
        <v>597</v>
      </c>
      <c r="QG3" s="155" t="s">
        <v>595</v>
      </c>
      <c r="QH3" s="155" t="s">
        <v>594</v>
      </c>
      <c r="QI3" s="141" t="s">
        <v>587</v>
      </c>
      <c r="QJ3" s="141" t="s">
        <v>598</v>
      </c>
      <c r="QK3" s="141" t="s">
        <v>590</v>
      </c>
      <c r="QL3" s="141" t="s">
        <v>596</v>
      </c>
      <c r="QM3" s="141" t="s">
        <v>523</v>
      </c>
      <c r="QN3" s="141" t="s">
        <v>592</v>
      </c>
      <c r="QO3" s="141" t="s">
        <v>597</v>
      </c>
      <c r="QP3" s="141" t="s">
        <v>595</v>
      </c>
      <c r="QQ3" s="141" t="s">
        <v>594</v>
      </c>
      <c r="QR3" s="155" t="s">
        <v>587</v>
      </c>
      <c r="QS3" s="155" t="s">
        <v>598</v>
      </c>
      <c r="QT3" s="155" t="s">
        <v>590</v>
      </c>
      <c r="QU3" s="155" t="s">
        <v>596</v>
      </c>
      <c r="QV3" s="155" t="s">
        <v>523</v>
      </c>
      <c r="QW3" s="155" t="s">
        <v>592</v>
      </c>
      <c r="QX3" s="155" t="s">
        <v>597</v>
      </c>
      <c r="QY3" s="155" t="s">
        <v>595</v>
      </c>
      <c r="QZ3" s="155" t="s">
        <v>594</v>
      </c>
      <c r="RA3" s="141" t="s">
        <v>435</v>
      </c>
      <c r="RB3" s="141" t="s">
        <v>459</v>
      </c>
      <c r="RC3" s="141" t="s">
        <v>436</v>
      </c>
      <c r="RD3" s="141" t="s">
        <v>437</v>
      </c>
      <c r="RE3" s="141" t="s">
        <v>438</v>
      </c>
      <c r="RF3" s="155" t="s">
        <v>618</v>
      </c>
      <c r="RG3" s="155" t="s">
        <v>619</v>
      </c>
      <c r="RH3" s="155" t="s">
        <v>620</v>
      </c>
      <c r="RI3" s="155" t="s">
        <v>621</v>
      </c>
      <c r="RJ3" s="155" t="s">
        <v>622</v>
      </c>
      <c r="RK3" s="155" t="s">
        <v>623</v>
      </c>
      <c r="RL3" s="141" t="s">
        <v>439</v>
      </c>
      <c r="RM3" s="141" t="s">
        <v>440</v>
      </c>
      <c r="RN3" s="141" t="s">
        <v>441</v>
      </c>
      <c r="RO3" s="141" t="s">
        <v>442</v>
      </c>
      <c r="RP3" s="141" t="s">
        <v>443</v>
      </c>
      <c r="RQ3" s="141" t="s">
        <v>444</v>
      </c>
      <c r="RR3" s="141" t="s">
        <v>433</v>
      </c>
      <c r="RS3" s="143" t="s">
        <v>449</v>
      </c>
      <c r="RT3" s="151" t="s">
        <v>624</v>
      </c>
      <c r="RU3" s="151" t="s">
        <v>625</v>
      </c>
      <c r="RV3" s="151" t="s">
        <v>238</v>
      </c>
      <c r="RW3" s="151" t="s">
        <v>626</v>
      </c>
      <c r="RX3" s="151" t="s">
        <v>627</v>
      </c>
      <c r="RY3" s="151" t="s">
        <v>241</v>
      </c>
      <c r="RZ3" s="151" t="s">
        <v>628</v>
      </c>
      <c r="SA3" s="151" t="s">
        <v>629</v>
      </c>
      <c r="SB3" s="151" t="s">
        <v>244</v>
      </c>
      <c r="SC3" s="151" t="s">
        <v>245</v>
      </c>
      <c r="SD3" s="151" t="s">
        <v>246</v>
      </c>
      <c r="SE3" s="151" t="s">
        <v>247</v>
      </c>
      <c r="SF3" s="141" t="s">
        <v>624</v>
      </c>
      <c r="SG3" s="141" t="s">
        <v>237</v>
      </c>
      <c r="SH3" s="141" t="s">
        <v>238</v>
      </c>
      <c r="SI3" s="141" t="s">
        <v>626</v>
      </c>
      <c r="SJ3" s="141" t="s">
        <v>627</v>
      </c>
      <c r="SK3" s="141" t="s">
        <v>241</v>
      </c>
      <c r="SL3" s="141" t="s">
        <v>628</v>
      </c>
      <c r="SM3" s="141" t="s">
        <v>629</v>
      </c>
      <c r="SN3" s="141" t="s">
        <v>244</v>
      </c>
      <c r="SO3" s="141" t="s">
        <v>245</v>
      </c>
      <c r="SP3" s="141" t="s">
        <v>246</v>
      </c>
      <c r="SQ3" s="141" t="s">
        <v>247</v>
      </c>
      <c r="SR3" s="151" t="s">
        <v>624</v>
      </c>
      <c r="SS3" s="151" t="s">
        <v>625</v>
      </c>
      <c r="ST3" s="151" t="s">
        <v>626</v>
      </c>
      <c r="SU3" s="151" t="s">
        <v>627</v>
      </c>
      <c r="SV3" s="151" t="s">
        <v>628</v>
      </c>
      <c r="SW3" s="151" t="s">
        <v>630</v>
      </c>
      <c r="SX3" s="141" t="s">
        <v>585</v>
      </c>
      <c r="SY3" s="141" t="s">
        <v>586</v>
      </c>
      <c r="SZ3" s="141" t="s">
        <v>587</v>
      </c>
      <c r="TA3" s="141" t="s">
        <v>588</v>
      </c>
      <c r="TB3" s="141" t="s">
        <v>589</v>
      </c>
      <c r="TC3" s="141" t="s">
        <v>590</v>
      </c>
      <c r="TD3" s="141" t="s">
        <v>523</v>
      </c>
      <c r="TE3" s="141" t="s">
        <v>591</v>
      </c>
      <c r="TF3" s="141" t="s">
        <v>592</v>
      </c>
      <c r="TG3" s="141" t="s">
        <v>593</v>
      </c>
      <c r="TH3" s="141" t="s">
        <v>594</v>
      </c>
      <c r="TI3" s="141" t="s">
        <v>595</v>
      </c>
      <c r="TJ3" s="141" t="s">
        <v>596</v>
      </c>
      <c r="TK3" s="141" t="s">
        <v>597</v>
      </c>
      <c r="TL3" s="141" t="s">
        <v>598</v>
      </c>
      <c r="TM3" s="141" t="s">
        <v>600</v>
      </c>
      <c r="TN3" s="151" t="s">
        <v>585</v>
      </c>
      <c r="TO3" s="151" t="s">
        <v>586</v>
      </c>
      <c r="TP3" s="151" t="s">
        <v>587</v>
      </c>
      <c r="TQ3" s="151" t="s">
        <v>588</v>
      </c>
      <c r="TR3" s="151" t="s">
        <v>589</v>
      </c>
      <c r="TS3" s="151" t="s">
        <v>590</v>
      </c>
      <c r="TT3" s="151" t="s">
        <v>523</v>
      </c>
      <c r="TU3" s="151" t="s">
        <v>591</v>
      </c>
      <c r="TV3" s="151" t="s">
        <v>592</v>
      </c>
      <c r="TW3" s="151" t="s">
        <v>593</v>
      </c>
      <c r="TX3" s="151" t="s">
        <v>594</v>
      </c>
      <c r="TY3" s="151" t="s">
        <v>595</v>
      </c>
      <c r="TZ3" s="151" t="s">
        <v>596</v>
      </c>
      <c r="UA3" s="151" t="s">
        <v>597</v>
      </c>
      <c r="UB3" s="151" t="s">
        <v>598</v>
      </c>
      <c r="UC3" s="151" t="s">
        <v>600</v>
      </c>
      <c r="UD3" s="141" t="s">
        <v>585</v>
      </c>
      <c r="UE3" s="141" t="s">
        <v>586</v>
      </c>
      <c r="UF3" s="141" t="s">
        <v>587</v>
      </c>
      <c r="UG3" s="141" t="s">
        <v>588</v>
      </c>
      <c r="UH3" s="141" t="s">
        <v>589</v>
      </c>
      <c r="UI3" s="141" t="s">
        <v>590</v>
      </c>
      <c r="UJ3" s="141" t="s">
        <v>523</v>
      </c>
      <c r="UK3" s="141" t="s">
        <v>591</v>
      </c>
      <c r="UL3" s="141" t="s">
        <v>592</v>
      </c>
      <c r="UM3" s="141" t="s">
        <v>593</v>
      </c>
      <c r="UN3" s="141" t="s">
        <v>594</v>
      </c>
      <c r="UO3" s="141" t="s">
        <v>595</v>
      </c>
      <c r="UP3" s="141" t="s">
        <v>596</v>
      </c>
      <c r="UQ3" s="141" t="s">
        <v>597</v>
      </c>
      <c r="UR3" s="141" t="s">
        <v>598</v>
      </c>
      <c r="US3" s="141" t="s">
        <v>600</v>
      </c>
      <c r="UT3" s="151" t="s">
        <v>585</v>
      </c>
      <c r="UU3" s="151" t="s">
        <v>586</v>
      </c>
      <c r="UV3" s="151" t="s">
        <v>587</v>
      </c>
      <c r="UW3" s="151" t="s">
        <v>588</v>
      </c>
      <c r="UX3" s="151" t="s">
        <v>589</v>
      </c>
      <c r="UY3" s="151" t="s">
        <v>590</v>
      </c>
      <c r="UZ3" s="151" t="s">
        <v>523</v>
      </c>
      <c r="VA3" s="151" t="s">
        <v>591</v>
      </c>
      <c r="VB3" s="151" t="s">
        <v>592</v>
      </c>
      <c r="VC3" s="151" t="s">
        <v>593</v>
      </c>
      <c r="VD3" s="151" t="s">
        <v>594</v>
      </c>
      <c r="VE3" s="151" t="s">
        <v>595</v>
      </c>
      <c r="VF3" s="151" t="s">
        <v>596</v>
      </c>
      <c r="VG3" s="151" t="s">
        <v>597</v>
      </c>
      <c r="VH3" s="151" t="s">
        <v>598</v>
      </c>
      <c r="VI3" s="151" t="s">
        <v>600</v>
      </c>
      <c r="VJ3" s="141" t="s">
        <v>585</v>
      </c>
      <c r="VK3" s="141" t="s">
        <v>586</v>
      </c>
      <c r="VL3" s="141" t="s">
        <v>587</v>
      </c>
      <c r="VM3" s="141" t="s">
        <v>588</v>
      </c>
      <c r="VN3" s="141" t="s">
        <v>589</v>
      </c>
      <c r="VO3" s="141" t="s">
        <v>590</v>
      </c>
      <c r="VP3" s="141" t="s">
        <v>523</v>
      </c>
      <c r="VQ3" s="141" t="s">
        <v>591</v>
      </c>
      <c r="VR3" s="141" t="s">
        <v>592</v>
      </c>
      <c r="VS3" s="141" t="s">
        <v>593</v>
      </c>
      <c r="VT3" s="141" t="s">
        <v>594</v>
      </c>
      <c r="VU3" s="141" t="s">
        <v>595</v>
      </c>
      <c r="VV3" s="141" t="s">
        <v>596</v>
      </c>
      <c r="VW3" s="141" t="s">
        <v>597</v>
      </c>
      <c r="VX3" s="141" t="s">
        <v>598</v>
      </c>
      <c r="VY3" s="141" t="s">
        <v>600</v>
      </c>
      <c r="VZ3" s="141" t="s">
        <v>585</v>
      </c>
      <c r="WA3" s="141" t="s">
        <v>586</v>
      </c>
      <c r="WB3" s="141" t="s">
        <v>587</v>
      </c>
      <c r="WC3" s="141" t="s">
        <v>588</v>
      </c>
      <c r="WD3" s="141" t="s">
        <v>589</v>
      </c>
      <c r="WE3" s="141" t="s">
        <v>590</v>
      </c>
      <c r="WF3" s="141" t="s">
        <v>523</v>
      </c>
      <c r="WG3" s="141" t="s">
        <v>591</v>
      </c>
      <c r="WH3" s="141" t="s">
        <v>592</v>
      </c>
      <c r="WI3" s="141" t="s">
        <v>593</v>
      </c>
      <c r="WJ3" s="141" t="s">
        <v>594</v>
      </c>
      <c r="WK3" s="141" t="s">
        <v>595</v>
      </c>
      <c r="WL3" s="141" t="s">
        <v>596</v>
      </c>
      <c r="WM3" s="141" t="s">
        <v>597</v>
      </c>
      <c r="WN3" s="141" t="s">
        <v>598</v>
      </c>
      <c r="WO3" s="141" t="s">
        <v>600</v>
      </c>
      <c r="WP3" s="151" t="s">
        <v>585</v>
      </c>
      <c r="WQ3" s="151" t="s">
        <v>586</v>
      </c>
      <c r="WR3" s="151" t="s">
        <v>587</v>
      </c>
      <c r="WS3" s="151" t="s">
        <v>588</v>
      </c>
      <c r="WT3" s="151" t="s">
        <v>589</v>
      </c>
      <c r="WU3" s="151" t="s">
        <v>590</v>
      </c>
      <c r="WV3" s="151" t="s">
        <v>523</v>
      </c>
      <c r="WW3" s="151" t="s">
        <v>591</v>
      </c>
      <c r="WX3" s="151" t="s">
        <v>592</v>
      </c>
      <c r="WY3" s="151" t="s">
        <v>593</v>
      </c>
      <c r="WZ3" s="151" t="s">
        <v>594</v>
      </c>
      <c r="XA3" s="151" t="s">
        <v>595</v>
      </c>
      <c r="XB3" s="151" t="s">
        <v>596</v>
      </c>
      <c r="XC3" s="151" t="s">
        <v>597</v>
      </c>
      <c r="XD3" s="151" t="s">
        <v>598</v>
      </c>
      <c r="XE3" s="151" t="s">
        <v>600</v>
      </c>
      <c r="XF3" s="141" t="s">
        <v>585</v>
      </c>
      <c r="XG3" s="141" t="s">
        <v>586</v>
      </c>
      <c r="XH3" s="141" t="s">
        <v>587</v>
      </c>
      <c r="XI3" s="141" t="s">
        <v>588</v>
      </c>
      <c r="XJ3" s="141" t="s">
        <v>589</v>
      </c>
      <c r="XK3" s="141" t="s">
        <v>590</v>
      </c>
      <c r="XL3" s="141" t="s">
        <v>523</v>
      </c>
      <c r="XM3" s="141" t="s">
        <v>591</v>
      </c>
      <c r="XN3" s="141" t="s">
        <v>592</v>
      </c>
      <c r="XO3" s="141" t="s">
        <v>593</v>
      </c>
      <c r="XP3" s="141" t="s">
        <v>594</v>
      </c>
      <c r="XQ3" s="141" t="s">
        <v>595</v>
      </c>
      <c r="XR3" s="141" t="s">
        <v>596</v>
      </c>
      <c r="XS3" s="141" t="s">
        <v>597</v>
      </c>
      <c r="XT3" s="141" t="s">
        <v>598</v>
      </c>
      <c r="XU3" s="141" t="s">
        <v>600</v>
      </c>
      <c r="XV3" s="151" t="s">
        <v>585</v>
      </c>
      <c r="XW3" s="151" t="s">
        <v>586</v>
      </c>
      <c r="XX3" s="151" t="s">
        <v>587</v>
      </c>
      <c r="XY3" s="151" t="s">
        <v>588</v>
      </c>
      <c r="XZ3" s="151" t="s">
        <v>589</v>
      </c>
      <c r="YA3" s="151" t="s">
        <v>590</v>
      </c>
      <c r="YB3" s="151" t="s">
        <v>523</v>
      </c>
      <c r="YC3" s="151" t="s">
        <v>591</v>
      </c>
      <c r="YD3" s="151" t="s">
        <v>592</v>
      </c>
      <c r="YE3" s="151" t="s">
        <v>593</v>
      </c>
      <c r="YF3" s="151" t="s">
        <v>594</v>
      </c>
      <c r="YG3" s="151" t="s">
        <v>595</v>
      </c>
      <c r="YH3" s="151" t="s">
        <v>596</v>
      </c>
      <c r="YI3" s="151" t="s">
        <v>597</v>
      </c>
      <c r="YJ3" s="151" t="s">
        <v>598</v>
      </c>
      <c r="YK3" s="151" t="s">
        <v>600</v>
      </c>
      <c r="YL3" s="141" t="s">
        <v>585</v>
      </c>
      <c r="YM3" s="141" t="s">
        <v>586</v>
      </c>
      <c r="YN3" s="141" t="s">
        <v>587</v>
      </c>
      <c r="YO3" s="141" t="s">
        <v>588</v>
      </c>
      <c r="YP3" s="141" t="s">
        <v>589</v>
      </c>
      <c r="YQ3" s="141" t="s">
        <v>590</v>
      </c>
      <c r="YR3" s="141" t="s">
        <v>523</v>
      </c>
      <c r="YS3" s="141" t="s">
        <v>591</v>
      </c>
      <c r="YT3" s="141" t="s">
        <v>592</v>
      </c>
      <c r="YU3" s="141" t="s">
        <v>593</v>
      </c>
      <c r="YV3" s="141" t="s">
        <v>594</v>
      </c>
      <c r="YW3" s="141" t="s">
        <v>595</v>
      </c>
      <c r="YX3" s="141" t="s">
        <v>596</v>
      </c>
      <c r="YY3" s="141" t="s">
        <v>597</v>
      </c>
      <c r="YZ3" s="141" t="s">
        <v>598</v>
      </c>
      <c r="ZA3" s="141" t="s">
        <v>600</v>
      </c>
      <c r="ZB3" s="151" t="s">
        <v>585</v>
      </c>
      <c r="ZC3" s="151" t="s">
        <v>586</v>
      </c>
      <c r="ZD3" s="151" t="s">
        <v>587</v>
      </c>
      <c r="ZE3" s="151" t="s">
        <v>588</v>
      </c>
      <c r="ZF3" s="151" t="s">
        <v>589</v>
      </c>
      <c r="ZG3" s="151" t="s">
        <v>590</v>
      </c>
      <c r="ZH3" s="151" t="s">
        <v>523</v>
      </c>
      <c r="ZI3" s="151" t="s">
        <v>591</v>
      </c>
      <c r="ZJ3" s="151" t="s">
        <v>592</v>
      </c>
      <c r="ZK3" s="151" t="s">
        <v>593</v>
      </c>
      <c r="ZL3" s="151" t="s">
        <v>594</v>
      </c>
      <c r="ZM3" s="151" t="s">
        <v>595</v>
      </c>
      <c r="ZN3" s="151" t="s">
        <v>596</v>
      </c>
      <c r="ZO3" s="151" t="s">
        <v>597</v>
      </c>
      <c r="ZP3" s="151" t="s">
        <v>598</v>
      </c>
      <c r="ZQ3" s="151" t="s">
        <v>600</v>
      </c>
      <c r="ZR3" s="141" t="s">
        <v>585</v>
      </c>
      <c r="ZS3" s="141" t="s">
        <v>586</v>
      </c>
      <c r="ZT3" s="141" t="s">
        <v>587</v>
      </c>
      <c r="ZU3" s="141" t="s">
        <v>588</v>
      </c>
      <c r="ZV3" s="141" t="s">
        <v>589</v>
      </c>
      <c r="ZW3" s="141" t="s">
        <v>590</v>
      </c>
      <c r="ZX3" s="141" t="s">
        <v>523</v>
      </c>
      <c r="ZY3" s="141" t="s">
        <v>591</v>
      </c>
      <c r="ZZ3" s="141" t="s">
        <v>592</v>
      </c>
      <c r="AAA3" s="141" t="s">
        <v>593</v>
      </c>
      <c r="AAB3" s="141" t="s">
        <v>594</v>
      </c>
      <c r="AAC3" s="141" t="s">
        <v>595</v>
      </c>
      <c r="AAD3" s="141" t="s">
        <v>596</v>
      </c>
      <c r="AAE3" s="141" t="s">
        <v>597</v>
      </c>
      <c r="AAF3" s="141" t="s">
        <v>598</v>
      </c>
      <c r="AAG3" s="141" t="s">
        <v>600</v>
      </c>
      <c r="AAH3" s="151" t="s">
        <v>585</v>
      </c>
      <c r="AAI3" s="151" t="s">
        <v>586</v>
      </c>
      <c r="AAJ3" s="151" t="s">
        <v>587</v>
      </c>
      <c r="AAK3" s="151" t="s">
        <v>588</v>
      </c>
      <c r="AAL3" s="151" t="s">
        <v>589</v>
      </c>
      <c r="AAM3" s="151" t="s">
        <v>590</v>
      </c>
      <c r="AAN3" s="151" t="s">
        <v>523</v>
      </c>
      <c r="AAO3" s="151" t="s">
        <v>591</v>
      </c>
      <c r="AAP3" s="151" t="s">
        <v>592</v>
      </c>
      <c r="AAQ3" s="151" t="s">
        <v>593</v>
      </c>
      <c r="AAR3" s="151" t="s">
        <v>594</v>
      </c>
      <c r="AAS3" s="151" t="s">
        <v>595</v>
      </c>
      <c r="AAT3" s="151" t="s">
        <v>596</v>
      </c>
      <c r="AAU3" s="151" t="s">
        <v>597</v>
      </c>
      <c r="AAV3" s="151" t="s">
        <v>598</v>
      </c>
      <c r="AAW3" s="151" t="s">
        <v>600</v>
      </c>
      <c r="AAX3" s="141" t="s">
        <v>585</v>
      </c>
      <c r="AAY3" s="141" t="s">
        <v>586</v>
      </c>
      <c r="AAZ3" s="141" t="s">
        <v>587</v>
      </c>
      <c r="ABA3" s="141" t="s">
        <v>588</v>
      </c>
      <c r="ABB3" s="141" t="s">
        <v>589</v>
      </c>
      <c r="ABC3" s="141" t="s">
        <v>590</v>
      </c>
      <c r="ABD3" s="141" t="s">
        <v>523</v>
      </c>
      <c r="ABE3" s="141" t="s">
        <v>591</v>
      </c>
      <c r="ABF3" s="141" t="s">
        <v>592</v>
      </c>
      <c r="ABG3" s="141" t="s">
        <v>593</v>
      </c>
      <c r="ABH3" s="141" t="s">
        <v>594</v>
      </c>
      <c r="ABI3" s="141" t="s">
        <v>595</v>
      </c>
      <c r="ABJ3" s="141" t="s">
        <v>596</v>
      </c>
      <c r="ABK3" s="141" t="s">
        <v>597</v>
      </c>
      <c r="ABL3" s="141" t="s">
        <v>598</v>
      </c>
      <c r="ABM3" s="141" t="s">
        <v>600</v>
      </c>
      <c r="ABN3" s="151" t="s">
        <v>585</v>
      </c>
      <c r="ABO3" s="151" t="s">
        <v>586</v>
      </c>
      <c r="ABP3" s="151" t="s">
        <v>587</v>
      </c>
      <c r="ABQ3" s="151" t="s">
        <v>588</v>
      </c>
      <c r="ABR3" s="151" t="s">
        <v>589</v>
      </c>
      <c r="ABS3" s="151" t="s">
        <v>590</v>
      </c>
      <c r="ABT3" s="151" t="s">
        <v>523</v>
      </c>
      <c r="ABU3" s="151" t="s">
        <v>591</v>
      </c>
      <c r="ABV3" s="151" t="s">
        <v>592</v>
      </c>
      <c r="ABW3" s="151" t="s">
        <v>593</v>
      </c>
      <c r="ABX3" s="151" t="s">
        <v>594</v>
      </c>
      <c r="ABY3" s="151" t="s">
        <v>595</v>
      </c>
      <c r="ABZ3" s="151" t="s">
        <v>596</v>
      </c>
      <c r="ACA3" s="151" t="s">
        <v>597</v>
      </c>
      <c r="ACB3" s="151" t="s">
        <v>598</v>
      </c>
      <c r="ACC3" s="151" t="s">
        <v>600</v>
      </c>
      <c r="ACD3" s="141" t="s">
        <v>631</v>
      </c>
      <c r="ACE3" s="141" t="s">
        <v>632</v>
      </c>
      <c r="ACF3" s="141" t="s">
        <v>445</v>
      </c>
      <c r="ACG3" s="141" t="s">
        <v>378</v>
      </c>
      <c r="ACH3" s="141" t="s">
        <v>446</v>
      </c>
      <c r="ACI3" s="141" t="s">
        <v>633</v>
      </c>
      <c r="ACJ3" s="141" t="s">
        <v>434</v>
      </c>
      <c r="ACK3" s="156" t="s">
        <v>585</v>
      </c>
      <c r="ACL3" s="156" t="s">
        <v>586</v>
      </c>
      <c r="ACM3" s="156" t="s">
        <v>587</v>
      </c>
      <c r="ACN3" s="156" t="s">
        <v>588</v>
      </c>
      <c r="ACO3" s="156" t="s">
        <v>589</v>
      </c>
      <c r="ACP3" s="156" t="s">
        <v>590</v>
      </c>
      <c r="ACQ3" s="156" t="s">
        <v>523</v>
      </c>
      <c r="ACR3" s="156" t="s">
        <v>591</v>
      </c>
      <c r="ACS3" s="156" t="s">
        <v>592</v>
      </c>
      <c r="ACT3" s="156" t="s">
        <v>593</v>
      </c>
      <c r="ACU3" s="156" t="s">
        <v>594</v>
      </c>
      <c r="ACV3" s="156" t="s">
        <v>595</v>
      </c>
      <c r="ACW3" s="156" t="s">
        <v>596</v>
      </c>
      <c r="ACX3" s="156" t="s">
        <v>597</v>
      </c>
      <c r="ACY3" s="156" t="s">
        <v>598</v>
      </c>
      <c r="ACZ3" s="156" t="s">
        <v>600</v>
      </c>
      <c r="ADA3" s="156" t="s">
        <v>585</v>
      </c>
      <c r="ADB3" s="156" t="s">
        <v>586</v>
      </c>
      <c r="ADC3" s="156" t="s">
        <v>587</v>
      </c>
      <c r="ADD3" s="156" t="s">
        <v>588</v>
      </c>
      <c r="ADE3" s="156" t="s">
        <v>589</v>
      </c>
      <c r="ADF3" s="156" t="s">
        <v>590</v>
      </c>
      <c r="ADG3" s="156" t="s">
        <v>523</v>
      </c>
      <c r="ADH3" s="156" t="s">
        <v>591</v>
      </c>
      <c r="ADI3" s="156" t="s">
        <v>592</v>
      </c>
      <c r="ADJ3" s="156" t="s">
        <v>593</v>
      </c>
      <c r="ADK3" s="156" t="s">
        <v>594</v>
      </c>
      <c r="ADL3" s="156" t="s">
        <v>595</v>
      </c>
      <c r="ADM3" s="156" t="s">
        <v>596</v>
      </c>
      <c r="ADN3" s="156" t="s">
        <v>597</v>
      </c>
      <c r="ADO3" s="156" t="s">
        <v>598</v>
      </c>
      <c r="ADP3" s="156" t="s">
        <v>600</v>
      </c>
      <c r="ADQ3" s="156" t="s">
        <v>585</v>
      </c>
      <c r="ADR3" s="156" t="s">
        <v>586</v>
      </c>
      <c r="ADS3" s="156" t="s">
        <v>587</v>
      </c>
      <c r="ADT3" s="156" t="s">
        <v>588</v>
      </c>
      <c r="ADU3" s="156" t="s">
        <v>589</v>
      </c>
      <c r="ADV3" s="156" t="s">
        <v>590</v>
      </c>
      <c r="ADW3" s="156" t="s">
        <v>523</v>
      </c>
      <c r="ADX3" s="156" t="s">
        <v>591</v>
      </c>
      <c r="ADY3" s="156" t="s">
        <v>592</v>
      </c>
      <c r="ADZ3" s="156" t="s">
        <v>593</v>
      </c>
      <c r="AEA3" s="156" t="s">
        <v>594</v>
      </c>
      <c r="AEB3" s="156" t="s">
        <v>595</v>
      </c>
      <c r="AEC3" s="156" t="s">
        <v>596</v>
      </c>
      <c r="AED3" s="156" t="s">
        <v>597</v>
      </c>
      <c r="AEE3" s="156" t="s">
        <v>598</v>
      </c>
      <c r="AEF3" s="156" t="s">
        <v>600</v>
      </c>
      <c r="AEG3" s="156" t="s">
        <v>585</v>
      </c>
      <c r="AEH3" s="156" t="s">
        <v>586</v>
      </c>
      <c r="AEI3" s="156" t="s">
        <v>587</v>
      </c>
      <c r="AEJ3" s="156" t="s">
        <v>588</v>
      </c>
      <c r="AEK3" s="156" t="s">
        <v>589</v>
      </c>
      <c r="AEL3" s="156" t="s">
        <v>590</v>
      </c>
      <c r="AEM3" s="156" t="s">
        <v>523</v>
      </c>
      <c r="AEN3" s="156" t="s">
        <v>591</v>
      </c>
      <c r="AEO3" s="156" t="s">
        <v>592</v>
      </c>
      <c r="AEP3" s="156" t="s">
        <v>593</v>
      </c>
      <c r="AEQ3" s="156" t="s">
        <v>594</v>
      </c>
      <c r="AER3" s="156" t="s">
        <v>595</v>
      </c>
      <c r="AES3" s="156" t="s">
        <v>596</v>
      </c>
      <c r="AET3" s="156" t="s">
        <v>597</v>
      </c>
      <c r="AEU3" s="156" t="s">
        <v>598</v>
      </c>
      <c r="AEV3" s="156" t="s">
        <v>600</v>
      </c>
      <c r="AEW3" s="156" t="s">
        <v>585</v>
      </c>
      <c r="AEX3" s="156" t="s">
        <v>586</v>
      </c>
      <c r="AEY3" s="156" t="s">
        <v>587</v>
      </c>
      <c r="AEZ3" s="156" t="s">
        <v>588</v>
      </c>
      <c r="AFA3" s="156" t="s">
        <v>589</v>
      </c>
      <c r="AFB3" s="156" t="s">
        <v>590</v>
      </c>
      <c r="AFC3" s="156" t="s">
        <v>523</v>
      </c>
      <c r="AFD3" s="156" t="s">
        <v>591</v>
      </c>
      <c r="AFE3" s="156" t="s">
        <v>592</v>
      </c>
      <c r="AFF3" s="156" t="s">
        <v>593</v>
      </c>
      <c r="AFG3" s="156" t="s">
        <v>594</v>
      </c>
      <c r="AFH3" s="156" t="s">
        <v>595</v>
      </c>
      <c r="AFI3" s="156" t="s">
        <v>596</v>
      </c>
      <c r="AFJ3" s="156" t="s">
        <v>597</v>
      </c>
      <c r="AFK3" s="156" t="s">
        <v>598</v>
      </c>
      <c r="AFL3" s="156" t="s">
        <v>600</v>
      </c>
      <c r="AFM3" s="156" t="s">
        <v>585</v>
      </c>
      <c r="AFN3" s="156" t="s">
        <v>586</v>
      </c>
      <c r="AFO3" s="156" t="s">
        <v>587</v>
      </c>
      <c r="AFP3" s="156" t="s">
        <v>588</v>
      </c>
      <c r="AFQ3" s="156" t="s">
        <v>589</v>
      </c>
      <c r="AFR3" s="156" t="s">
        <v>590</v>
      </c>
      <c r="AFS3" s="156" t="s">
        <v>523</v>
      </c>
      <c r="AFT3" s="156" t="s">
        <v>591</v>
      </c>
      <c r="AFU3" s="156" t="s">
        <v>592</v>
      </c>
      <c r="AFV3" s="156" t="s">
        <v>593</v>
      </c>
      <c r="AFW3" s="156" t="s">
        <v>594</v>
      </c>
      <c r="AFX3" s="156" t="s">
        <v>595</v>
      </c>
      <c r="AFY3" s="156" t="s">
        <v>596</v>
      </c>
      <c r="AFZ3" s="156" t="s">
        <v>597</v>
      </c>
      <c r="AGA3" s="156" t="s">
        <v>598</v>
      </c>
      <c r="AGB3" s="156" t="s">
        <v>600</v>
      </c>
      <c r="AGC3" s="156" t="s">
        <v>585</v>
      </c>
      <c r="AGD3" s="156" t="s">
        <v>586</v>
      </c>
      <c r="AGE3" s="156" t="s">
        <v>587</v>
      </c>
      <c r="AGF3" s="156" t="s">
        <v>588</v>
      </c>
      <c r="AGG3" s="156" t="s">
        <v>589</v>
      </c>
      <c r="AGH3" s="156" t="s">
        <v>590</v>
      </c>
      <c r="AGI3" s="156" t="s">
        <v>523</v>
      </c>
      <c r="AGJ3" s="156" t="s">
        <v>591</v>
      </c>
      <c r="AGK3" s="156" t="s">
        <v>592</v>
      </c>
      <c r="AGL3" s="156" t="s">
        <v>593</v>
      </c>
      <c r="AGM3" s="156" t="s">
        <v>594</v>
      </c>
      <c r="AGN3" s="156" t="s">
        <v>595</v>
      </c>
      <c r="AGO3" s="156" t="s">
        <v>596</v>
      </c>
      <c r="AGP3" s="156" t="s">
        <v>597</v>
      </c>
      <c r="AGQ3" s="156" t="s">
        <v>598</v>
      </c>
      <c r="AGR3" s="156" t="s">
        <v>600</v>
      </c>
      <c r="AGS3" s="156" t="s">
        <v>585</v>
      </c>
      <c r="AGT3" s="156" t="s">
        <v>586</v>
      </c>
      <c r="AGU3" s="156" t="s">
        <v>587</v>
      </c>
      <c r="AGV3" s="156" t="s">
        <v>588</v>
      </c>
      <c r="AGW3" s="156" t="s">
        <v>589</v>
      </c>
      <c r="AGX3" s="156" t="s">
        <v>590</v>
      </c>
      <c r="AGY3" s="156" t="s">
        <v>523</v>
      </c>
      <c r="AGZ3" s="156" t="s">
        <v>591</v>
      </c>
      <c r="AHA3" s="156" t="s">
        <v>592</v>
      </c>
      <c r="AHB3" s="156" t="s">
        <v>593</v>
      </c>
      <c r="AHC3" s="156" t="s">
        <v>594</v>
      </c>
      <c r="AHD3" s="156" t="s">
        <v>595</v>
      </c>
      <c r="AHE3" s="156" t="s">
        <v>596</v>
      </c>
      <c r="AHF3" s="156" t="s">
        <v>597</v>
      </c>
      <c r="AHG3" s="156" t="s">
        <v>598</v>
      </c>
      <c r="AHH3" s="156" t="s">
        <v>600</v>
      </c>
      <c r="AHI3" s="156" t="s">
        <v>585</v>
      </c>
      <c r="AHJ3" s="156" t="s">
        <v>586</v>
      </c>
      <c r="AHK3" s="156" t="s">
        <v>587</v>
      </c>
      <c r="AHL3" s="156" t="s">
        <v>588</v>
      </c>
      <c r="AHM3" s="156" t="s">
        <v>589</v>
      </c>
      <c r="AHN3" s="156" t="s">
        <v>590</v>
      </c>
      <c r="AHO3" s="156" t="s">
        <v>523</v>
      </c>
      <c r="AHP3" s="156" t="s">
        <v>591</v>
      </c>
      <c r="AHQ3" s="156" t="s">
        <v>592</v>
      </c>
      <c r="AHR3" s="156" t="s">
        <v>593</v>
      </c>
      <c r="AHS3" s="156" t="s">
        <v>594</v>
      </c>
      <c r="AHT3" s="156" t="s">
        <v>595</v>
      </c>
      <c r="AHU3" s="156" t="s">
        <v>596</v>
      </c>
      <c r="AHV3" s="156" t="s">
        <v>597</v>
      </c>
      <c r="AHW3" s="156" t="s">
        <v>598</v>
      </c>
      <c r="AHX3" s="156" t="s">
        <v>600</v>
      </c>
      <c r="AHY3" s="156" t="s">
        <v>585</v>
      </c>
      <c r="AHZ3" s="156" t="s">
        <v>586</v>
      </c>
      <c r="AIA3" s="156" t="s">
        <v>587</v>
      </c>
      <c r="AIB3" s="156" t="s">
        <v>588</v>
      </c>
      <c r="AIC3" s="156" t="s">
        <v>589</v>
      </c>
      <c r="AID3" s="156" t="s">
        <v>590</v>
      </c>
      <c r="AIE3" s="156" t="s">
        <v>523</v>
      </c>
      <c r="AIF3" s="156" t="s">
        <v>591</v>
      </c>
      <c r="AIG3" s="156" t="s">
        <v>592</v>
      </c>
      <c r="AIH3" s="156" t="s">
        <v>593</v>
      </c>
      <c r="AII3" s="156" t="s">
        <v>594</v>
      </c>
      <c r="AIJ3" s="156" t="s">
        <v>595</v>
      </c>
      <c r="AIK3" s="156" t="s">
        <v>596</v>
      </c>
      <c r="AIL3" s="156" t="s">
        <v>597</v>
      </c>
      <c r="AIM3" s="156" t="s">
        <v>598</v>
      </c>
      <c r="AIN3" s="156" t="s">
        <v>600</v>
      </c>
      <c r="AIO3" s="156" t="s">
        <v>585</v>
      </c>
      <c r="AIP3" s="156" t="s">
        <v>586</v>
      </c>
      <c r="AIQ3" s="156" t="s">
        <v>587</v>
      </c>
      <c r="AIR3" s="156" t="s">
        <v>588</v>
      </c>
      <c r="AIS3" s="156" t="s">
        <v>589</v>
      </c>
      <c r="AIT3" s="156" t="s">
        <v>590</v>
      </c>
      <c r="AIU3" s="156" t="s">
        <v>523</v>
      </c>
      <c r="AIV3" s="156" t="s">
        <v>591</v>
      </c>
      <c r="AIW3" s="156" t="s">
        <v>592</v>
      </c>
      <c r="AIX3" s="156" t="s">
        <v>593</v>
      </c>
      <c r="AIY3" s="156" t="s">
        <v>594</v>
      </c>
      <c r="AIZ3" s="156" t="s">
        <v>595</v>
      </c>
      <c r="AJA3" s="156" t="s">
        <v>596</v>
      </c>
      <c r="AJB3" s="156" t="s">
        <v>597</v>
      </c>
      <c r="AJC3" s="156" t="s">
        <v>598</v>
      </c>
      <c r="AJD3" s="156" t="s">
        <v>600</v>
      </c>
      <c r="AJE3" s="156" t="s">
        <v>585</v>
      </c>
      <c r="AJF3" s="156" t="s">
        <v>586</v>
      </c>
      <c r="AJG3" s="156" t="s">
        <v>587</v>
      </c>
      <c r="AJH3" s="156" t="s">
        <v>588</v>
      </c>
      <c r="AJI3" s="156" t="s">
        <v>589</v>
      </c>
      <c r="AJJ3" s="156" t="s">
        <v>590</v>
      </c>
      <c r="AJK3" s="156" t="s">
        <v>523</v>
      </c>
      <c r="AJL3" s="156" t="s">
        <v>591</v>
      </c>
      <c r="AJM3" s="156" t="s">
        <v>592</v>
      </c>
      <c r="AJN3" s="156" t="s">
        <v>593</v>
      </c>
      <c r="AJO3" s="156" t="s">
        <v>594</v>
      </c>
      <c r="AJP3" s="156" t="s">
        <v>595</v>
      </c>
      <c r="AJQ3" s="156" t="s">
        <v>596</v>
      </c>
      <c r="AJR3" s="156" t="s">
        <v>597</v>
      </c>
      <c r="AJS3" s="156" t="s">
        <v>598</v>
      </c>
      <c r="AJT3" s="156" t="s">
        <v>600</v>
      </c>
      <c r="AJU3" s="156" t="s">
        <v>585</v>
      </c>
      <c r="AJV3" s="156" t="s">
        <v>586</v>
      </c>
      <c r="AJW3" s="156" t="s">
        <v>587</v>
      </c>
      <c r="AJX3" s="156" t="s">
        <v>588</v>
      </c>
      <c r="AJY3" s="156" t="s">
        <v>589</v>
      </c>
      <c r="AJZ3" s="156" t="s">
        <v>590</v>
      </c>
      <c r="AKA3" s="156" t="s">
        <v>523</v>
      </c>
      <c r="AKB3" s="156" t="s">
        <v>591</v>
      </c>
      <c r="AKC3" s="156" t="s">
        <v>592</v>
      </c>
      <c r="AKD3" s="156" t="s">
        <v>593</v>
      </c>
      <c r="AKE3" s="156" t="s">
        <v>594</v>
      </c>
      <c r="AKF3" s="156" t="s">
        <v>595</v>
      </c>
      <c r="AKG3" s="156" t="s">
        <v>596</v>
      </c>
      <c r="AKH3" s="156" t="s">
        <v>597</v>
      </c>
      <c r="AKI3" s="156" t="s">
        <v>598</v>
      </c>
      <c r="AKJ3" s="156" t="s">
        <v>600</v>
      </c>
      <c r="AKK3" s="156" t="s">
        <v>585</v>
      </c>
      <c r="AKL3" s="156" t="s">
        <v>586</v>
      </c>
      <c r="AKM3" s="156" t="s">
        <v>587</v>
      </c>
      <c r="AKN3" s="156" t="s">
        <v>588</v>
      </c>
      <c r="AKO3" s="156" t="s">
        <v>589</v>
      </c>
      <c r="AKP3" s="156" t="s">
        <v>590</v>
      </c>
      <c r="AKQ3" s="156" t="s">
        <v>523</v>
      </c>
      <c r="AKR3" s="156" t="s">
        <v>591</v>
      </c>
      <c r="AKS3" s="156" t="s">
        <v>592</v>
      </c>
      <c r="AKT3" s="156" t="s">
        <v>593</v>
      </c>
      <c r="AKU3" s="156" t="s">
        <v>594</v>
      </c>
      <c r="AKV3" s="156" t="s">
        <v>595</v>
      </c>
      <c r="AKW3" s="156" t="s">
        <v>596</v>
      </c>
      <c r="AKX3" s="156" t="s">
        <v>597</v>
      </c>
      <c r="AKY3" s="156" t="s">
        <v>598</v>
      </c>
      <c r="AKZ3" s="156" t="s">
        <v>600</v>
      </c>
      <c r="ALA3" s="156" t="s">
        <v>585</v>
      </c>
      <c r="ALB3" s="156" t="s">
        <v>586</v>
      </c>
      <c r="ALC3" s="156" t="s">
        <v>587</v>
      </c>
      <c r="ALD3" s="156" t="s">
        <v>588</v>
      </c>
      <c r="ALE3" s="156" t="s">
        <v>589</v>
      </c>
      <c r="ALF3" s="156" t="s">
        <v>590</v>
      </c>
      <c r="ALG3" s="156" t="s">
        <v>523</v>
      </c>
      <c r="ALH3" s="156" t="s">
        <v>591</v>
      </c>
      <c r="ALI3" s="156" t="s">
        <v>592</v>
      </c>
      <c r="ALJ3" s="156" t="s">
        <v>593</v>
      </c>
      <c r="ALK3" s="156" t="s">
        <v>594</v>
      </c>
      <c r="ALL3" s="156" t="s">
        <v>595</v>
      </c>
      <c r="ALM3" s="156" t="s">
        <v>596</v>
      </c>
      <c r="ALN3" s="156" t="s">
        <v>597</v>
      </c>
      <c r="ALO3" s="156" t="s">
        <v>598</v>
      </c>
      <c r="ALP3" s="156" t="s">
        <v>600</v>
      </c>
      <c r="ALQ3" s="156" t="s">
        <v>585</v>
      </c>
      <c r="ALR3" s="156" t="s">
        <v>586</v>
      </c>
      <c r="ALS3" s="156" t="s">
        <v>587</v>
      </c>
      <c r="ALT3" s="156" t="s">
        <v>588</v>
      </c>
      <c r="ALU3" s="156" t="s">
        <v>589</v>
      </c>
      <c r="ALV3" s="156" t="s">
        <v>590</v>
      </c>
      <c r="ALW3" s="156" t="s">
        <v>523</v>
      </c>
      <c r="ALX3" s="156" t="s">
        <v>591</v>
      </c>
      <c r="ALY3" s="156" t="s">
        <v>592</v>
      </c>
      <c r="ALZ3" s="156" t="s">
        <v>593</v>
      </c>
      <c r="AMA3" s="156" t="s">
        <v>594</v>
      </c>
      <c r="AMB3" s="156" t="s">
        <v>595</v>
      </c>
      <c r="AMC3" s="156" t="s">
        <v>596</v>
      </c>
      <c r="AMD3" s="156" t="s">
        <v>597</v>
      </c>
      <c r="AME3" s="156" t="s">
        <v>598</v>
      </c>
      <c r="AMF3" s="157" t="s">
        <v>600</v>
      </c>
    </row>
    <row r="4" spans="4:1020" s="158" customFormat="1" ht="40.8">
      <c r="D4" s="109"/>
      <c r="E4" s="109"/>
      <c r="F4" s="109"/>
      <c r="G4" s="109"/>
      <c r="H4" s="109"/>
      <c r="I4" s="149"/>
      <c r="J4" s="150" t="s">
        <v>634</v>
      </c>
      <c r="K4" s="151" t="s">
        <v>634</v>
      </c>
      <c r="L4" s="151" t="s">
        <v>634</v>
      </c>
      <c r="M4" s="151" t="s">
        <v>634</v>
      </c>
      <c r="N4" s="151" t="s">
        <v>634</v>
      </c>
      <c r="O4" s="151" t="s">
        <v>634</v>
      </c>
      <c r="P4" s="151" t="s">
        <v>634</v>
      </c>
      <c r="Q4" s="151" t="s">
        <v>634</v>
      </c>
      <c r="R4" s="151" t="s">
        <v>634</v>
      </c>
      <c r="S4" s="151" t="s">
        <v>634</v>
      </c>
      <c r="T4" s="151" t="s">
        <v>634</v>
      </c>
      <c r="U4" s="151" t="s">
        <v>634</v>
      </c>
      <c r="V4" s="151" t="s">
        <v>634</v>
      </c>
      <c r="W4" s="151" t="s">
        <v>634</v>
      </c>
      <c r="X4" s="151" t="s">
        <v>634</v>
      </c>
      <c r="Y4" s="151" t="s">
        <v>634</v>
      </c>
      <c r="Z4" s="152" t="s">
        <v>634</v>
      </c>
      <c r="AA4" s="153" t="s">
        <v>635</v>
      </c>
      <c r="AB4" s="141" t="s">
        <v>635</v>
      </c>
      <c r="AC4" s="141" t="s">
        <v>635</v>
      </c>
      <c r="AD4" s="141" t="s">
        <v>635</v>
      </c>
      <c r="AE4" s="141" t="s">
        <v>635</v>
      </c>
      <c r="AF4" s="141" t="s">
        <v>635</v>
      </c>
      <c r="AG4" s="141" t="s">
        <v>635</v>
      </c>
      <c r="AH4" s="141" t="s">
        <v>635</v>
      </c>
      <c r="AI4" s="141" t="s">
        <v>635</v>
      </c>
      <c r="AJ4" s="141" t="s">
        <v>635</v>
      </c>
      <c r="AK4" s="141" t="s">
        <v>635</v>
      </c>
      <c r="AL4" s="141" t="s">
        <v>635</v>
      </c>
      <c r="AM4" s="141" t="s">
        <v>635</v>
      </c>
      <c r="AN4" s="141" t="s">
        <v>635</v>
      </c>
      <c r="AO4" s="141" t="s">
        <v>635</v>
      </c>
      <c r="AP4" s="141" t="s">
        <v>635</v>
      </c>
      <c r="AQ4" s="141" t="s">
        <v>635</v>
      </c>
      <c r="AR4" s="151" t="s">
        <v>634</v>
      </c>
      <c r="AS4" s="151" t="s">
        <v>634</v>
      </c>
      <c r="AT4" s="151" t="s">
        <v>634</v>
      </c>
      <c r="AU4" s="151" t="s">
        <v>634</v>
      </c>
      <c r="AV4" s="151" t="s">
        <v>634</v>
      </c>
      <c r="AW4" s="151" t="s">
        <v>634</v>
      </c>
      <c r="AX4" s="151" t="s">
        <v>634</v>
      </c>
      <c r="AY4" s="151" t="s">
        <v>634</v>
      </c>
      <c r="AZ4" s="151" t="s">
        <v>634</v>
      </c>
      <c r="BA4" s="151" t="s">
        <v>634</v>
      </c>
      <c r="BB4" s="151" t="s">
        <v>634</v>
      </c>
      <c r="BC4" s="151" t="s">
        <v>634</v>
      </c>
      <c r="BD4" s="151" t="s">
        <v>634</v>
      </c>
      <c r="BE4" s="151" t="s">
        <v>634</v>
      </c>
      <c r="BF4" s="151" t="s">
        <v>634</v>
      </c>
      <c r="BG4" s="151" t="s">
        <v>634</v>
      </c>
      <c r="BH4" s="151" t="s">
        <v>634</v>
      </c>
      <c r="BI4" s="141" t="s">
        <v>635</v>
      </c>
      <c r="BJ4" s="141" t="s">
        <v>635</v>
      </c>
      <c r="BK4" s="141" t="s">
        <v>635</v>
      </c>
      <c r="BL4" s="141" t="s">
        <v>635</v>
      </c>
      <c r="BM4" s="141" t="s">
        <v>635</v>
      </c>
      <c r="BN4" s="141" t="s">
        <v>635</v>
      </c>
      <c r="BO4" s="141" t="s">
        <v>635</v>
      </c>
      <c r="BP4" s="141" t="s">
        <v>635</v>
      </c>
      <c r="BQ4" s="141" t="s">
        <v>635</v>
      </c>
      <c r="BR4" s="141" t="s">
        <v>635</v>
      </c>
      <c r="BS4" s="141" t="s">
        <v>635</v>
      </c>
      <c r="BT4" s="141" t="s">
        <v>635</v>
      </c>
      <c r="BU4" s="141" t="s">
        <v>635</v>
      </c>
      <c r="BV4" s="141" t="s">
        <v>635</v>
      </c>
      <c r="BW4" s="141" t="s">
        <v>635</v>
      </c>
      <c r="BX4" s="141" t="s">
        <v>635</v>
      </c>
      <c r="BY4" s="141" t="s">
        <v>635</v>
      </c>
      <c r="BZ4" s="151" t="s">
        <v>635</v>
      </c>
      <c r="CA4" s="151" t="s">
        <v>635</v>
      </c>
      <c r="CB4" s="151" t="s">
        <v>635</v>
      </c>
      <c r="CC4" s="151" t="s">
        <v>635</v>
      </c>
      <c r="CD4" s="151" t="s">
        <v>635</v>
      </c>
      <c r="CE4" s="151" t="s">
        <v>635</v>
      </c>
      <c r="CF4" s="151" t="s">
        <v>635</v>
      </c>
      <c r="CG4" s="151" t="s">
        <v>635</v>
      </c>
      <c r="CH4" s="151" t="s">
        <v>635</v>
      </c>
      <c r="CI4" s="151" t="s">
        <v>635</v>
      </c>
      <c r="CJ4" s="151" t="s">
        <v>635</v>
      </c>
      <c r="CK4" s="151" t="s">
        <v>635</v>
      </c>
      <c r="CL4" s="151" t="s">
        <v>635</v>
      </c>
      <c r="CM4" s="151" t="s">
        <v>635</v>
      </c>
      <c r="CN4" s="151" t="s">
        <v>635</v>
      </c>
      <c r="CO4" s="151" t="s">
        <v>635</v>
      </c>
      <c r="CP4" s="151" t="s">
        <v>635</v>
      </c>
      <c r="CQ4" s="141" t="s">
        <v>634</v>
      </c>
      <c r="CR4" s="141" t="s">
        <v>634</v>
      </c>
      <c r="CS4" s="141" t="s">
        <v>634</v>
      </c>
      <c r="CT4" s="141" t="s">
        <v>634</v>
      </c>
      <c r="CU4" s="141" t="s">
        <v>634</v>
      </c>
      <c r="CV4" s="141" t="s">
        <v>634</v>
      </c>
      <c r="CW4" s="141" t="s">
        <v>634</v>
      </c>
      <c r="CX4" s="141" t="s">
        <v>634</v>
      </c>
      <c r="CY4" s="141" t="s">
        <v>634</v>
      </c>
      <c r="CZ4" s="141" t="s">
        <v>634</v>
      </c>
      <c r="DA4" s="141" t="s">
        <v>634</v>
      </c>
      <c r="DB4" s="141" t="s">
        <v>634</v>
      </c>
      <c r="DC4" s="141" t="s">
        <v>634</v>
      </c>
      <c r="DD4" s="141" t="s">
        <v>634</v>
      </c>
      <c r="DE4" s="141" t="s">
        <v>634</v>
      </c>
      <c r="DF4" s="141" t="s">
        <v>634</v>
      </c>
      <c r="DG4" s="141" t="s">
        <v>634</v>
      </c>
      <c r="DH4" s="151" t="s">
        <v>634</v>
      </c>
      <c r="DI4" s="151" t="s">
        <v>634</v>
      </c>
      <c r="DJ4" s="151" t="s">
        <v>634</v>
      </c>
      <c r="DK4" s="151" t="s">
        <v>634</v>
      </c>
      <c r="DL4" s="151" t="s">
        <v>634</v>
      </c>
      <c r="DM4" s="151" t="s">
        <v>634</v>
      </c>
      <c r="DN4" s="151" t="s">
        <v>634</v>
      </c>
      <c r="DO4" s="151" t="s">
        <v>634</v>
      </c>
      <c r="DP4" s="151" t="s">
        <v>634</v>
      </c>
      <c r="DQ4" s="151" t="s">
        <v>634</v>
      </c>
      <c r="DR4" s="151" t="s">
        <v>634</v>
      </c>
      <c r="DS4" s="151" t="s">
        <v>634</v>
      </c>
      <c r="DT4" s="151" t="s">
        <v>634</v>
      </c>
      <c r="DU4" s="151" t="s">
        <v>634</v>
      </c>
      <c r="DV4" s="151" t="s">
        <v>634</v>
      </c>
      <c r="DW4" s="151" t="s">
        <v>634</v>
      </c>
      <c r="DX4" s="151" t="s">
        <v>634</v>
      </c>
      <c r="DY4" s="141" t="s">
        <v>634</v>
      </c>
      <c r="DZ4" s="141" t="s">
        <v>634</v>
      </c>
      <c r="EA4" s="141" t="s">
        <v>634</v>
      </c>
      <c r="EB4" s="141" t="s">
        <v>634</v>
      </c>
      <c r="EC4" s="141" t="s">
        <v>634</v>
      </c>
      <c r="ED4" s="141" t="s">
        <v>634</v>
      </c>
      <c r="EE4" s="141" t="s">
        <v>634</v>
      </c>
      <c r="EF4" s="141" t="s">
        <v>634</v>
      </c>
      <c r="EG4" s="141" t="s">
        <v>634</v>
      </c>
      <c r="EH4" s="141" t="s">
        <v>634</v>
      </c>
      <c r="EI4" s="141" t="s">
        <v>634</v>
      </c>
      <c r="EJ4" s="141" t="s">
        <v>634</v>
      </c>
      <c r="EK4" s="141" t="s">
        <v>634</v>
      </c>
      <c r="EL4" s="141" t="s">
        <v>634</v>
      </c>
      <c r="EM4" s="141" t="s">
        <v>634</v>
      </c>
      <c r="EN4" s="141" t="s">
        <v>634</v>
      </c>
      <c r="EO4" s="151" t="s">
        <v>634</v>
      </c>
      <c r="EP4" s="151" t="s">
        <v>634</v>
      </c>
      <c r="EQ4" s="151" t="s">
        <v>634</v>
      </c>
      <c r="ER4" s="151" t="s">
        <v>634</v>
      </c>
      <c r="ES4" s="151" t="s">
        <v>634</v>
      </c>
      <c r="ET4" s="151" t="s">
        <v>634</v>
      </c>
      <c r="EU4" s="151" t="s">
        <v>634</v>
      </c>
      <c r="EV4" s="151" t="s">
        <v>634</v>
      </c>
      <c r="EW4" s="151" t="s">
        <v>634</v>
      </c>
      <c r="EX4" s="151" t="s">
        <v>634</v>
      </c>
      <c r="EY4" s="151" t="s">
        <v>634</v>
      </c>
      <c r="EZ4" s="151" t="s">
        <v>634</v>
      </c>
      <c r="FA4" s="151" t="s">
        <v>634</v>
      </c>
      <c r="FB4" s="151" t="s">
        <v>634</v>
      </c>
      <c r="FC4" s="151" t="s">
        <v>634</v>
      </c>
      <c r="FD4" s="151" t="s">
        <v>634</v>
      </c>
      <c r="FE4" s="141" t="s">
        <v>634</v>
      </c>
      <c r="FF4" s="141" t="s">
        <v>634</v>
      </c>
      <c r="FG4" s="141" t="s">
        <v>634</v>
      </c>
      <c r="FH4" s="141" t="s">
        <v>634</v>
      </c>
      <c r="FI4" s="141" t="s">
        <v>634</v>
      </c>
      <c r="FJ4" s="141" t="s">
        <v>634</v>
      </c>
      <c r="FK4" s="141" t="s">
        <v>634</v>
      </c>
      <c r="FL4" s="141" t="s">
        <v>634</v>
      </c>
      <c r="FM4" s="141" t="s">
        <v>634</v>
      </c>
      <c r="FN4" s="141" t="s">
        <v>634</v>
      </c>
      <c r="FO4" s="141" t="s">
        <v>634</v>
      </c>
      <c r="FP4" s="141" t="s">
        <v>634</v>
      </c>
      <c r="FQ4" s="141" t="s">
        <v>634</v>
      </c>
      <c r="FR4" s="141" t="s">
        <v>634</v>
      </c>
      <c r="FS4" s="141" t="s">
        <v>634</v>
      </c>
      <c r="FT4" s="141" t="s">
        <v>634</v>
      </c>
      <c r="FU4" s="141" t="s">
        <v>634</v>
      </c>
      <c r="FV4" s="151" t="s">
        <v>634</v>
      </c>
      <c r="FW4" s="151" t="s">
        <v>634</v>
      </c>
      <c r="FX4" s="151" t="s">
        <v>634</v>
      </c>
      <c r="FY4" s="151" t="s">
        <v>634</v>
      </c>
      <c r="FZ4" s="151" t="s">
        <v>634</v>
      </c>
      <c r="GA4" s="151" t="s">
        <v>634</v>
      </c>
      <c r="GB4" s="151" t="s">
        <v>634</v>
      </c>
      <c r="GC4" s="151" t="s">
        <v>634</v>
      </c>
      <c r="GD4" s="151" t="s">
        <v>634</v>
      </c>
      <c r="GE4" s="151" t="s">
        <v>634</v>
      </c>
      <c r="GF4" s="151" t="s">
        <v>634</v>
      </c>
      <c r="GG4" s="151" t="s">
        <v>634</v>
      </c>
      <c r="GH4" s="151" t="s">
        <v>634</v>
      </c>
      <c r="GI4" s="151" t="s">
        <v>634</v>
      </c>
      <c r="GJ4" s="151" t="s">
        <v>634</v>
      </c>
      <c r="GK4" s="151" t="s">
        <v>634</v>
      </c>
      <c r="GL4" s="141" t="s">
        <v>634</v>
      </c>
      <c r="GM4" s="141" t="s">
        <v>634</v>
      </c>
      <c r="GN4" s="141" t="s">
        <v>634</v>
      </c>
      <c r="GO4" s="141" t="s">
        <v>634</v>
      </c>
      <c r="GP4" s="141" t="s">
        <v>634</v>
      </c>
      <c r="GQ4" s="141" t="s">
        <v>634</v>
      </c>
      <c r="GR4" s="141" t="s">
        <v>634</v>
      </c>
      <c r="GS4" s="141" t="s">
        <v>634</v>
      </c>
      <c r="GT4" s="141" t="s">
        <v>634</v>
      </c>
      <c r="GU4" s="141" t="s">
        <v>634</v>
      </c>
      <c r="GV4" s="141" t="s">
        <v>634</v>
      </c>
      <c r="GW4" s="141" t="s">
        <v>634</v>
      </c>
      <c r="GX4" s="141" t="s">
        <v>634</v>
      </c>
      <c r="GY4" s="141" t="s">
        <v>634</v>
      </c>
      <c r="GZ4" s="141" t="s">
        <v>634</v>
      </c>
      <c r="HA4" s="141" t="s">
        <v>634</v>
      </c>
      <c r="HB4" s="151" t="s">
        <v>634</v>
      </c>
      <c r="HC4" s="151" t="s">
        <v>634</v>
      </c>
      <c r="HD4" s="151" t="s">
        <v>634</v>
      </c>
      <c r="HE4" s="151" t="s">
        <v>634</v>
      </c>
      <c r="HF4" s="151" t="s">
        <v>634</v>
      </c>
      <c r="HG4" s="151" t="s">
        <v>634</v>
      </c>
      <c r="HH4" s="151" t="s">
        <v>634</v>
      </c>
      <c r="HI4" s="151" t="s">
        <v>634</v>
      </c>
      <c r="HJ4" s="151" t="s">
        <v>634</v>
      </c>
      <c r="HK4" s="151" t="s">
        <v>634</v>
      </c>
      <c r="HL4" s="151" t="s">
        <v>634</v>
      </c>
      <c r="HM4" s="151" t="s">
        <v>634</v>
      </c>
      <c r="HN4" s="151" t="s">
        <v>634</v>
      </c>
      <c r="HO4" s="151" t="s">
        <v>634</v>
      </c>
      <c r="HP4" s="151" t="s">
        <v>634</v>
      </c>
      <c r="HQ4" s="151" t="s">
        <v>634</v>
      </c>
      <c r="HR4" s="151" t="s">
        <v>634</v>
      </c>
      <c r="HS4" s="141" t="s">
        <v>635</v>
      </c>
      <c r="HT4" s="141" t="s">
        <v>635</v>
      </c>
      <c r="HU4" s="141" t="s">
        <v>635</v>
      </c>
      <c r="HV4" s="141" t="s">
        <v>635</v>
      </c>
      <c r="HW4" s="141" t="s">
        <v>635</v>
      </c>
      <c r="HX4" s="141" t="s">
        <v>635</v>
      </c>
      <c r="HY4" s="141" t="s">
        <v>635</v>
      </c>
      <c r="HZ4" s="141" t="s">
        <v>635</v>
      </c>
      <c r="IA4" s="141" t="s">
        <v>635</v>
      </c>
      <c r="IB4" s="141" t="s">
        <v>635</v>
      </c>
      <c r="IC4" s="141" t="s">
        <v>635</v>
      </c>
      <c r="ID4" s="141" t="s">
        <v>635</v>
      </c>
      <c r="IE4" s="141" t="s">
        <v>635</v>
      </c>
      <c r="IF4" s="141" t="s">
        <v>635</v>
      </c>
      <c r="IG4" s="141" t="s">
        <v>635</v>
      </c>
      <c r="IH4" s="141" t="s">
        <v>635</v>
      </c>
      <c r="II4" s="151" t="s">
        <v>634</v>
      </c>
      <c r="IJ4" s="151" t="s">
        <v>634</v>
      </c>
      <c r="IK4" s="151" t="s">
        <v>634</v>
      </c>
      <c r="IL4" s="151" t="s">
        <v>634</v>
      </c>
      <c r="IM4" s="151" t="s">
        <v>634</v>
      </c>
      <c r="IN4" s="151" t="s">
        <v>634</v>
      </c>
      <c r="IO4" s="151" t="s">
        <v>634</v>
      </c>
      <c r="IP4" s="151" t="s">
        <v>634</v>
      </c>
      <c r="IQ4" s="151" t="s">
        <v>634</v>
      </c>
      <c r="IR4" s="151" t="s">
        <v>634</v>
      </c>
      <c r="IS4" s="151" t="s">
        <v>634</v>
      </c>
      <c r="IT4" s="151" t="s">
        <v>634</v>
      </c>
      <c r="IU4" s="151" t="s">
        <v>634</v>
      </c>
      <c r="IV4" s="151" t="s">
        <v>634</v>
      </c>
      <c r="IW4" s="151" t="s">
        <v>634</v>
      </c>
      <c r="IX4" s="151" t="s">
        <v>634</v>
      </c>
      <c r="IY4" s="151" t="s">
        <v>634</v>
      </c>
      <c r="IZ4" s="141" t="s">
        <v>634</v>
      </c>
      <c r="JA4" s="141" t="s">
        <v>634</v>
      </c>
      <c r="JB4" s="141" t="s">
        <v>634</v>
      </c>
      <c r="JC4" s="141" t="s">
        <v>634</v>
      </c>
      <c r="JD4" s="141" t="s">
        <v>634</v>
      </c>
      <c r="JE4" s="141" t="s">
        <v>634</v>
      </c>
      <c r="JF4" s="141" t="s">
        <v>634</v>
      </c>
      <c r="JG4" s="141" t="s">
        <v>634</v>
      </c>
      <c r="JH4" s="141" t="s">
        <v>634</v>
      </c>
      <c r="JI4" s="141" t="s">
        <v>634</v>
      </c>
      <c r="JJ4" s="141" t="s">
        <v>634</v>
      </c>
      <c r="JK4" s="141" t="s">
        <v>634</v>
      </c>
      <c r="JL4" s="141" t="s">
        <v>634</v>
      </c>
      <c r="JM4" s="141" t="s">
        <v>634</v>
      </c>
      <c r="JN4" s="141" t="s">
        <v>634</v>
      </c>
      <c r="JO4" s="141" t="s">
        <v>634</v>
      </c>
      <c r="JP4" s="151" t="s">
        <v>634</v>
      </c>
      <c r="JQ4" s="151" t="s">
        <v>634</v>
      </c>
      <c r="JR4" s="151" t="s">
        <v>634</v>
      </c>
      <c r="JS4" s="151" t="s">
        <v>634</v>
      </c>
      <c r="JT4" s="151" t="s">
        <v>634</v>
      </c>
      <c r="JU4" s="151" t="s">
        <v>634</v>
      </c>
      <c r="JV4" s="151" t="s">
        <v>634</v>
      </c>
      <c r="JW4" s="151" t="s">
        <v>634</v>
      </c>
      <c r="JX4" s="151" t="s">
        <v>634</v>
      </c>
      <c r="JY4" s="151" t="s">
        <v>634</v>
      </c>
      <c r="JZ4" s="151" t="s">
        <v>634</v>
      </c>
      <c r="KA4" s="151" t="s">
        <v>634</v>
      </c>
      <c r="KB4" s="151" t="s">
        <v>634</v>
      </c>
      <c r="KC4" s="151" t="s">
        <v>634</v>
      </c>
      <c r="KD4" s="151" t="s">
        <v>634</v>
      </c>
      <c r="KE4" s="151" t="s">
        <v>634</v>
      </c>
      <c r="KF4" s="141" t="s">
        <v>634</v>
      </c>
      <c r="KG4" s="141" t="s">
        <v>634</v>
      </c>
      <c r="KH4" s="141" t="s">
        <v>634</v>
      </c>
      <c r="KI4" s="141" t="s">
        <v>634</v>
      </c>
      <c r="KJ4" s="141" t="s">
        <v>634</v>
      </c>
      <c r="KK4" s="141" t="s">
        <v>634</v>
      </c>
      <c r="KL4" s="141" t="s">
        <v>634</v>
      </c>
      <c r="KM4" s="141" t="s">
        <v>634</v>
      </c>
      <c r="KN4" s="141" t="s">
        <v>634</v>
      </c>
      <c r="KO4" s="141" t="s">
        <v>634</v>
      </c>
      <c r="KP4" s="141" t="s">
        <v>634</v>
      </c>
      <c r="KQ4" s="141" t="s">
        <v>634</v>
      </c>
      <c r="KR4" s="141" t="s">
        <v>634</v>
      </c>
      <c r="KS4" s="141" t="s">
        <v>634</v>
      </c>
      <c r="KT4" s="141" t="s">
        <v>634</v>
      </c>
      <c r="KU4" s="141" t="s">
        <v>634</v>
      </c>
      <c r="KV4" s="151" t="s">
        <v>634</v>
      </c>
      <c r="KW4" s="151" t="s">
        <v>634</v>
      </c>
      <c r="KX4" s="151" t="s">
        <v>634</v>
      </c>
      <c r="KY4" s="151" t="s">
        <v>634</v>
      </c>
      <c r="KZ4" s="151" t="s">
        <v>634</v>
      </c>
      <c r="LA4" s="151" t="s">
        <v>634</v>
      </c>
      <c r="LB4" s="151" t="s">
        <v>634</v>
      </c>
      <c r="LC4" s="151" t="s">
        <v>634</v>
      </c>
      <c r="LD4" s="151" t="s">
        <v>634</v>
      </c>
      <c r="LE4" s="151" t="s">
        <v>634</v>
      </c>
      <c r="LF4" s="151" t="s">
        <v>634</v>
      </c>
      <c r="LG4" s="151" t="s">
        <v>634</v>
      </c>
      <c r="LH4" s="151" t="s">
        <v>634</v>
      </c>
      <c r="LI4" s="151" t="s">
        <v>634</v>
      </c>
      <c r="LJ4" s="151" t="s">
        <v>634</v>
      </c>
      <c r="LK4" s="151" t="s">
        <v>634</v>
      </c>
      <c r="LL4" s="141" t="s">
        <v>634</v>
      </c>
      <c r="LM4" s="141" t="s">
        <v>634</v>
      </c>
      <c r="LN4" s="141" t="s">
        <v>634</v>
      </c>
      <c r="LO4" s="141" t="s">
        <v>634</v>
      </c>
      <c r="LP4" s="141" t="s">
        <v>634</v>
      </c>
      <c r="LQ4" s="141" t="s">
        <v>634</v>
      </c>
      <c r="LR4" s="141" t="s">
        <v>634</v>
      </c>
      <c r="LS4" s="141" t="s">
        <v>634</v>
      </c>
      <c r="LT4" s="141" t="s">
        <v>634</v>
      </c>
      <c r="LU4" s="141" t="s">
        <v>634</v>
      </c>
      <c r="LV4" s="141" t="s">
        <v>634</v>
      </c>
      <c r="LW4" s="141" t="s">
        <v>634</v>
      </c>
      <c r="LX4" s="141" t="s">
        <v>634</v>
      </c>
      <c r="LY4" s="141" t="s">
        <v>634</v>
      </c>
      <c r="LZ4" s="141" t="s">
        <v>634</v>
      </c>
      <c r="MA4" s="141" t="s">
        <v>634</v>
      </c>
      <c r="MB4" s="151" t="s">
        <v>635</v>
      </c>
      <c r="MC4" s="151" t="s">
        <v>635</v>
      </c>
      <c r="MD4" s="151" t="s">
        <v>635</v>
      </c>
      <c r="ME4" s="151" t="s">
        <v>635</v>
      </c>
      <c r="MF4" s="151" t="s">
        <v>635</v>
      </c>
      <c r="MG4" s="151" t="s">
        <v>635</v>
      </c>
      <c r="MH4" s="151" t="s">
        <v>635</v>
      </c>
      <c r="MI4" s="151" t="s">
        <v>635</v>
      </c>
      <c r="MJ4" s="151" t="s">
        <v>635</v>
      </c>
      <c r="MK4" s="151" t="s">
        <v>635</v>
      </c>
      <c r="ML4" s="151" t="s">
        <v>635</v>
      </c>
      <c r="MM4" s="151" t="s">
        <v>635</v>
      </c>
      <c r="MN4" s="151" t="s">
        <v>635</v>
      </c>
      <c r="MO4" s="151" t="s">
        <v>635</v>
      </c>
      <c r="MP4" s="151" t="s">
        <v>635</v>
      </c>
      <c r="MQ4" s="151" t="s">
        <v>635</v>
      </c>
      <c r="MR4" s="141" t="s">
        <v>634</v>
      </c>
      <c r="MS4" s="141" t="s">
        <v>634</v>
      </c>
      <c r="MT4" s="141" t="s">
        <v>634</v>
      </c>
      <c r="MU4" s="141" t="s">
        <v>634</v>
      </c>
      <c r="MV4" s="141" t="s">
        <v>634</v>
      </c>
      <c r="MW4" s="141" t="s">
        <v>634</v>
      </c>
      <c r="MX4" s="141" t="s">
        <v>634</v>
      </c>
      <c r="MY4" s="141" t="s">
        <v>634</v>
      </c>
      <c r="MZ4" s="141" t="s">
        <v>634</v>
      </c>
      <c r="NA4" s="141" t="s">
        <v>634</v>
      </c>
      <c r="NB4" s="141" t="s">
        <v>634</v>
      </c>
      <c r="NC4" s="141" t="s">
        <v>634</v>
      </c>
      <c r="ND4" s="141" t="s">
        <v>634</v>
      </c>
      <c r="NE4" s="141" t="s">
        <v>634</v>
      </c>
      <c r="NF4" s="141" t="s">
        <v>634</v>
      </c>
      <c r="NG4" s="141" t="s">
        <v>634</v>
      </c>
      <c r="NH4" s="151" t="s">
        <v>635</v>
      </c>
      <c r="NI4" s="151" t="s">
        <v>635</v>
      </c>
      <c r="NJ4" s="151" t="s">
        <v>635</v>
      </c>
      <c r="NK4" s="151" t="s">
        <v>635</v>
      </c>
      <c r="NL4" s="151" t="s">
        <v>635</v>
      </c>
      <c r="NM4" s="151" t="s">
        <v>635</v>
      </c>
      <c r="NN4" s="151" t="s">
        <v>635</v>
      </c>
      <c r="NO4" s="151" t="s">
        <v>635</v>
      </c>
      <c r="NP4" s="151" t="s">
        <v>635</v>
      </c>
      <c r="NQ4" s="151" t="s">
        <v>635</v>
      </c>
      <c r="NR4" s="151" t="s">
        <v>635</v>
      </c>
      <c r="NS4" s="151" t="s">
        <v>635</v>
      </c>
      <c r="NT4" s="151" t="s">
        <v>635</v>
      </c>
      <c r="NU4" s="151" t="s">
        <v>635</v>
      </c>
      <c r="NV4" s="151" t="s">
        <v>635</v>
      </c>
      <c r="NW4" s="151" t="s">
        <v>635</v>
      </c>
      <c r="NX4" s="141" t="s">
        <v>634</v>
      </c>
      <c r="NY4" s="141" t="s">
        <v>634</v>
      </c>
      <c r="NZ4" s="141" t="s">
        <v>634</v>
      </c>
      <c r="OA4" s="141" t="s">
        <v>634</v>
      </c>
      <c r="OB4" s="141" t="s">
        <v>634</v>
      </c>
      <c r="OC4" s="141" t="s">
        <v>634</v>
      </c>
      <c r="OD4" s="141" t="s">
        <v>634</v>
      </c>
      <c r="OE4" s="141" t="s">
        <v>634</v>
      </c>
      <c r="OF4" s="141" t="s">
        <v>634</v>
      </c>
      <c r="OG4" s="141" t="s">
        <v>634</v>
      </c>
      <c r="OH4" s="141" t="s">
        <v>634</v>
      </c>
      <c r="OI4" s="141" t="s">
        <v>634</v>
      </c>
      <c r="OJ4" s="141" t="s">
        <v>634</v>
      </c>
      <c r="OK4" s="141" t="s">
        <v>634</v>
      </c>
      <c r="OL4" s="141" t="s">
        <v>634</v>
      </c>
      <c r="OM4" s="141" t="s">
        <v>634</v>
      </c>
      <c r="ON4" s="151" t="s">
        <v>634</v>
      </c>
      <c r="OO4" s="151" t="s">
        <v>634</v>
      </c>
      <c r="OP4" s="151" t="s">
        <v>634</v>
      </c>
      <c r="OQ4" s="141" t="s">
        <v>635</v>
      </c>
      <c r="OR4" s="141" t="s">
        <v>635</v>
      </c>
      <c r="OS4" s="141" t="s">
        <v>635</v>
      </c>
      <c r="OT4" s="151" t="s">
        <v>634</v>
      </c>
      <c r="OU4" s="151" t="s">
        <v>634</v>
      </c>
      <c r="OV4" s="155" t="s">
        <v>635</v>
      </c>
      <c r="OW4" s="155" t="s">
        <v>635</v>
      </c>
      <c r="OX4" s="155" t="s">
        <v>635</v>
      </c>
      <c r="OY4" s="155" t="s">
        <v>635</v>
      </c>
      <c r="OZ4" s="141" t="s">
        <v>635</v>
      </c>
      <c r="PA4" s="141" t="s">
        <v>635</v>
      </c>
      <c r="PB4" s="141" t="s">
        <v>635</v>
      </c>
      <c r="PC4" s="141" t="s">
        <v>635</v>
      </c>
      <c r="PD4" s="155" t="s">
        <v>635</v>
      </c>
      <c r="PE4" s="155" t="s">
        <v>634</v>
      </c>
      <c r="PF4" s="155" t="s">
        <v>635</v>
      </c>
      <c r="PG4" s="155" t="s">
        <v>635</v>
      </c>
      <c r="PH4" s="155" t="s">
        <v>634</v>
      </c>
      <c r="PI4" s="155" t="s">
        <v>634</v>
      </c>
      <c r="PJ4" s="141" t="s">
        <v>634</v>
      </c>
      <c r="PK4" s="141" t="s">
        <v>634</v>
      </c>
      <c r="PL4" s="141" t="s">
        <v>634</v>
      </c>
      <c r="PM4" s="141" t="s">
        <v>634</v>
      </c>
      <c r="PN4" s="141" t="s">
        <v>634</v>
      </c>
      <c r="PO4" s="141" t="s">
        <v>635</v>
      </c>
      <c r="PP4" s="155" t="s">
        <v>635</v>
      </c>
      <c r="PQ4" s="141" t="s">
        <v>635</v>
      </c>
      <c r="PR4" s="141" t="s">
        <v>635</v>
      </c>
      <c r="PS4" s="141" t="s">
        <v>635</v>
      </c>
      <c r="PT4" s="141" t="s">
        <v>635</v>
      </c>
      <c r="PU4" s="141" t="s">
        <v>635</v>
      </c>
      <c r="PV4" s="141" t="s">
        <v>635</v>
      </c>
      <c r="PW4" s="141" t="s">
        <v>635</v>
      </c>
      <c r="PX4" s="141" t="s">
        <v>635</v>
      </c>
      <c r="PY4" s="141" t="s">
        <v>635</v>
      </c>
      <c r="PZ4" s="141" t="s">
        <v>635</v>
      </c>
      <c r="QA4" s="141" t="s">
        <v>635</v>
      </c>
      <c r="QB4" s="141" t="s">
        <v>635</v>
      </c>
      <c r="QC4" s="141" t="s">
        <v>635</v>
      </c>
      <c r="QD4" s="141" t="s">
        <v>635</v>
      </c>
      <c r="QE4" s="141" t="s">
        <v>635</v>
      </c>
      <c r="QF4" s="141" t="s">
        <v>635</v>
      </c>
      <c r="QG4" s="141" t="s">
        <v>635</v>
      </c>
      <c r="QH4" s="141" t="s">
        <v>635</v>
      </c>
      <c r="QI4" s="141" t="s">
        <v>635</v>
      </c>
      <c r="QJ4" s="141" t="s">
        <v>635</v>
      </c>
      <c r="QK4" s="141" t="s">
        <v>635</v>
      </c>
      <c r="QL4" s="141" t="s">
        <v>635</v>
      </c>
      <c r="QM4" s="141" t="s">
        <v>635</v>
      </c>
      <c r="QN4" s="141" t="s">
        <v>635</v>
      </c>
      <c r="QO4" s="141" t="s">
        <v>635</v>
      </c>
      <c r="QP4" s="141" t="s">
        <v>635</v>
      </c>
      <c r="QQ4" s="141" t="s">
        <v>635</v>
      </c>
      <c r="QR4" s="141" t="s">
        <v>635</v>
      </c>
      <c r="QS4" s="141" t="s">
        <v>635</v>
      </c>
      <c r="QT4" s="141" t="s">
        <v>635</v>
      </c>
      <c r="QU4" s="141" t="s">
        <v>635</v>
      </c>
      <c r="QV4" s="141" t="s">
        <v>635</v>
      </c>
      <c r="QW4" s="141" t="s">
        <v>635</v>
      </c>
      <c r="QX4" s="141" t="s">
        <v>635</v>
      </c>
      <c r="QY4" s="141" t="s">
        <v>635</v>
      </c>
      <c r="QZ4" s="141" t="s">
        <v>635</v>
      </c>
      <c r="RA4" s="141" t="s">
        <v>635</v>
      </c>
      <c r="RB4" s="151" t="s">
        <v>634</v>
      </c>
      <c r="RC4" s="151" t="s">
        <v>634</v>
      </c>
      <c r="RD4" s="151" t="s">
        <v>634</v>
      </c>
      <c r="RE4" s="151" t="s">
        <v>634</v>
      </c>
      <c r="RF4" s="151" t="s">
        <v>634</v>
      </c>
      <c r="RG4" s="151" t="s">
        <v>634</v>
      </c>
      <c r="RH4" s="151" t="s">
        <v>634</v>
      </c>
      <c r="RI4" s="151" t="s">
        <v>634</v>
      </c>
      <c r="RJ4" s="151" t="s">
        <v>634</v>
      </c>
      <c r="RK4" s="151" t="s">
        <v>634</v>
      </c>
      <c r="RL4" s="151" t="s">
        <v>634</v>
      </c>
      <c r="RM4" s="151" t="s">
        <v>634</v>
      </c>
      <c r="RN4" s="151" t="s">
        <v>634</v>
      </c>
      <c r="RO4" s="151" t="s">
        <v>634</v>
      </c>
      <c r="RP4" s="151" t="s">
        <v>634</v>
      </c>
      <c r="RQ4" s="151" t="s">
        <v>634</v>
      </c>
      <c r="RR4" s="141"/>
      <c r="RS4" s="141"/>
      <c r="RT4" s="151" t="s">
        <v>635</v>
      </c>
      <c r="RU4" s="151" t="s">
        <v>635</v>
      </c>
      <c r="RV4" s="151" t="s">
        <v>635</v>
      </c>
      <c r="RW4" s="151" t="s">
        <v>635</v>
      </c>
      <c r="RX4" s="151" t="s">
        <v>635</v>
      </c>
      <c r="RY4" s="151" t="s">
        <v>635</v>
      </c>
      <c r="RZ4" s="151" t="s">
        <v>635</v>
      </c>
      <c r="SA4" s="151" t="s">
        <v>635</v>
      </c>
      <c r="SB4" s="151" t="s">
        <v>635</v>
      </c>
      <c r="SC4" s="151" t="s">
        <v>635</v>
      </c>
      <c r="SD4" s="151" t="s">
        <v>635</v>
      </c>
      <c r="SE4" s="151" t="s">
        <v>635</v>
      </c>
      <c r="SF4" s="141" t="s">
        <v>634</v>
      </c>
      <c r="SG4" s="141" t="s">
        <v>634</v>
      </c>
      <c r="SH4" s="141" t="s">
        <v>635</v>
      </c>
      <c r="SI4" s="141" t="s">
        <v>634</v>
      </c>
      <c r="SJ4" s="141" t="s">
        <v>634</v>
      </c>
      <c r="SK4" s="141" t="s">
        <v>635</v>
      </c>
      <c r="SL4" s="141" t="s">
        <v>634</v>
      </c>
      <c r="SM4" s="141" t="s">
        <v>634</v>
      </c>
      <c r="SN4" s="141" t="s">
        <v>635</v>
      </c>
      <c r="SO4" s="141" t="s">
        <v>635</v>
      </c>
      <c r="SP4" s="141" t="s">
        <v>635</v>
      </c>
      <c r="SQ4" s="141" t="s">
        <v>635</v>
      </c>
      <c r="SR4" s="151" t="s">
        <v>634</v>
      </c>
      <c r="SS4" s="151" t="s">
        <v>634</v>
      </c>
      <c r="ST4" s="151" t="s">
        <v>634</v>
      </c>
      <c r="SU4" s="151" t="s">
        <v>634</v>
      </c>
      <c r="SV4" s="151" t="s">
        <v>634</v>
      </c>
      <c r="SW4" s="151" t="s">
        <v>634</v>
      </c>
      <c r="SX4" s="141" t="s">
        <v>634</v>
      </c>
      <c r="SY4" s="141" t="s">
        <v>634</v>
      </c>
      <c r="SZ4" s="141" t="s">
        <v>634</v>
      </c>
      <c r="TA4" s="141" t="s">
        <v>634</v>
      </c>
      <c r="TB4" s="141" t="s">
        <v>634</v>
      </c>
      <c r="TC4" s="141" t="s">
        <v>634</v>
      </c>
      <c r="TD4" s="141" t="s">
        <v>634</v>
      </c>
      <c r="TE4" s="141" t="s">
        <v>634</v>
      </c>
      <c r="TF4" s="141" t="s">
        <v>634</v>
      </c>
      <c r="TG4" s="141" t="s">
        <v>634</v>
      </c>
      <c r="TH4" s="141" t="s">
        <v>634</v>
      </c>
      <c r="TI4" s="141" t="s">
        <v>634</v>
      </c>
      <c r="TJ4" s="141" t="s">
        <v>634</v>
      </c>
      <c r="TK4" s="141" t="s">
        <v>634</v>
      </c>
      <c r="TL4" s="141" t="s">
        <v>634</v>
      </c>
      <c r="TM4" s="141" t="s">
        <v>634</v>
      </c>
      <c r="TN4" s="151" t="s">
        <v>634</v>
      </c>
      <c r="TO4" s="151" t="s">
        <v>634</v>
      </c>
      <c r="TP4" s="151" t="s">
        <v>634</v>
      </c>
      <c r="TQ4" s="151" t="s">
        <v>634</v>
      </c>
      <c r="TR4" s="151" t="s">
        <v>634</v>
      </c>
      <c r="TS4" s="151" t="s">
        <v>634</v>
      </c>
      <c r="TT4" s="151" t="s">
        <v>634</v>
      </c>
      <c r="TU4" s="151" t="s">
        <v>634</v>
      </c>
      <c r="TV4" s="151" t="s">
        <v>634</v>
      </c>
      <c r="TW4" s="151" t="s">
        <v>634</v>
      </c>
      <c r="TX4" s="151" t="s">
        <v>634</v>
      </c>
      <c r="TY4" s="151" t="s">
        <v>634</v>
      </c>
      <c r="TZ4" s="151" t="s">
        <v>634</v>
      </c>
      <c r="UA4" s="151" t="s">
        <v>634</v>
      </c>
      <c r="UB4" s="151" t="s">
        <v>634</v>
      </c>
      <c r="UC4" s="151" t="s">
        <v>634</v>
      </c>
      <c r="UD4" s="141" t="s">
        <v>634</v>
      </c>
      <c r="UE4" s="141" t="s">
        <v>634</v>
      </c>
      <c r="UF4" s="141" t="s">
        <v>634</v>
      </c>
      <c r="UG4" s="141" t="s">
        <v>634</v>
      </c>
      <c r="UH4" s="141" t="s">
        <v>634</v>
      </c>
      <c r="UI4" s="141" t="s">
        <v>634</v>
      </c>
      <c r="UJ4" s="141" t="s">
        <v>634</v>
      </c>
      <c r="UK4" s="141" t="s">
        <v>634</v>
      </c>
      <c r="UL4" s="141" t="s">
        <v>634</v>
      </c>
      <c r="UM4" s="141" t="s">
        <v>634</v>
      </c>
      <c r="UN4" s="141" t="s">
        <v>634</v>
      </c>
      <c r="UO4" s="141" t="s">
        <v>634</v>
      </c>
      <c r="UP4" s="141" t="s">
        <v>634</v>
      </c>
      <c r="UQ4" s="141" t="s">
        <v>634</v>
      </c>
      <c r="UR4" s="141" t="s">
        <v>634</v>
      </c>
      <c r="US4" s="141" t="s">
        <v>634</v>
      </c>
      <c r="UT4" s="151" t="s">
        <v>634</v>
      </c>
      <c r="UU4" s="151" t="s">
        <v>634</v>
      </c>
      <c r="UV4" s="151" t="s">
        <v>634</v>
      </c>
      <c r="UW4" s="151" t="s">
        <v>634</v>
      </c>
      <c r="UX4" s="151" t="s">
        <v>634</v>
      </c>
      <c r="UY4" s="151" t="s">
        <v>634</v>
      </c>
      <c r="UZ4" s="151" t="s">
        <v>634</v>
      </c>
      <c r="VA4" s="151" t="s">
        <v>634</v>
      </c>
      <c r="VB4" s="151" t="s">
        <v>634</v>
      </c>
      <c r="VC4" s="151" t="s">
        <v>634</v>
      </c>
      <c r="VD4" s="151" t="s">
        <v>634</v>
      </c>
      <c r="VE4" s="151" t="s">
        <v>634</v>
      </c>
      <c r="VF4" s="151" t="s">
        <v>634</v>
      </c>
      <c r="VG4" s="151" t="s">
        <v>634</v>
      </c>
      <c r="VH4" s="151" t="s">
        <v>634</v>
      </c>
      <c r="VI4" s="151" t="s">
        <v>634</v>
      </c>
      <c r="VJ4" s="141" t="s">
        <v>634</v>
      </c>
      <c r="VK4" s="141" t="s">
        <v>634</v>
      </c>
      <c r="VL4" s="141" t="s">
        <v>634</v>
      </c>
      <c r="VM4" s="141" t="s">
        <v>634</v>
      </c>
      <c r="VN4" s="141" t="s">
        <v>634</v>
      </c>
      <c r="VO4" s="141" t="s">
        <v>634</v>
      </c>
      <c r="VP4" s="141" t="s">
        <v>634</v>
      </c>
      <c r="VQ4" s="141" t="s">
        <v>634</v>
      </c>
      <c r="VR4" s="141" t="s">
        <v>634</v>
      </c>
      <c r="VS4" s="141" t="s">
        <v>634</v>
      </c>
      <c r="VT4" s="141" t="s">
        <v>634</v>
      </c>
      <c r="VU4" s="141" t="s">
        <v>634</v>
      </c>
      <c r="VV4" s="141" t="s">
        <v>634</v>
      </c>
      <c r="VW4" s="141" t="s">
        <v>634</v>
      </c>
      <c r="VX4" s="141" t="s">
        <v>634</v>
      </c>
      <c r="VY4" s="141" t="s">
        <v>634</v>
      </c>
      <c r="VZ4" s="141" t="s">
        <v>634</v>
      </c>
      <c r="WA4" s="141" t="s">
        <v>634</v>
      </c>
      <c r="WB4" s="141" t="s">
        <v>634</v>
      </c>
      <c r="WC4" s="141" t="s">
        <v>634</v>
      </c>
      <c r="WD4" s="141" t="s">
        <v>634</v>
      </c>
      <c r="WE4" s="141" t="s">
        <v>634</v>
      </c>
      <c r="WF4" s="141" t="s">
        <v>634</v>
      </c>
      <c r="WG4" s="141" t="s">
        <v>634</v>
      </c>
      <c r="WH4" s="141" t="s">
        <v>634</v>
      </c>
      <c r="WI4" s="141" t="s">
        <v>634</v>
      </c>
      <c r="WJ4" s="141" t="s">
        <v>634</v>
      </c>
      <c r="WK4" s="141" t="s">
        <v>634</v>
      </c>
      <c r="WL4" s="141" t="s">
        <v>634</v>
      </c>
      <c r="WM4" s="141" t="s">
        <v>634</v>
      </c>
      <c r="WN4" s="141" t="s">
        <v>634</v>
      </c>
      <c r="WO4" s="141" t="s">
        <v>634</v>
      </c>
      <c r="WP4" s="151" t="s">
        <v>634</v>
      </c>
      <c r="WQ4" s="151" t="s">
        <v>634</v>
      </c>
      <c r="WR4" s="151" t="s">
        <v>634</v>
      </c>
      <c r="WS4" s="151" t="s">
        <v>634</v>
      </c>
      <c r="WT4" s="151" t="s">
        <v>634</v>
      </c>
      <c r="WU4" s="151" t="s">
        <v>634</v>
      </c>
      <c r="WV4" s="151" t="s">
        <v>634</v>
      </c>
      <c r="WW4" s="151" t="s">
        <v>634</v>
      </c>
      <c r="WX4" s="151" t="s">
        <v>634</v>
      </c>
      <c r="WY4" s="151" t="s">
        <v>634</v>
      </c>
      <c r="WZ4" s="151" t="s">
        <v>634</v>
      </c>
      <c r="XA4" s="151" t="s">
        <v>634</v>
      </c>
      <c r="XB4" s="151" t="s">
        <v>634</v>
      </c>
      <c r="XC4" s="151" t="s">
        <v>634</v>
      </c>
      <c r="XD4" s="151" t="s">
        <v>634</v>
      </c>
      <c r="XE4" s="151" t="s">
        <v>634</v>
      </c>
      <c r="XF4" s="141" t="s">
        <v>634</v>
      </c>
      <c r="XG4" s="141" t="s">
        <v>634</v>
      </c>
      <c r="XH4" s="141" t="s">
        <v>634</v>
      </c>
      <c r="XI4" s="141" t="s">
        <v>634</v>
      </c>
      <c r="XJ4" s="141" t="s">
        <v>634</v>
      </c>
      <c r="XK4" s="141" t="s">
        <v>634</v>
      </c>
      <c r="XL4" s="141" t="s">
        <v>634</v>
      </c>
      <c r="XM4" s="141" t="s">
        <v>634</v>
      </c>
      <c r="XN4" s="141" t="s">
        <v>634</v>
      </c>
      <c r="XO4" s="141" t="s">
        <v>634</v>
      </c>
      <c r="XP4" s="141" t="s">
        <v>634</v>
      </c>
      <c r="XQ4" s="141" t="s">
        <v>634</v>
      </c>
      <c r="XR4" s="141" t="s">
        <v>634</v>
      </c>
      <c r="XS4" s="141" t="s">
        <v>634</v>
      </c>
      <c r="XT4" s="141" t="s">
        <v>634</v>
      </c>
      <c r="XU4" s="141" t="s">
        <v>634</v>
      </c>
      <c r="XV4" s="151" t="s">
        <v>634</v>
      </c>
      <c r="XW4" s="151" t="s">
        <v>634</v>
      </c>
      <c r="XX4" s="151" t="s">
        <v>634</v>
      </c>
      <c r="XY4" s="151" t="s">
        <v>634</v>
      </c>
      <c r="XZ4" s="151" t="s">
        <v>634</v>
      </c>
      <c r="YA4" s="151" t="s">
        <v>634</v>
      </c>
      <c r="YB4" s="151" t="s">
        <v>634</v>
      </c>
      <c r="YC4" s="151" t="s">
        <v>634</v>
      </c>
      <c r="YD4" s="151" t="s">
        <v>634</v>
      </c>
      <c r="YE4" s="151" t="s">
        <v>634</v>
      </c>
      <c r="YF4" s="151" t="s">
        <v>634</v>
      </c>
      <c r="YG4" s="151" t="s">
        <v>634</v>
      </c>
      <c r="YH4" s="151" t="s">
        <v>634</v>
      </c>
      <c r="YI4" s="151" t="s">
        <v>634</v>
      </c>
      <c r="YJ4" s="151" t="s">
        <v>634</v>
      </c>
      <c r="YK4" s="151" t="s">
        <v>634</v>
      </c>
      <c r="YL4" s="141" t="s">
        <v>634</v>
      </c>
      <c r="YM4" s="141" t="s">
        <v>634</v>
      </c>
      <c r="YN4" s="141" t="s">
        <v>634</v>
      </c>
      <c r="YO4" s="141" t="s">
        <v>634</v>
      </c>
      <c r="YP4" s="141" t="s">
        <v>634</v>
      </c>
      <c r="YQ4" s="141" t="s">
        <v>634</v>
      </c>
      <c r="YR4" s="141" t="s">
        <v>634</v>
      </c>
      <c r="YS4" s="141" t="s">
        <v>634</v>
      </c>
      <c r="YT4" s="141" t="s">
        <v>634</v>
      </c>
      <c r="YU4" s="141" t="s">
        <v>634</v>
      </c>
      <c r="YV4" s="141" t="s">
        <v>634</v>
      </c>
      <c r="YW4" s="141" t="s">
        <v>634</v>
      </c>
      <c r="YX4" s="141" t="s">
        <v>634</v>
      </c>
      <c r="YY4" s="141" t="s">
        <v>634</v>
      </c>
      <c r="YZ4" s="141" t="s">
        <v>634</v>
      </c>
      <c r="ZA4" s="141" t="s">
        <v>634</v>
      </c>
      <c r="ZB4" s="151" t="s">
        <v>634</v>
      </c>
      <c r="ZC4" s="151" t="s">
        <v>634</v>
      </c>
      <c r="ZD4" s="151" t="s">
        <v>634</v>
      </c>
      <c r="ZE4" s="151" t="s">
        <v>634</v>
      </c>
      <c r="ZF4" s="151" t="s">
        <v>634</v>
      </c>
      <c r="ZG4" s="151" t="s">
        <v>634</v>
      </c>
      <c r="ZH4" s="151" t="s">
        <v>634</v>
      </c>
      <c r="ZI4" s="151" t="s">
        <v>634</v>
      </c>
      <c r="ZJ4" s="151" t="s">
        <v>634</v>
      </c>
      <c r="ZK4" s="151" t="s">
        <v>634</v>
      </c>
      <c r="ZL4" s="151" t="s">
        <v>634</v>
      </c>
      <c r="ZM4" s="151" t="s">
        <v>634</v>
      </c>
      <c r="ZN4" s="151" t="s">
        <v>634</v>
      </c>
      <c r="ZO4" s="151" t="s">
        <v>634</v>
      </c>
      <c r="ZP4" s="151" t="s">
        <v>634</v>
      </c>
      <c r="ZQ4" s="151" t="s">
        <v>634</v>
      </c>
      <c r="ZR4" s="141" t="s">
        <v>634</v>
      </c>
      <c r="ZS4" s="141" t="s">
        <v>634</v>
      </c>
      <c r="ZT4" s="141" t="s">
        <v>634</v>
      </c>
      <c r="ZU4" s="141" t="s">
        <v>634</v>
      </c>
      <c r="ZV4" s="141" t="s">
        <v>634</v>
      </c>
      <c r="ZW4" s="141" t="s">
        <v>634</v>
      </c>
      <c r="ZX4" s="141" t="s">
        <v>634</v>
      </c>
      <c r="ZY4" s="141" t="s">
        <v>634</v>
      </c>
      <c r="ZZ4" s="141" t="s">
        <v>634</v>
      </c>
      <c r="AAA4" s="141" t="s">
        <v>634</v>
      </c>
      <c r="AAB4" s="141" t="s">
        <v>634</v>
      </c>
      <c r="AAC4" s="141" t="s">
        <v>634</v>
      </c>
      <c r="AAD4" s="141" t="s">
        <v>634</v>
      </c>
      <c r="AAE4" s="141" t="s">
        <v>634</v>
      </c>
      <c r="AAF4" s="141" t="s">
        <v>634</v>
      </c>
      <c r="AAG4" s="141" t="s">
        <v>634</v>
      </c>
      <c r="AAH4" s="151" t="s">
        <v>634</v>
      </c>
      <c r="AAI4" s="151" t="s">
        <v>634</v>
      </c>
      <c r="AAJ4" s="151" t="s">
        <v>634</v>
      </c>
      <c r="AAK4" s="151" t="s">
        <v>634</v>
      </c>
      <c r="AAL4" s="151" t="s">
        <v>634</v>
      </c>
      <c r="AAM4" s="151" t="s">
        <v>634</v>
      </c>
      <c r="AAN4" s="151" t="s">
        <v>634</v>
      </c>
      <c r="AAO4" s="151" t="s">
        <v>634</v>
      </c>
      <c r="AAP4" s="151" t="s">
        <v>634</v>
      </c>
      <c r="AAQ4" s="151" t="s">
        <v>634</v>
      </c>
      <c r="AAR4" s="151" t="s">
        <v>634</v>
      </c>
      <c r="AAS4" s="151" t="s">
        <v>634</v>
      </c>
      <c r="AAT4" s="151" t="s">
        <v>634</v>
      </c>
      <c r="AAU4" s="151" t="s">
        <v>634</v>
      </c>
      <c r="AAV4" s="151" t="s">
        <v>634</v>
      </c>
      <c r="AAW4" s="151" t="s">
        <v>634</v>
      </c>
      <c r="AAX4" s="141" t="s">
        <v>634</v>
      </c>
      <c r="AAY4" s="141" t="s">
        <v>634</v>
      </c>
      <c r="AAZ4" s="141" t="s">
        <v>634</v>
      </c>
      <c r="ABA4" s="141" t="s">
        <v>634</v>
      </c>
      <c r="ABB4" s="141" t="s">
        <v>634</v>
      </c>
      <c r="ABC4" s="141" t="s">
        <v>634</v>
      </c>
      <c r="ABD4" s="141" t="s">
        <v>634</v>
      </c>
      <c r="ABE4" s="141" t="s">
        <v>634</v>
      </c>
      <c r="ABF4" s="141" t="s">
        <v>634</v>
      </c>
      <c r="ABG4" s="141" t="s">
        <v>634</v>
      </c>
      <c r="ABH4" s="141" t="s">
        <v>634</v>
      </c>
      <c r="ABI4" s="141" t="s">
        <v>634</v>
      </c>
      <c r="ABJ4" s="141" t="s">
        <v>634</v>
      </c>
      <c r="ABK4" s="141" t="s">
        <v>634</v>
      </c>
      <c r="ABL4" s="141" t="s">
        <v>634</v>
      </c>
      <c r="ABM4" s="141" t="s">
        <v>634</v>
      </c>
      <c r="ABN4" s="151" t="s">
        <v>634</v>
      </c>
      <c r="ABO4" s="151" t="s">
        <v>634</v>
      </c>
      <c r="ABP4" s="151" t="s">
        <v>634</v>
      </c>
      <c r="ABQ4" s="151" t="s">
        <v>634</v>
      </c>
      <c r="ABR4" s="151" t="s">
        <v>634</v>
      </c>
      <c r="ABS4" s="151" t="s">
        <v>634</v>
      </c>
      <c r="ABT4" s="151" t="s">
        <v>634</v>
      </c>
      <c r="ABU4" s="151" t="s">
        <v>634</v>
      </c>
      <c r="ABV4" s="151" t="s">
        <v>634</v>
      </c>
      <c r="ABW4" s="151" t="s">
        <v>634</v>
      </c>
      <c r="ABX4" s="151" t="s">
        <v>634</v>
      </c>
      <c r="ABY4" s="151" t="s">
        <v>634</v>
      </c>
      <c r="ABZ4" s="151" t="s">
        <v>634</v>
      </c>
      <c r="ACA4" s="151" t="s">
        <v>634</v>
      </c>
      <c r="ACB4" s="151" t="s">
        <v>634</v>
      </c>
      <c r="ACC4" s="151" t="s">
        <v>634</v>
      </c>
      <c r="ACD4" s="151" t="s">
        <v>634</v>
      </c>
      <c r="ACE4" s="151" t="s">
        <v>634</v>
      </c>
      <c r="ACF4" s="151" t="s">
        <v>634</v>
      </c>
      <c r="ACG4" s="151" t="s">
        <v>634</v>
      </c>
      <c r="ACH4" s="151" t="s">
        <v>634</v>
      </c>
      <c r="ACI4" s="151" t="s">
        <v>634</v>
      </c>
      <c r="ACJ4" s="151" t="s">
        <v>634</v>
      </c>
      <c r="ACK4" s="151" t="s">
        <v>634</v>
      </c>
      <c r="ACL4" s="151" t="s">
        <v>634</v>
      </c>
      <c r="ACM4" s="151" t="s">
        <v>634</v>
      </c>
      <c r="ACN4" s="151" t="s">
        <v>634</v>
      </c>
      <c r="ACO4" s="151" t="s">
        <v>634</v>
      </c>
      <c r="ACP4" s="151" t="s">
        <v>634</v>
      </c>
      <c r="ACQ4" s="151" t="s">
        <v>634</v>
      </c>
      <c r="ACR4" s="151" t="s">
        <v>634</v>
      </c>
      <c r="ACS4" s="151" t="s">
        <v>634</v>
      </c>
      <c r="ACT4" s="151" t="s">
        <v>634</v>
      </c>
      <c r="ACU4" s="151" t="s">
        <v>634</v>
      </c>
      <c r="ACV4" s="151" t="s">
        <v>634</v>
      </c>
      <c r="ACW4" s="151" t="s">
        <v>634</v>
      </c>
      <c r="ACX4" s="151" t="s">
        <v>634</v>
      </c>
      <c r="ACY4" s="151" t="s">
        <v>634</v>
      </c>
      <c r="ACZ4" s="151" t="s">
        <v>634</v>
      </c>
      <c r="ADA4" s="151" t="s">
        <v>634</v>
      </c>
      <c r="ADB4" s="151" t="s">
        <v>634</v>
      </c>
      <c r="ADC4" s="151" t="s">
        <v>634</v>
      </c>
      <c r="ADD4" s="151" t="s">
        <v>634</v>
      </c>
      <c r="ADE4" s="151" t="s">
        <v>634</v>
      </c>
      <c r="ADF4" s="151" t="s">
        <v>634</v>
      </c>
      <c r="ADG4" s="151" t="s">
        <v>634</v>
      </c>
      <c r="ADH4" s="151" t="s">
        <v>634</v>
      </c>
      <c r="ADI4" s="151" t="s">
        <v>634</v>
      </c>
      <c r="ADJ4" s="151" t="s">
        <v>634</v>
      </c>
      <c r="ADK4" s="151" t="s">
        <v>634</v>
      </c>
      <c r="ADL4" s="151" t="s">
        <v>634</v>
      </c>
      <c r="ADM4" s="151" t="s">
        <v>634</v>
      </c>
      <c r="ADN4" s="151" t="s">
        <v>634</v>
      </c>
      <c r="ADO4" s="151" t="s">
        <v>634</v>
      </c>
      <c r="ADP4" s="151" t="s">
        <v>634</v>
      </c>
      <c r="ADQ4" s="151" t="s">
        <v>634</v>
      </c>
      <c r="ADR4" s="151" t="s">
        <v>634</v>
      </c>
      <c r="ADS4" s="151" t="s">
        <v>634</v>
      </c>
      <c r="ADT4" s="151" t="s">
        <v>634</v>
      </c>
      <c r="ADU4" s="151" t="s">
        <v>634</v>
      </c>
      <c r="ADV4" s="151" t="s">
        <v>634</v>
      </c>
      <c r="ADW4" s="151" t="s">
        <v>634</v>
      </c>
      <c r="ADX4" s="151" t="s">
        <v>634</v>
      </c>
      <c r="ADY4" s="151" t="s">
        <v>634</v>
      </c>
      <c r="ADZ4" s="151" t="s">
        <v>634</v>
      </c>
      <c r="AEA4" s="151" t="s">
        <v>634</v>
      </c>
      <c r="AEB4" s="151" t="s">
        <v>634</v>
      </c>
      <c r="AEC4" s="151" t="s">
        <v>634</v>
      </c>
      <c r="AED4" s="151" t="s">
        <v>634</v>
      </c>
      <c r="AEE4" s="151" t="s">
        <v>634</v>
      </c>
      <c r="AEF4" s="151" t="s">
        <v>634</v>
      </c>
      <c r="AEG4" s="151" t="s">
        <v>634</v>
      </c>
      <c r="AEH4" s="151" t="s">
        <v>634</v>
      </c>
      <c r="AEI4" s="151" t="s">
        <v>634</v>
      </c>
      <c r="AEJ4" s="151" t="s">
        <v>634</v>
      </c>
      <c r="AEK4" s="151" t="s">
        <v>634</v>
      </c>
      <c r="AEL4" s="151" t="s">
        <v>634</v>
      </c>
      <c r="AEM4" s="151" t="s">
        <v>634</v>
      </c>
      <c r="AEN4" s="151" t="s">
        <v>634</v>
      </c>
      <c r="AEO4" s="151" t="s">
        <v>634</v>
      </c>
      <c r="AEP4" s="151" t="s">
        <v>634</v>
      </c>
      <c r="AEQ4" s="151" t="s">
        <v>634</v>
      </c>
      <c r="AER4" s="151" t="s">
        <v>634</v>
      </c>
      <c r="AES4" s="151" t="s">
        <v>634</v>
      </c>
      <c r="AET4" s="151" t="s">
        <v>634</v>
      </c>
      <c r="AEU4" s="151" t="s">
        <v>634</v>
      </c>
      <c r="AEV4" s="151" t="s">
        <v>634</v>
      </c>
      <c r="AEW4" s="151" t="s">
        <v>634</v>
      </c>
      <c r="AEX4" s="151" t="s">
        <v>634</v>
      </c>
      <c r="AEY4" s="151" t="s">
        <v>634</v>
      </c>
      <c r="AEZ4" s="151" t="s">
        <v>634</v>
      </c>
      <c r="AFA4" s="151" t="s">
        <v>634</v>
      </c>
      <c r="AFB4" s="151" t="s">
        <v>634</v>
      </c>
      <c r="AFC4" s="151" t="s">
        <v>634</v>
      </c>
      <c r="AFD4" s="151" t="s">
        <v>634</v>
      </c>
      <c r="AFE4" s="151" t="s">
        <v>634</v>
      </c>
      <c r="AFF4" s="151" t="s">
        <v>634</v>
      </c>
      <c r="AFG4" s="151" t="s">
        <v>634</v>
      </c>
      <c r="AFH4" s="151" t="s">
        <v>634</v>
      </c>
      <c r="AFI4" s="151" t="s">
        <v>634</v>
      </c>
      <c r="AFJ4" s="151" t="s">
        <v>634</v>
      </c>
      <c r="AFK4" s="151" t="s">
        <v>634</v>
      </c>
      <c r="AFL4" s="151" t="s">
        <v>634</v>
      </c>
      <c r="AFM4" s="151" t="s">
        <v>634</v>
      </c>
      <c r="AFN4" s="151" t="s">
        <v>634</v>
      </c>
      <c r="AFO4" s="151" t="s">
        <v>634</v>
      </c>
      <c r="AFP4" s="151" t="s">
        <v>634</v>
      </c>
      <c r="AFQ4" s="151" t="s">
        <v>634</v>
      </c>
      <c r="AFR4" s="151" t="s">
        <v>634</v>
      </c>
      <c r="AFS4" s="151" t="s">
        <v>634</v>
      </c>
      <c r="AFT4" s="151" t="s">
        <v>634</v>
      </c>
      <c r="AFU4" s="151" t="s">
        <v>634</v>
      </c>
      <c r="AFV4" s="151" t="s">
        <v>634</v>
      </c>
      <c r="AFW4" s="151" t="s">
        <v>634</v>
      </c>
      <c r="AFX4" s="151" t="s">
        <v>634</v>
      </c>
      <c r="AFY4" s="151" t="s">
        <v>634</v>
      </c>
      <c r="AFZ4" s="151" t="s">
        <v>634</v>
      </c>
      <c r="AGA4" s="151" t="s">
        <v>634</v>
      </c>
      <c r="AGB4" s="151" t="s">
        <v>634</v>
      </c>
      <c r="AGC4" s="151" t="s">
        <v>634</v>
      </c>
      <c r="AGD4" s="151" t="s">
        <v>634</v>
      </c>
      <c r="AGE4" s="151" t="s">
        <v>634</v>
      </c>
      <c r="AGF4" s="151" t="s">
        <v>634</v>
      </c>
      <c r="AGG4" s="151" t="s">
        <v>634</v>
      </c>
      <c r="AGH4" s="151" t="s">
        <v>634</v>
      </c>
      <c r="AGI4" s="151" t="s">
        <v>634</v>
      </c>
      <c r="AGJ4" s="151" t="s">
        <v>634</v>
      </c>
      <c r="AGK4" s="151" t="s">
        <v>634</v>
      </c>
      <c r="AGL4" s="151" t="s">
        <v>634</v>
      </c>
      <c r="AGM4" s="151" t="s">
        <v>634</v>
      </c>
      <c r="AGN4" s="151" t="s">
        <v>634</v>
      </c>
      <c r="AGO4" s="151" t="s">
        <v>634</v>
      </c>
      <c r="AGP4" s="151" t="s">
        <v>634</v>
      </c>
      <c r="AGQ4" s="151" t="s">
        <v>634</v>
      </c>
      <c r="AGR4" s="151" t="s">
        <v>634</v>
      </c>
      <c r="AGS4" s="151" t="s">
        <v>634</v>
      </c>
      <c r="AGT4" s="151" t="s">
        <v>634</v>
      </c>
      <c r="AGU4" s="151" t="s">
        <v>634</v>
      </c>
      <c r="AGV4" s="151" t="s">
        <v>634</v>
      </c>
      <c r="AGW4" s="151" t="s">
        <v>634</v>
      </c>
      <c r="AGX4" s="151" t="s">
        <v>634</v>
      </c>
      <c r="AGY4" s="151" t="s">
        <v>634</v>
      </c>
      <c r="AGZ4" s="151" t="s">
        <v>634</v>
      </c>
      <c r="AHA4" s="151" t="s">
        <v>634</v>
      </c>
      <c r="AHB4" s="151" t="s">
        <v>634</v>
      </c>
      <c r="AHC4" s="151" t="s">
        <v>634</v>
      </c>
      <c r="AHD4" s="151" t="s">
        <v>634</v>
      </c>
      <c r="AHE4" s="151" t="s">
        <v>634</v>
      </c>
      <c r="AHF4" s="151" t="s">
        <v>634</v>
      </c>
      <c r="AHG4" s="151" t="s">
        <v>634</v>
      </c>
      <c r="AHH4" s="151" t="s">
        <v>634</v>
      </c>
      <c r="AHI4" s="151" t="s">
        <v>634</v>
      </c>
      <c r="AHJ4" s="151" t="s">
        <v>634</v>
      </c>
      <c r="AHK4" s="151" t="s">
        <v>634</v>
      </c>
      <c r="AHL4" s="151" t="s">
        <v>634</v>
      </c>
      <c r="AHM4" s="151" t="s">
        <v>634</v>
      </c>
      <c r="AHN4" s="151" t="s">
        <v>634</v>
      </c>
      <c r="AHO4" s="151" t="s">
        <v>634</v>
      </c>
      <c r="AHP4" s="151" t="s">
        <v>634</v>
      </c>
      <c r="AHQ4" s="151" t="s">
        <v>634</v>
      </c>
      <c r="AHR4" s="151" t="s">
        <v>634</v>
      </c>
      <c r="AHS4" s="151" t="s">
        <v>634</v>
      </c>
      <c r="AHT4" s="151" t="s">
        <v>634</v>
      </c>
      <c r="AHU4" s="151" t="s">
        <v>634</v>
      </c>
      <c r="AHV4" s="151" t="s">
        <v>634</v>
      </c>
      <c r="AHW4" s="151" t="s">
        <v>634</v>
      </c>
      <c r="AHX4" s="151" t="s">
        <v>634</v>
      </c>
      <c r="AHY4" s="151" t="s">
        <v>634</v>
      </c>
      <c r="AHZ4" s="151" t="s">
        <v>634</v>
      </c>
      <c r="AIA4" s="151" t="s">
        <v>634</v>
      </c>
      <c r="AIB4" s="151" t="s">
        <v>634</v>
      </c>
      <c r="AIC4" s="151" t="s">
        <v>634</v>
      </c>
      <c r="AID4" s="151" t="s">
        <v>634</v>
      </c>
      <c r="AIE4" s="151" t="s">
        <v>634</v>
      </c>
      <c r="AIF4" s="151" t="s">
        <v>634</v>
      </c>
      <c r="AIG4" s="151" t="s">
        <v>634</v>
      </c>
      <c r="AIH4" s="151" t="s">
        <v>634</v>
      </c>
      <c r="AII4" s="151" t="s">
        <v>634</v>
      </c>
      <c r="AIJ4" s="151" t="s">
        <v>634</v>
      </c>
      <c r="AIK4" s="151" t="s">
        <v>634</v>
      </c>
      <c r="AIL4" s="151" t="s">
        <v>634</v>
      </c>
      <c r="AIM4" s="151" t="s">
        <v>634</v>
      </c>
      <c r="AIN4" s="151" t="s">
        <v>634</v>
      </c>
      <c r="AIO4" s="151" t="s">
        <v>634</v>
      </c>
      <c r="AIP4" s="151" t="s">
        <v>634</v>
      </c>
      <c r="AIQ4" s="151" t="s">
        <v>634</v>
      </c>
      <c r="AIR4" s="151" t="s">
        <v>634</v>
      </c>
      <c r="AIS4" s="151" t="s">
        <v>634</v>
      </c>
      <c r="AIT4" s="151" t="s">
        <v>634</v>
      </c>
      <c r="AIU4" s="151" t="s">
        <v>634</v>
      </c>
      <c r="AIV4" s="151" t="s">
        <v>634</v>
      </c>
      <c r="AIW4" s="151" t="s">
        <v>634</v>
      </c>
      <c r="AIX4" s="151" t="s">
        <v>634</v>
      </c>
      <c r="AIY4" s="151" t="s">
        <v>634</v>
      </c>
      <c r="AIZ4" s="151" t="s">
        <v>634</v>
      </c>
      <c r="AJA4" s="151" t="s">
        <v>634</v>
      </c>
      <c r="AJB4" s="151" t="s">
        <v>634</v>
      </c>
      <c r="AJC4" s="151" t="s">
        <v>634</v>
      </c>
      <c r="AJD4" s="151" t="s">
        <v>634</v>
      </c>
      <c r="AJE4" s="151" t="s">
        <v>634</v>
      </c>
      <c r="AJF4" s="151" t="s">
        <v>634</v>
      </c>
      <c r="AJG4" s="151" t="s">
        <v>634</v>
      </c>
      <c r="AJH4" s="151" t="s">
        <v>634</v>
      </c>
      <c r="AJI4" s="151" t="s">
        <v>634</v>
      </c>
      <c r="AJJ4" s="151" t="s">
        <v>634</v>
      </c>
      <c r="AJK4" s="151" t="s">
        <v>634</v>
      </c>
      <c r="AJL4" s="151" t="s">
        <v>634</v>
      </c>
      <c r="AJM4" s="151" t="s">
        <v>634</v>
      </c>
      <c r="AJN4" s="151" t="s">
        <v>634</v>
      </c>
      <c r="AJO4" s="151" t="s">
        <v>634</v>
      </c>
      <c r="AJP4" s="151" t="s">
        <v>634</v>
      </c>
      <c r="AJQ4" s="151" t="s">
        <v>634</v>
      </c>
      <c r="AJR4" s="151" t="s">
        <v>634</v>
      </c>
      <c r="AJS4" s="151" t="s">
        <v>634</v>
      </c>
      <c r="AJT4" s="151" t="s">
        <v>634</v>
      </c>
      <c r="AJU4" s="151" t="s">
        <v>634</v>
      </c>
      <c r="AJV4" s="151" t="s">
        <v>634</v>
      </c>
      <c r="AJW4" s="151" t="s">
        <v>634</v>
      </c>
      <c r="AJX4" s="151" t="s">
        <v>634</v>
      </c>
      <c r="AJY4" s="151" t="s">
        <v>634</v>
      </c>
      <c r="AJZ4" s="151" t="s">
        <v>634</v>
      </c>
      <c r="AKA4" s="151" t="s">
        <v>634</v>
      </c>
      <c r="AKB4" s="151" t="s">
        <v>634</v>
      </c>
      <c r="AKC4" s="151" t="s">
        <v>634</v>
      </c>
      <c r="AKD4" s="151" t="s">
        <v>634</v>
      </c>
      <c r="AKE4" s="151" t="s">
        <v>634</v>
      </c>
      <c r="AKF4" s="151" t="s">
        <v>634</v>
      </c>
      <c r="AKG4" s="151" t="s">
        <v>634</v>
      </c>
      <c r="AKH4" s="151" t="s">
        <v>634</v>
      </c>
      <c r="AKI4" s="151" t="s">
        <v>634</v>
      </c>
      <c r="AKJ4" s="151" t="s">
        <v>634</v>
      </c>
      <c r="AKK4" s="151" t="s">
        <v>634</v>
      </c>
      <c r="AKL4" s="151" t="s">
        <v>634</v>
      </c>
      <c r="AKM4" s="151" t="s">
        <v>634</v>
      </c>
      <c r="AKN4" s="151" t="s">
        <v>634</v>
      </c>
      <c r="AKO4" s="151" t="s">
        <v>634</v>
      </c>
      <c r="AKP4" s="151" t="s">
        <v>634</v>
      </c>
      <c r="AKQ4" s="151" t="s">
        <v>634</v>
      </c>
      <c r="AKR4" s="151" t="s">
        <v>634</v>
      </c>
      <c r="AKS4" s="151" t="s">
        <v>634</v>
      </c>
      <c r="AKT4" s="151" t="s">
        <v>634</v>
      </c>
      <c r="AKU4" s="151" t="s">
        <v>634</v>
      </c>
      <c r="AKV4" s="151" t="s">
        <v>634</v>
      </c>
      <c r="AKW4" s="151" t="s">
        <v>634</v>
      </c>
      <c r="AKX4" s="151" t="s">
        <v>634</v>
      </c>
      <c r="AKY4" s="151" t="s">
        <v>634</v>
      </c>
      <c r="AKZ4" s="151" t="s">
        <v>634</v>
      </c>
      <c r="ALA4" s="151" t="s">
        <v>634</v>
      </c>
      <c r="ALB4" s="151" t="s">
        <v>634</v>
      </c>
      <c r="ALC4" s="151" t="s">
        <v>634</v>
      </c>
      <c r="ALD4" s="151" t="s">
        <v>634</v>
      </c>
      <c r="ALE4" s="151" t="s">
        <v>634</v>
      </c>
      <c r="ALF4" s="151" t="s">
        <v>634</v>
      </c>
      <c r="ALG4" s="151" t="s">
        <v>634</v>
      </c>
      <c r="ALH4" s="151" t="s">
        <v>634</v>
      </c>
      <c r="ALI4" s="151" t="s">
        <v>634</v>
      </c>
      <c r="ALJ4" s="151" t="s">
        <v>634</v>
      </c>
      <c r="ALK4" s="151" t="s">
        <v>634</v>
      </c>
      <c r="ALL4" s="151" t="s">
        <v>634</v>
      </c>
      <c r="ALM4" s="151" t="s">
        <v>634</v>
      </c>
      <c r="ALN4" s="151" t="s">
        <v>634</v>
      </c>
      <c r="ALO4" s="151" t="s">
        <v>634</v>
      </c>
      <c r="ALP4" s="151" t="s">
        <v>634</v>
      </c>
      <c r="ALQ4" s="151" t="s">
        <v>634</v>
      </c>
      <c r="ALR4" s="151" t="s">
        <v>634</v>
      </c>
      <c r="ALS4" s="151" t="s">
        <v>634</v>
      </c>
      <c r="ALT4" s="151" t="s">
        <v>634</v>
      </c>
      <c r="ALU4" s="151" t="s">
        <v>634</v>
      </c>
      <c r="ALV4" s="151" t="s">
        <v>634</v>
      </c>
      <c r="ALW4" s="151" t="s">
        <v>634</v>
      </c>
      <c r="ALX4" s="151" t="s">
        <v>634</v>
      </c>
      <c r="ALY4" s="151" t="s">
        <v>634</v>
      </c>
      <c r="ALZ4" s="151" t="s">
        <v>634</v>
      </c>
      <c r="AMA4" s="151" t="s">
        <v>634</v>
      </c>
      <c r="AMB4" s="151" t="s">
        <v>634</v>
      </c>
      <c r="AMC4" s="151" t="s">
        <v>634</v>
      </c>
      <c r="AMD4" s="151" t="s">
        <v>634</v>
      </c>
      <c r="AME4" s="151" t="s">
        <v>634</v>
      </c>
      <c r="AMF4" s="151" t="s">
        <v>634</v>
      </c>
    </row>
    <row r="5" spans="4:1020" ht="13.2" customHeight="1">
      <c r="D5" t="str">
        <f>IF(Data!AV11="","",CONCATENATE(Data!BC$5,".",Data!BD$5))</f>
        <v>12201.A</v>
      </c>
      <c r="E5">
        <f>IF(D5="","",Data!AW11)</f>
        <v>1</v>
      </c>
      <c r="F5" t="str">
        <f>IF(D5="","",Data!AV11)</f>
        <v>aee04ea2-1e93-457c-8adb-48709095db3c</v>
      </c>
      <c r="G5" t="str">
        <f>IF(D5="","","Doors")</f>
        <v>Doors</v>
      </c>
      <c r="H5" t="str">
        <f>IF(D5="","",Data!BF$5)</f>
        <v>Leurs, Nigel</v>
      </c>
      <c r="I5" t="str">
        <f>IF(D5="","",Data!AX$5)</f>
        <v>Barrier Doors </v>
      </c>
      <c r="J5" s="73" t="str">
        <f>IF(AND('Mitred Cutting'!C11="Standard",'Mitred Cutting'!D11="APO Grey"),(('Job Sheet'!BH11+'Job Sheet'!BI11)*2),"")</f>
        <v/>
      </c>
      <c r="K5" s="73" t="str">
        <f>IF(AND('Mitred Cutting'!C11="Standard",'Mitred Cutting'!D11="White Birch"),(('Job Sheet'!BH11+'Job Sheet'!BI11)*2),"")</f>
        <v/>
      </c>
      <c r="L5" s="73" t="str">
        <f>IF(AND('Mitred Cutting'!C11="Standard",'Mitred Cutting'!D11="Black"),(('Job Sheet'!BH11+'Job Sheet'!BI11)*2),"")</f>
        <v/>
      </c>
      <c r="M5" s="73" t="str">
        <f>IF(AND('Mitred Cutting'!C11="Standard",'Mitred Cutting'!D11="Brown"),(('Job Sheet'!BH11+'Job Sheet'!BI11)*2),"")</f>
        <v/>
      </c>
      <c r="N5" s="73" t="str">
        <f>IF(AND('Mitred Cutting'!C11="Standard",'Mitred Cutting'!D11="Deep Ocean"),(('Job Sheet'!BH11+'Job Sheet'!BI11)*2),"")</f>
        <v/>
      </c>
      <c r="O5" s="73" t="str">
        <f>IF(AND('Mitred Cutting'!C11="Standard",'Mitred Cutting'!D11="Jasper"),(('Job Sheet'!BH11+'Job Sheet'!BI11)*2),"")</f>
        <v/>
      </c>
      <c r="P5" s="73">
        <f>IF(AND('Mitred Cutting'!C11="Standard",'Mitred Cutting'!D11="Paperbark"),(('Job Sheet'!BH11+'Job Sheet'!BI11)*2),"")</f>
        <v>5944</v>
      </c>
      <c r="Q5" s="73" t="str">
        <f>IF(AND('Mitred Cutting'!C11="Standard",'Mitred Cutting'!D11="Mist Green"),(('Job Sheet'!BH11+'Job Sheet'!BI11)*2),"")</f>
        <v/>
      </c>
      <c r="R5" s="73" t="str">
        <f>IF(AND('Mitred Cutting'!C11="Standard",'Mitred Cutting'!D11="Primrose"),(('Job Sheet'!BH11+'Job Sheet'!BI11)*2),"")</f>
        <v/>
      </c>
      <c r="S5" s="73" t="str">
        <f>IF(AND('Mitred Cutting'!C11="Standard",'Mitred Cutting'!D11="Ultra Silver"),(('Job Sheet'!BH11+'Job Sheet'!BI11)*2),"")</f>
        <v/>
      </c>
      <c r="T5" s="73" t="str">
        <f>IF(AND('Mitred Cutting'!C11="Standard",'Mitred Cutting'!D11="Woodland Grey(Green Tone)"),(('Job Sheet'!BH11+'Job Sheet'!BI11)*2),"")</f>
        <v/>
      </c>
      <c r="U5" s="73" t="str">
        <f>IF(AND('Mitred Cutting'!C11="Standard",'Mitred Cutting'!D11="Pearl White"),(('Job Sheet'!BH11+'Job Sheet'!BI11)*2),"")</f>
        <v/>
      </c>
      <c r="V5" s="73" t="str">
        <f>IF(AND('Mitred Cutting'!C11="Standard",'Mitred Cutting'!D11="Monument"),(('Job Sheet'!BH11+'Job Sheet'!BI11)*2),"")</f>
        <v/>
      </c>
      <c r="W5" s="73" t="str">
        <f>IF(AND('Mitred Cutting'!C11="Standard",'Mitred Cutting'!D11="Surfmist"),(('Job Sheet'!BH11+'Job Sheet'!BI11)*2),"")</f>
        <v/>
      </c>
      <c r="X5" s="73" t="str">
        <f>IF(AND('Mitred Cutting'!C11="Standard",'Mitred Cutting'!D11="Dune"),(('Job Sheet'!BH11+'Job Sheet'!BI11)*2),"")</f>
        <v/>
      </c>
      <c r="Y5" s="73" t="str">
        <f>IF(AND('Mitred Cutting'!C11="Standard",'Job Sheet'!AA11="Woodland Grey (Dulux)"),(('Job Sheet'!BH11+'Job Sheet'!BI11)*2),"")</f>
        <v/>
      </c>
      <c r="Z5" s="73" t="str">
        <f>IF(AND('Mitred Cutting'!C11="Standard",Data!BP11="Powdercoat",'Job Sheet'!AA11&lt;&gt;"Woodland Grey (Dulux)"),(('Job Sheet'!BH11+'Job Sheet'!BI11)*2),"")</f>
        <v/>
      </c>
      <c r="AA5" s="73" t="str">
        <f>IF(AND('Mitred Cutting'!C11="Invisi-Gard",'Mitred Cutting'!D11="APO Grey"),(('Job Sheet'!BH11+'Job Sheet'!BI11)*2),"")</f>
        <v/>
      </c>
      <c r="AB5" s="73" t="str">
        <f>IF(AND('Mitred Cutting'!C11="Invisi-Gard",'Mitred Cutting'!D11="White Birch"),(('Job Sheet'!BH11+'Job Sheet'!BI11)*2),"")</f>
        <v/>
      </c>
      <c r="AC5" s="73" t="str">
        <f>IF(AND('Mitred Cutting'!C11="Invisi-Gard",'Mitred Cutting'!D11="Black"),(('Job Sheet'!BH11+'Job Sheet'!BI11)*2),"")</f>
        <v/>
      </c>
      <c r="AD5" s="73" t="str">
        <f>IF(AND('Mitred Cutting'!C11="Invisi-Gard",'Mitred Cutting'!D11="Brown"),(('Job Sheet'!BH11+'Job Sheet'!BI11)*2),"")</f>
        <v/>
      </c>
      <c r="AE5" s="73" t="str">
        <f>IF(AND('Mitred Cutting'!C11="Invisi-Gard",'Mitred Cutting'!D11="Deep Ocean"),(('Job Sheet'!BH11+'Job Sheet'!BI11)*2),"")</f>
        <v/>
      </c>
      <c r="AF5" s="73" t="str">
        <f>IF(AND('Mitred Cutting'!C11="Invisi-Gard",'Mitred Cutting'!D11="Jasper"),(('Job Sheet'!BH11+'Job Sheet'!BI11)*2),"")</f>
        <v/>
      </c>
      <c r="AG5" s="73" t="str">
        <f>IF(AND('Mitred Cutting'!C11="Invisi-Gard",'Mitred Cutting'!D11="Paperbark"),(('Job Sheet'!BH11+'Job Sheet'!BI11)*2),"")</f>
        <v/>
      </c>
      <c r="AH5" s="73" t="str">
        <f>IF(AND('Mitred Cutting'!C11="Invisi-Gard",'Mitred Cutting'!D11="Mist Green"),(('Job Sheet'!BH11+'Job Sheet'!BI11)*2),"")</f>
        <v/>
      </c>
      <c r="AI5" s="73" t="str">
        <f>IF(AND('Mitred Cutting'!C11="Invisi-Gard",'Mitred Cutting'!D11="Primrose"),(('Job Sheet'!BH11+'Job Sheet'!BI11)*2),"")</f>
        <v/>
      </c>
      <c r="AJ5" s="73" t="str">
        <f>IF(AND('Mitred Cutting'!C11="Invisi-Gard",'Mitred Cutting'!D11="Ultra Silver"),(('Job Sheet'!BH11+'Job Sheet'!BI11)*2),"")</f>
        <v/>
      </c>
      <c r="AK5" s="73" t="str">
        <f>IF(AND('Mitred Cutting'!C11="Invisi-Gard",'Mitred Cutting'!D11="Woodland Grey(Green Tone)"),(('Job Sheet'!BH11+'Job Sheet'!BI11)*2),"")</f>
        <v/>
      </c>
      <c r="AL5" s="73" t="str">
        <f>IF(AND('Mitred Cutting'!C11="Invisi-Gard",'Mitred Cutting'!D11="Pearl White"),(('Job Sheet'!BH11+'Job Sheet'!BI11)*2),"")</f>
        <v/>
      </c>
      <c r="AM5" s="73" t="str">
        <f>IF(AND('Mitred Cutting'!C11="Invisi-Gard",'Mitred Cutting'!D11="Monument"),(('Job Sheet'!BH11+'Job Sheet'!BI11)*2),"")</f>
        <v/>
      </c>
      <c r="AN5" s="73" t="str">
        <f>IF(AND('Mitred Cutting'!C11="Invisi-Gard",'Mitred Cutting'!D11="Surfmist"),(('Job Sheet'!BH11+'Job Sheet'!BI11)*2),"")</f>
        <v/>
      </c>
      <c r="AO5" s="73" t="str">
        <f>IF(AND('Mitred Cutting'!C11="Invisi-Gard",'Mitred Cutting'!D11="Dune"),(('Job Sheet'!BH11+'Job Sheet'!BI11)*2),"")</f>
        <v/>
      </c>
      <c r="AP5" s="73" t="str">
        <f>IF(AND('Mitred Cutting'!C11="Invisi-Gard",'Job Sheet'!AA11="Woodland Grey (Dulux)"),(('Job Sheet'!BH11+'Job Sheet'!BI11)*2),"")</f>
        <v/>
      </c>
      <c r="AQ5" s="73" t="str">
        <f>IF(AND('Mitred Cutting'!C11="Invisi-Gard",Data!BP11="Powdercoat",'Job Sheet'!AA11&lt;&gt;"Woodland Grey (Dulux)"),(('Job Sheet'!BH11+'Job Sheet'!BI11)*2),"")</f>
        <v/>
      </c>
      <c r="BZ5" s="73"/>
      <c r="CA5" s="73"/>
      <c r="CB5" s="73"/>
      <c r="CC5" s="73"/>
      <c r="CD5" s="73"/>
      <c r="CE5" s="73"/>
      <c r="CF5" s="73"/>
      <c r="CG5" s="73"/>
      <c r="CH5" s="73"/>
      <c r="CI5" s="73"/>
      <c r="CJ5" s="73"/>
      <c r="CK5" s="73"/>
      <c r="CL5" s="73"/>
      <c r="CM5" s="73"/>
      <c r="CN5" s="73"/>
      <c r="CO5" s="73"/>
      <c r="CP5" s="73"/>
      <c r="CQ5" s="73" t="str">
        <f>IF(D5="","",IF(AND('Job Sheet'!AO11="Yes",'Mitred Cutting'!I11="Short Leg Left, Right and Top",'Mitred Cutting'!J11="APO Grey"),(('Job Sheet'!E11*2+60)+'Job Sheet'!AP11+60),IF(AND('Mitred Cutting'!I11="Short Leg 1 Side",'Mitred Cutting'!J11="APO Grey"),'Job Sheet'!E11+30,IF(AND('Mitred Cutting'!I11="Short Leg Left, Right and Top",'Mitred Cutting'!J11="APO Grey"),(('Job Sheet'!E11*2+60)+'Job Sheet'!D11+60),""))))</f>
        <v/>
      </c>
      <c r="CR5" s="73" t="str">
        <f>IF(D5="","",IF(AND('Job Sheet'!AO11="Yes",'Mitred Cutting'!I11="Short Leg Left, Right and Top",'Mitred Cutting'!J11="White Birch"),(('Job Sheet'!E11*2+60)+'Job Sheet'!AP11+60),IF(AND('Mitred Cutting'!I11="Short Leg 1 Side",'Mitred Cutting'!J11="White Birch"),'Job Sheet'!E11+30,IF(AND('Mitred Cutting'!I11="Short Leg Left, Right and Top",'Mitred Cutting'!J11="White Birch"),(('Job Sheet'!E11*2+60)+'Job Sheet'!D11+60),""))))</f>
        <v/>
      </c>
      <c r="CS5" s="73" t="str">
        <f>IF(D5="","",IF(AND('Job Sheet'!AO11="Yes",'Mitred Cutting'!I11="Short Leg Left, Right and Top",'Mitred Cutting'!J11="Black"),(('Job Sheet'!E11*2+60)+'Job Sheet'!AP11+60),IF(AND('Mitred Cutting'!I11="Short Leg 1 Side",'Mitred Cutting'!J11="Black"),'Job Sheet'!E11+30,IF(AND('Mitred Cutting'!I11="Short Leg Left, Right and Top",'Mitred Cutting'!J11="Black"),(('Job Sheet'!E11*2+60)+'Job Sheet'!D11+60),""))))</f>
        <v/>
      </c>
      <c r="CT5" s="73" t="str">
        <f>IF(D5="","",IF(AND('Job Sheet'!AO11="Yes",'Mitred Cutting'!I11="Short Leg Left, Right and Top",'Mitred Cutting'!J11="Brown"),(('Job Sheet'!E11*2+60)+'Job Sheet'!AP11+60),IF(AND('Mitred Cutting'!I11="Short Leg 1 Side",'Mitred Cutting'!J11="Brown"),'Job Sheet'!E11+30,IF(AND('Mitred Cutting'!I11="Short Leg Left, Right and Top",'Mitred Cutting'!J11="Brown"),(('Job Sheet'!E11*2+60)+'Job Sheet'!D11+60),""))))</f>
        <v/>
      </c>
      <c r="CU5" s="73" t="str">
        <f>IF(D5="","",IF(AND('Job Sheet'!AO11="Yes",'Mitred Cutting'!I11="Short Leg Left, Right and Top",'Mitred Cutting'!J11="Deep Ocean"),(('Job Sheet'!E11*2+60)+'Job Sheet'!AP11+60),IF(AND('Mitred Cutting'!I11="Short Leg 1 Side",'Mitred Cutting'!J11="Deep Ocean"),'Job Sheet'!E11+30,IF(AND('Mitred Cutting'!I11="Short Leg Left, Right and Top",'Mitred Cutting'!J11="Deep Ocean"),(('Job Sheet'!E11*2+60)+'Job Sheet'!D11+60),""))))</f>
        <v/>
      </c>
      <c r="CV5" s="73" t="str">
        <f>IF(D5="","",IF(AND('Job Sheet'!AO11="Yes",'Mitred Cutting'!I11="Short Leg Left, Right and Top",'Mitred Cutting'!J11="Jasper"),(('Job Sheet'!E11*2+60)+'Job Sheet'!AP11+60),IF(AND('Mitred Cutting'!I11="Short Leg 1 Side",'Mitred Cutting'!J11="Jasper"),'Job Sheet'!E11+30,IF(AND('Mitred Cutting'!I11="Short Leg Left, Right and Top",'Mitred Cutting'!J11="Jasper"),(('Job Sheet'!E11*2+60)+'Job Sheet'!D11+60),""))))</f>
        <v/>
      </c>
      <c r="CW5" s="73" t="str">
        <f>IF(D5="","",IF(AND('Job Sheet'!AO11="Yes",'Mitred Cutting'!I11="Short Leg Left, Right and Top",'Mitred Cutting'!J11="Paperbark"),(('Job Sheet'!E11*2+60)+'Job Sheet'!AP11+60),IF(AND('Mitred Cutting'!I11="Short Leg 1 Side",'Mitred Cutting'!J11="Paperbark"),'Job Sheet'!E11+30,IF(AND('Mitred Cutting'!I11="Short Leg Left, Right and Top",'Mitred Cutting'!J11="Paperbark"),(('Job Sheet'!E11*2+60)+'Job Sheet'!D11+60),""))))</f>
        <v/>
      </c>
      <c r="CX5" s="73" t="str">
        <f>IF(D5="","",IF(AND('Job Sheet'!AO11="Yes",'Mitred Cutting'!I11="Short Leg Left, Right and Top",'Mitred Cutting'!J11="Mist Green"),(('Job Sheet'!E11*2+60)+'Job Sheet'!AP11+60),IF(AND('Mitred Cutting'!I11="Short Leg 1 Side",'Mitred Cutting'!J11="Mist Green"),'Job Sheet'!E11+30,IF(AND('Mitred Cutting'!I11="Short Leg Left, Right and Top",'Mitred Cutting'!J11="Mist Green"),(('Job Sheet'!E11*2+60)+'Job Sheet'!D11+60),""))))</f>
        <v/>
      </c>
      <c r="CY5" s="73" t="str">
        <f>IF(D5="","",IF(AND('Job Sheet'!AO11="Yes",'Mitred Cutting'!I11="Short Leg Left, Right and Top",'Mitred Cutting'!J11="Primrose"),(('Job Sheet'!E11*2+60)+'Job Sheet'!AP11+60),IF(AND('Mitred Cutting'!I11="Short Leg 1 Side",'Mitred Cutting'!J11="Primrose"),'Job Sheet'!E11+30,IF(AND('Mitred Cutting'!I11="Short Leg Left, Right and Top",'Mitred Cutting'!J11="Primrose"),(('Job Sheet'!E11*2+60)+'Job Sheet'!D11+60),""))))</f>
        <v/>
      </c>
      <c r="CZ5" s="73" t="str">
        <f>IF(D5="","",IF(AND('Job Sheet'!AO11="Yes",'Mitred Cutting'!I11="Short Leg Left, Right and Top",'Mitred Cutting'!J11="Ultra Silver"),(('Job Sheet'!E11*2+60)+'Job Sheet'!AP11+60),IF(AND('Mitred Cutting'!I11="Short Leg 1 Side",'Mitred Cutting'!J11="Ultra Silver"),'Job Sheet'!E11+30,IF(AND('Mitred Cutting'!I11="Short Leg Left, Right and Top",'Mitred Cutting'!J11="Ultra Silver"),(('Job Sheet'!E11*2+60)+'Job Sheet'!D11+60),""))))</f>
        <v/>
      </c>
      <c r="DA5" s="73" t="str">
        <f>IF(D5="","",IF(AND('Job Sheet'!AO11="Yes",'Mitred Cutting'!I11="Short Leg Left, Right and Top",'Mitred Cutting'!J11="Woodland Grey(Green Tone)"),(('Job Sheet'!E11*2+60)+'Job Sheet'!AP11+60),IF(AND('Mitred Cutting'!I11="Short Leg 1 Side",'Mitred Cutting'!J11="Woodland Grey(Green Tone)"),'Job Sheet'!E11+30,IF(AND('Mitred Cutting'!I11="Short Leg Left, Right and Top",'Mitred Cutting'!J11="Woodland Grey(Green Tone)"),(('Job Sheet'!E11*2+60)+'Job Sheet'!D11+60),""))))</f>
        <v/>
      </c>
      <c r="DB5" s="73" t="str">
        <f>IF(D5="","",IF(AND('Job Sheet'!AO11="Yes",'Mitred Cutting'!I11="Short Leg Left, Right and Top",'Mitred Cutting'!J11="Pearl White"),(('Job Sheet'!E11*2+60)+'Job Sheet'!AP11+60),IF(AND('Mitred Cutting'!I11="Short Leg 1 Side",'Mitred Cutting'!J11="Pearl White"),'Job Sheet'!E11+30,IF(AND('Mitred Cutting'!I11="Short Leg Left, Right and Top",'Mitred Cutting'!J11="Pearl White"),(('Job Sheet'!E11*2+60)+'Job Sheet'!D11+60),""))))</f>
        <v/>
      </c>
      <c r="DC5" s="73" t="str">
        <f>IF(D5="","",IF(AND('Job Sheet'!AO11="Yes",'Mitred Cutting'!I11="Short Leg Left, Right and Top",'Mitred Cutting'!J11="Monument"),(('Job Sheet'!E11*2+60)+'Job Sheet'!AP11+60),IF(AND('Mitred Cutting'!I11="Short Leg 1 Side",'Mitred Cutting'!J11="Monument"),'Job Sheet'!E11+30,IF(AND('Mitred Cutting'!I11="Short Leg Left, Right and Top",'Mitred Cutting'!J11="Monument"),(('Job Sheet'!E11*2+60)+'Job Sheet'!D11+60),""))))</f>
        <v/>
      </c>
      <c r="DD5" s="73" t="str">
        <f>IF(D5="","",IF(AND('Job Sheet'!AO11="Yes",'Mitred Cutting'!I11="Short Leg Left, Right and Top",'Mitred Cutting'!J11="Surfmist"),(('Job Sheet'!E11*2+60)+'Job Sheet'!AP11+60),IF(AND('Mitred Cutting'!I11="Short Leg 1 Side",'Mitred Cutting'!J11="Surfmist"),'Job Sheet'!E11+30,IF(AND('Mitred Cutting'!I11="Short Leg Left, Right and Top",'Mitred Cutting'!J11="Surfmist"),(('Job Sheet'!E11*2+60)+'Job Sheet'!D11+60),""))))</f>
        <v/>
      </c>
      <c r="DE5" s="73" t="str">
        <f>IF(D5="","",IF(AND('Job Sheet'!AO11="Yes",'Mitred Cutting'!I11="Short Leg Left, Right and Top",'Mitred Cutting'!J11="Dune"),(('Job Sheet'!E11*2+60)+'Job Sheet'!AP11+60),IF(AND('Mitred Cutting'!I11="Short Leg 1 Side",'Mitred Cutting'!J11="Dune"),'Job Sheet'!E11+30,IF(AND('Mitred Cutting'!I11="Short Leg Left, Right and Top",'Mitred Cutting'!J11="Dune"),(('Job Sheet'!E11*2+60)+'Job Sheet'!D11+60),""))))</f>
        <v/>
      </c>
      <c r="DG5" s="73" t="str">
        <f>IF(D5="","",IF(AND('Job Sheet'!AO11="Yes",'Mitred Cutting'!I11="Short Leg Left, Right and Top",Data!BP11="Powdercoat"),(('Job Sheet'!E11*2+60)+'Job Sheet'!AP11+60),IF(AND('Mitred Cutting'!I11="Short Leg 1 Side",Data!BP11="Powdercoat"),'Job Sheet'!E11+30,IF(AND('Mitred Cutting'!I11="Short Leg Left, Right and Top",Data!BP11="Powdercoat"),(('Job Sheet'!E11*2+60)+'Job Sheet'!D11+60),""))))</f>
        <v/>
      </c>
      <c r="DH5" s="73" t="str">
        <f>IF(D5="","",IF(AND('Job Sheet'!AO11="Yes",'Mitred Cutting'!I11="Long Leg Left, Right and Top",'Mitred Cutting'!J11="APO Grey"),(('Job Sheet'!E11*2+60)+'Job Sheet'!AP11+60),IF(AND('Mitred Cutting'!I11="Long Leg 1 Side",'Mitred Cutting'!J11="APO Grey"),'Job Sheet'!E11+30,IF(AND('Mitred Cutting'!I11="Long Leg Left, Right and Top",'Mitred Cutting'!J11="APO Grey"),(('Job Sheet'!E11*2+60)+'Job Sheet'!D11+60),""))))</f>
        <v/>
      </c>
      <c r="DI5" s="73" t="str">
        <f>IF(D5="","",IF(AND('Job Sheet'!AO11="Yes",'Mitred Cutting'!I11="Long Leg Left, Right and Top",'Mitred Cutting'!J11="White Birch"),(('Job Sheet'!E11*2+60)+'Job Sheet'!AP11+60),IF(AND('Mitred Cutting'!I11="Long Leg 1 Side",'Mitred Cutting'!J11="White Birch"),'Job Sheet'!E11+30,IF(AND('Mitred Cutting'!I11="Long Leg Left, Right and Top",'Mitred Cutting'!J11="White Birch"),(('Job Sheet'!E11*2+60)+'Job Sheet'!D11+60),""))))</f>
        <v/>
      </c>
      <c r="DJ5" s="73" t="str">
        <f>IF(D5="","",IF(AND('Job Sheet'!AO11="Yes",'Mitred Cutting'!I11="Long Leg Left, Right and Top",'Mitred Cutting'!J11="Black"),(('Job Sheet'!E11*2+60)+'Job Sheet'!AP11+60),IF(AND('Mitred Cutting'!I11="Long Leg 1 Side",'Mitred Cutting'!J11="Black"),'Job Sheet'!E11+30,IF(AND('Mitred Cutting'!I11="Long Leg Left, Right and Top",'Mitred Cutting'!J11="Black"),(('Job Sheet'!E11*2+60)+'Job Sheet'!D11+60),""))))</f>
        <v/>
      </c>
      <c r="DK5" s="73" t="str">
        <f>IF(D5="","",IF(AND('Job Sheet'!AO11="Yes",'Mitred Cutting'!I11="Long Leg Left, Right and Top",'Mitred Cutting'!J11="Brown"),(('Job Sheet'!E11*2+60)+'Job Sheet'!AP11+60),IF(AND('Mitred Cutting'!I11="Long Leg 1 Side",'Mitred Cutting'!J11="Brown"),'Job Sheet'!E11+30,IF(AND('Mitred Cutting'!I11="Long Leg Left, Right and Top",'Mitred Cutting'!J11="Brown"),(('Job Sheet'!E11*2+60)+'Job Sheet'!D11+60),""))))</f>
        <v/>
      </c>
      <c r="DL5" s="73" t="str">
        <f>IF(D5="","",IF(AND('Job Sheet'!AO11="Yes",'Mitred Cutting'!I11="Long Leg Left, Right and Top",'Mitred Cutting'!J11="Deep Ocean"),(('Job Sheet'!E11*2+60)+'Job Sheet'!AP11+60),IF(AND('Mitred Cutting'!I11="Long Leg 1 Side",'Mitred Cutting'!J11="Deep Ocean"),'Job Sheet'!E11+30,IF(AND('Mitred Cutting'!I11="Long Leg Left, Right and Top",'Mitred Cutting'!J11="Deep Ocean"),(('Job Sheet'!E11*2+60)+'Job Sheet'!D11+60),""))))</f>
        <v/>
      </c>
      <c r="DM5" s="73" t="str">
        <f>IF(D5="","",IF(AND('Job Sheet'!AO11="Yes",'Mitred Cutting'!I11="Long Leg Left, Right and Top",'Mitred Cutting'!J11="Jasper"),(('Job Sheet'!E11*2+60)+'Job Sheet'!AP11+60),IF(AND('Mitred Cutting'!I11="Long Leg 1 Side",'Mitred Cutting'!J11="Jasper"),'Job Sheet'!E11+30,IF(AND('Mitred Cutting'!I11="Long Leg Left, Right and Top",'Mitred Cutting'!J11="Jasper"),(('Job Sheet'!E11*2+60)+'Job Sheet'!D11+60),""))))</f>
        <v/>
      </c>
      <c r="DN5" s="73" t="str">
        <f>IF(D5="","",IF(AND('Job Sheet'!AO11="Yes",'Mitred Cutting'!I11="Long Leg Left, Right and Top",'Mitred Cutting'!J11="Paperbark"),(('Job Sheet'!E11*2+60)+'Job Sheet'!AP11+60),IF(AND('Mitred Cutting'!I11="Long Leg 1 Side",'Mitred Cutting'!J11="Paperbark"),'Job Sheet'!E11+30,IF(AND('Mitred Cutting'!I11="Long Leg Left, Right and Top",'Mitred Cutting'!J11="Paperbark"),(('Job Sheet'!E11*2+60)+'Job Sheet'!D11+60),""))))</f>
        <v/>
      </c>
      <c r="DO5" s="73" t="str">
        <f>IF(D5="","",IF(AND('Job Sheet'!AO11="Yes",'Mitred Cutting'!I11="Long Leg Left, Right and Top",'Mitred Cutting'!J11="Mist Green"),(('Job Sheet'!E11*2+60)+'Job Sheet'!AP11+60),IF(AND('Mitred Cutting'!I11="Long Leg 1 Side",'Mitred Cutting'!J11="Mist Green"),'Job Sheet'!E11+30,IF(AND('Mitred Cutting'!I11="Long Leg Left, Right and Top",'Mitred Cutting'!J11="Mist Green"),(('Job Sheet'!E11*2+60)+'Job Sheet'!D11+60),""))))</f>
        <v/>
      </c>
      <c r="DP5" s="73" t="str">
        <f>IF(D5="","",IF(AND('Job Sheet'!AO11="Yes",'Mitred Cutting'!I11="Long Leg Left, Right and Top",'Mitred Cutting'!J11="Primrose"),(('Job Sheet'!E11*2+60)+'Job Sheet'!AP11+60),IF(AND('Mitred Cutting'!I11="Long Leg 1 Side",'Mitred Cutting'!J11="Primrose"),'Job Sheet'!E11+30,IF(AND('Mitred Cutting'!I11="Long Leg Left, Right and Top",'Mitred Cutting'!J11="Primrose"),(('Job Sheet'!E11*2+60)+'Job Sheet'!D11+60),""))))</f>
        <v/>
      </c>
      <c r="DQ5" s="73" t="str">
        <f>IF(D5="","",IF(AND('Job Sheet'!AO11="Yes",'Mitred Cutting'!I11="Long Leg Left, Right and Top",'Mitred Cutting'!J11="Ultra Silver"),(('Job Sheet'!E11*2+60)+'Job Sheet'!AP11+60),IF(AND('Mitred Cutting'!I11="Long Leg 1 Side",'Mitred Cutting'!J11="Ultra Silver"),'Job Sheet'!E11+30,IF(AND('Mitred Cutting'!I11="Long Leg Left, Right and Top",'Mitred Cutting'!J11="Ultra Silver"),(('Job Sheet'!E11*2+60)+'Job Sheet'!D11+60),""))))</f>
        <v/>
      </c>
      <c r="DR5" s="73" t="str">
        <f>IF(D5="","",IF(AND('Job Sheet'!AO11="Yes",'Mitred Cutting'!I11="Long Leg Left, Right and Top",'Mitred Cutting'!J11="Woodland Grey(Green Tone)"),(('Job Sheet'!E11*2+60)+'Job Sheet'!AP11+60),IF(AND('Mitred Cutting'!I11="Long Leg 1 Side",'Mitred Cutting'!J11="Woodland Grey(Green Tone)"),'Job Sheet'!E11+30,IF(AND('Mitred Cutting'!I11="Long Leg Left, Right and Top",'Mitred Cutting'!J11="Woodland Grey(Green Tone)"),(('Job Sheet'!E11*2+60)+'Job Sheet'!D11+60),""))))</f>
        <v/>
      </c>
      <c r="DS5" s="73" t="str">
        <f>IF(D5="","",IF(AND('Job Sheet'!AO11="Yes",'Mitred Cutting'!I11="Long Leg Left, Right and Top",'Mitred Cutting'!J11="Pearl White"),(('Job Sheet'!E11*2+60)+'Job Sheet'!AP11+60),IF(AND('Mitred Cutting'!I11="Long Leg 1 Side",'Mitred Cutting'!J11="Pearl White"),'Job Sheet'!E11+30,IF(AND('Mitred Cutting'!I11="Long Leg Left, Right and Top",'Mitred Cutting'!J11="Pearl White"),(('Job Sheet'!E11*2+60)+'Job Sheet'!D11+60),""))))</f>
        <v/>
      </c>
      <c r="DT5" s="73" t="str">
        <f>IF(D5="","",IF(AND('Job Sheet'!AO11="Yes",'Mitred Cutting'!I11="Long Leg Left, Right and Top",'Mitred Cutting'!J11="Monument"),(('Job Sheet'!E11*2+60)+'Job Sheet'!AP11+60),IF(AND('Mitred Cutting'!I11="Long Leg 1 Side",'Mitred Cutting'!J11="Monument"),'Job Sheet'!E11+30,IF(AND('Mitred Cutting'!I11="Long Leg Left, Right and Top",'Mitred Cutting'!J11="Monument"),(('Job Sheet'!E11*2+60)+'Job Sheet'!D11+60),""))))</f>
        <v/>
      </c>
      <c r="DU5" s="73" t="str">
        <f>IF(D5="","",IF(AND('Job Sheet'!AO11="Yes",'Mitred Cutting'!I11="Long Leg Left, Right and Top",'Mitred Cutting'!J11="Surfmist"),(('Job Sheet'!E11*2+60)+'Job Sheet'!AP11+60),IF(AND('Mitred Cutting'!I11="Long Leg 1 Side",'Mitred Cutting'!J11="Surfmist"),'Job Sheet'!E11+30,IF(AND('Mitred Cutting'!I11="Long Leg Left, Right and Top",'Mitred Cutting'!J11="Surfmist"),(('Job Sheet'!E11*2+60)+'Job Sheet'!D11+60),""))))</f>
        <v/>
      </c>
      <c r="DV5" s="73" t="str">
        <f>IF(D5="","",IF(AND('Job Sheet'!AO11="Yes",'Mitred Cutting'!I11="Long Leg Left, Right and Top",'Mitred Cutting'!J11="Dune"),(('Job Sheet'!E11*2+60)+'Job Sheet'!AP11+60),IF(AND('Mitred Cutting'!I11="Long Leg 1 Side",'Mitred Cutting'!J11="Dune"),'Job Sheet'!E11+30,IF(AND('Mitred Cutting'!I11="Long Leg Left, Right and Top",'Mitred Cutting'!J11="Dune"),(('Job Sheet'!E11*2+60)+'Job Sheet'!D11+60),""))))</f>
        <v/>
      </c>
      <c r="DX5" s="73" t="str">
        <f>IF(D5="","",IF(AND('Job Sheet'!AO11="Yes",'Mitred Cutting'!I11="Long Leg Left, Right and Top",Data!BP11="Powdercoat"),(('Job Sheet'!E11*2+60)+'Job Sheet'!AP11+60),IF(AND('Mitred Cutting'!I11="Long Leg 1 Side",Data!BP11="Powdercoat"),'Job Sheet'!E11+30,IF(AND('Mitred Cutting'!I11="Long Leg Left, Right and Top",Data!BP11="Powdercoat"),(('Job Sheet'!E11*2+60)+'Job Sheet'!D11+60),""))))</f>
        <v/>
      </c>
      <c r="EA5" s="73" t="str">
        <f>IF(Data!AV11="","",IF('Job Sheet'!AV11="Yes",VLOOKUP(CONCATENATE('Job Sheet'!AW11,'Job Sheet'!AY11),DogDoor,4,FALSE),""))</f>
        <v/>
      </c>
      <c r="FE5" s="73" t="str">
        <f>IF(AND('Straight Cutting'!F11&lt;&gt;"",'Mitred Cutting'!D11="APO Grey"),'Straight Cutting'!F11,"")</f>
        <v/>
      </c>
      <c r="FF5" s="73" t="str">
        <f>IF(AND('Straight Cutting'!F11&lt;&gt;"",'Mitred Cutting'!D11="White Birch"),'Straight Cutting'!F11,"")</f>
        <v/>
      </c>
      <c r="FG5" s="73" t="str">
        <f>IF(AND('Straight Cutting'!F11&lt;&gt;"",'Mitred Cutting'!D11="Black"),'Straight Cutting'!F11,"")</f>
        <v/>
      </c>
      <c r="FH5" s="73" t="str">
        <f>IF(AND('Straight Cutting'!F11&lt;&gt;"",'Mitred Cutting'!D11="Brown"),'Straight Cutting'!F11,"")</f>
        <v/>
      </c>
      <c r="FI5" s="73" t="str">
        <f>IF(AND('Straight Cutting'!F11&lt;&gt;"",'Mitred Cutting'!D11="Deep Ocean"),'Straight Cutting'!F11,"")</f>
        <v/>
      </c>
      <c r="FJ5" s="73" t="str">
        <f>IF(AND('Straight Cutting'!F11&lt;&gt;"",'Mitred Cutting'!D11="Jasper"),'Straight Cutting'!F11,"")</f>
        <v/>
      </c>
      <c r="FK5" s="73">
        <f>IF(AND('Straight Cutting'!F11&lt;&gt;"",'Mitred Cutting'!D11="Paperbark"),'Straight Cutting'!F11,"")</f>
        <v>1986</v>
      </c>
      <c r="FL5" s="73" t="str">
        <f>IF(AND('Straight Cutting'!F11&lt;&gt;"",'Mitred Cutting'!D11="Mist Green"),'Straight Cutting'!F11,"")</f>
        <v/>
      </c>
      <c r="FM5" s="73" t="str">
        <f>IF(AND('Straight Cutting'!F11&lt;&gt;"",'Mitred Cutting'!D11="Primrose"),'Straight Cutting'!F11,"")</f>
        <v/>
      </c>
      <c r="FN5" s="73" t="str">
        <f>IF(AND('Straight Cutting'!F11&lt;&gt;"",'Mitred Cutting'!D11="Ultra Silver"),'Straight Cutting'!F11,"")</f>
        <v/>
      </c>
      <c r="FO5" s="73" t="str">
        <f>IF(AND('Straight Cutting'!F11&lt;&gt;"",'Mitred Cutting'!D11="Woodland Grey(Green Tone)"),'Straight Cutting'!F11,"")</f>
        <v/>
      </c>
      <c r="FP5" s="73" t="str">
        <f>IF(AND('Straight Cutting'!F11&lt;&gt;"",'Mitred Cutting'!D11="Pearl White"),'Straight Cutting'!F11,"")</f>
        <v/>
      </c>
      <c r="FQ5" s="73" t="str">
        <f>IF(AND('Straight Cutting'!F11&lt;&gt;"",'Mitred Cutting'!D11="Monument"),'Straight Cutting'!F11,"")</f>
        <v/>
      </c>
      <c r="FR5" s="73" t="str">
        <f>IF(AND('Straight Cutting'!F11&lt;&gt;"",'Mitred Cutting'!D11="Surfmist"),'Straight Cutting'!F11,"")</f>
        <v/>
      </c>
      <c r="FS5" s="73" t="str">
        <f>IF(AND('Straight Cutting'!F11&lt;&gt;"",'Mitred Cutting'!D11="Dune"),'Straight Cutting'!F11,"")</f>
        <v/>
      </c>
      <c r="FT5" s="73" t="str">
        <f>IF(AND('Straight Cutting'!F11&lt;&gt;"",'Job Sheet'!AA11="Woodland Grey (Dulux)"),'Straight Cutting'!F11,"")</f>
        <v/>
      </c>
      <c r="FU5" s="73" t="str">
        <f>IF(AND('Straight Cutting'!F11&lt;&gt;"",Data!BP11="Powdercoat",'Job Sheet'!AA11&lt;&gt;"Woodland Grey (Dulux)"),'Straight Cutting'!F11,"")</f>
        <v/>
      </c>
      <c r="FV5" s="73" t="str">
        <f>IF(AND('Straight Cutting'!E11="F &amp; Z Frames",'Mitred Cutting'!D11="APO Grey"),'Straight Cutting'!G11,"")</f>
        <v/>
      </c>
      <c r="FW5" s="73" t="str">
        <f>IF(AND('Straight Cutting'!E11="F &amp; Z Frames",'Mitred Cutting'!D11="White Birch"),'Straight Cutting'!G11,"")</f>
        <v/>
      </c>
      <c r="FX5" s="73" t="str">
        <f>IF(AND('Straight Cutting'!E11="F &amp; Z Frames",'Mitred Cutting'!D11="Black"),'Straight Cutting'!G11,"")</f>
        <v/>
      </c>
      <c r="FY5" s="73" t="str">
        <f>IF(AND('Straight Cutting'!E11="F &amp; Z Frames",'Mitred Cutting'!D11="Brown"),'Straight Cutting'!G11,"")</f>
        <v/>
      </c>
      <c r="FZ5" s="73" t="str">
        <f>IF(AND('Straight Cutting'!E11="F &amp; Z Frames",'Mitred Cutting'!D11="Deep Ocean"),'Straight Cutting'!G11,"")</f>
        <v/>
      </c>
      <c r="GA5" s="73" t="str">
        <f>IF(AND('Straight Cutting'!E11="F &amp; Z Frames",'Mitred Cutting'!D11="Jasper"),'Straight Cutting'!G11,"")</f>
        <v/>
      </c>
      <c r="GB5" s="73">
        <f>IF(AND('Straight Cutting'!E11="F &amp; Z Frames",'Mitred Cutting'!D11="Paperbark"),'Straight Cutting'!G11,"")</f>
        <v>1986</v>
      </c>
      <c r="GC5" s="73" t="str">
        <f>IF(AND('Straight Cutting'!E11="F &amp; Z Frames",'Mitred Cutting'!D11="Mist Green"),'Straight Cutting'!G11,"")</f>
        <v/>
      </c>
      <c r="GD5" s="73" t="str">
        <f>IF(AND('Straight Cutting'!E11="F &amp; Z Frames",'Mitred Cutting'!D11="Primrose"),'Straight Cutting'!G11,"")</f>
        <v/>
      </c>
      <c r="GE5" s="73" t="str">
        <f>IF(AND('Straight Cutting'!E11="F &amp; Z Frames",'Mitred Cutting'!D11="Ultra Silver"),'Straight Cutting'!G11,"")</f>
        <v/>
      </c>
      <c r="GF5" s="73" t="str">
        <f>IF(AND('Straight Cutting'!E11="F &amp; Z Frames",'Mitred Cutting'!D11="Woodland Grey(Green Tone)"),'Straight Cutting'!G11,"")</f>
        <v/>
      </c>
      <c r="GG5" s="73" t="str">
        <f>IF(AND('Straight Cutting'!E11="F &amp; Z Frames",'Mitred Cutting'!D11="Pearl White"),'Straight Cutting'!G11,"")</f>
        <v/>
      </c>
      <c r="GH5" s="73" t="str">
        <f>IF(AND('Straight Cutting'!E11="F &amp; Z Frames",'Mitred Cutting'!D11="Monument"),'Straight Cutting'!G11,"")</f>
        <v/>
      </c>
      <c r="GI5" s="73" t="str">
        <f>IF(AND('Straight Cutting'!E11="F &amp; Z Frames",'Mitred Cutting'!D11="Surfmist"),'Straight Cutting'!G11,"")</f>
        <v/>
      </c>
      <c r="GJ5" s="73" t="str">
        <f>IF(AND('Straight Cutting'!E11="F &amp; Z Frames",'Mitred Cutting'!D11="Dune"),'Straight Cutting'!G11,"")</f>
        <v/>
      </c>
      <c r="GK5" s="73" t="str">
        <f>IF(AND('Straight Cutting'!E11="F &amp; Z Frames",Data!BP11="Powdercoat"),'Straight Cutting'!G11,"")</f>
        <v/>
      </c>
      <c r="GL5" s="73" t="str">
        <f>IF(AND('Straight Cutting'!E11="F &amp; High Step Z Frame",'Mitred Cutting'!D11="APO Grey"),'Straight Cutting'!G11,"")</f>
        <v/>
      </c>
      <c r="GM5" s="73" t="str">
        <f>IF(AND('Straight Cutting'!E11="F &amp; High Step Z Frame",'Mitred Cutting'!D11="White Birch"),'Straight Cutting'!G11,"")</f>
        <v/>
      </c>
      <c r="GN5" s="73" t="str">
        <f>IF(AND('Straight Cutting'!E11="F &amp; High Step Z Frame",'Mitred Cutting'!D11="Black"),'Straight Cutting'!G11,"")</f>
        <v/>
      </c>
      <c r="GO5" s="73" t="str">
        <f>IF(AND('Straight Cutting'!E11="F &amp; High Step Z Frame",'Mitred Cutting'!D11="Brown"),'Straight Cutting'!G11,"")</f>
        <v/>
      </c>
      <c r="GP5" s="73" t="str">
        <f>IF(AND('Straight Cutting'!E11="F &amp; High Step Z Frame",'Mitred Cutting'!D11="Deep Ocean"),'Straight Cutting'!G11,"")</f>
        <v/>
      </c>
      <c r="GQ5" s="73" t="str">
        <f>IF(AND('Straight Cutting'!E11="F &amp; High Step Z Frame",'Mitred Cutting'!D11="Jasper"),'Straight Cutting'!G11,"")</f>
        <v/>
      </c>
      <c r="GR5" s="73" t="str">
        <f>IF(AND('Straight Cutting'!E11="F &amp; High Step Z Frame",'Mitred Cutting'!D11="Paperbark"),'Straight Cutting'!G11,"")</f>
        <v/>
      </c>
      <c r="GS5" s="73" t="str">
        <f>IF(AND('Straight Cutting'!E11="F &amp; High Step Z Frame",'Mitred Cutting'!D11="Mist Green"),'Straight Cutting'!G11,"")</f>
        <v/>
      </c>
      <c r="GT5" s="73" t="str">
        <f>IF(AND('Straight Cutting'!E11="F &amp; High Step Z Frame",'Mitred Cutting'!D11="Primrose"),'Straight Cutting'!G11,"")</f>
        <v/>
      </c>
      <c r="GU5" s="73" t="str">
        <f>IF(AND('Straight Cutting'!E11="F &amp; High Step Z Frame",'Mitred Cutting'!D11="Ultra Silver"),'Straight Cutting'!G11,"")</f>
        <v/>
      </c>
      <c r="GV5" s="73" t="str">
        <f>IF(AND('Straight Cutting'!E11="F &amp; High Step Z Frame",'Mitred Cutting'!D11="Woodland Grey(Green Tone)"),'Straight Cutting'!G11,"")</f>
        <v/>
      </c>
      <c r="GW5" s="73" t="str">
        <f>IF(AND('Straight Cutting'!E11="F &amp; High Step Z Frame",'Mitred Cutting'!D11="Pearl White"),'Straight Cutting'!G11,"")</f>
        <v/>
      </c>
      <c r="GX5" s="73" t="str">
        <f>IF(AND('Straight Cutting'!E11="F &amp; High Step Z Frame",'Mitred Cutting'!D11="Monument"),'Straight Cutting'!G11,"")</f>
        <v/>
      </c>
      <c r="GY5" s="73" t="str">
        <f>IF(AND('Straight Cutting'!E11="F &amp; High Step Z Frame",'Mitred Cutting'!D11="Surfmist"),'Straight Cutting'!G11,"")</f>
        <v/>
      </c>
      <c r="GZ5" s="73" t="str">
        <f>IF(AND('Straight Cutting'!E11="F &amp; High Step Z Frame",'Mitred Cutting'!D11="Dune"),'Straight Cutting'!G11,"")</f>
        <v/>
      </c>
      <c r="HA5" s="73" t="str">
        <f>IF(AND('Straight Cutting'!E11="F &amp; High Step Z Frame",Data!BP11="Powdercoat"),'Straight Cutting'!G11,"")</f>
        <v/>
      </c>
      <c r="HB5" s="73" t="str">
        <f>IF(AND('Straight Cutting'!I11&lt;&gt;"",'Mitred Cutting'!D11="APO Grey"),'Straight Cutting'!I11,"")</f>
        <v/>
      </c>
      <c r="HC5" s="73" t="str">
        <f>IF(AND('Straight Cutting'!I11&lt;&gt;"",'Mitred Cutting'!D11="White Birch"),'Straight Cutting'!I11,"")</f>
        <v/>
      </c>
      <c r="HD5" s="73" t="str">
        <f>IF(AND('Straight Cutting'!I11&lt;&gt;"",'Mitred Cutting'!D11="Black"),'Straight Cutting'!I11,"")</f>
        <v/>
      </c>
      <c r="HE5" s="73" t="str">
        <f>IF(AND('Straight Cutting'!I11&lt;&gt;"",'Mitred Cutting'!D11="Brown"),'Straight Cutting'!I11,"")</f>
        <v/>
      </c>
      <c r="HF5" s="73" t="str">
        <f>IF(AND('Straight Cutting'!I11&lt;&gt;"",'Mitred Cutting'!D11="Deep Ocean"),'Straight Cutting'!I11,"")</f>
        <v/>
      </c>
      <c r="HG5" s="73" t="str">
        <f>IF(AND('Straight Cutting'!I11&lt;&gt;"",'Mitred Cutting'!D11="Jasper"),'Straight Cutting'!I11,"")</f>
        <v/>
      </c>
      <c r="HH5" s="73">
        <f>IF(AND('Straight Cutting'!I11&lt;&gt;"",'Mitred Cutting'!D11="Paperbark"),'Straight Cutting'!I11,"")</f>
        <v>2036</v>
      </c>
      <c r="HI5" s="73" t="str">
        <f>IF(AND('Straight Cutting'!I11&lt;&gt;"",'Mitred Cutting'!D11="Mist Green"),'Straight Cutting'!I11,"")</f>
        <v/>
      </c>
      <c r="HJ5" s="73" t="str">
        <f>IF(AND('Straight Cutting'!I11&lt;&gt;"",'Mitred Cutting'!D11="Primrose"),'Straight Cutting'!I11,"")</f>
        <v/>
      </c>
      <c r="HK5" s="73" t="str">
        <f>IF(AND('Straight Cutting'!I11&lt;&gt;"",'Mitred Cutting'!D11="Ultra Silver"),'Straight Cutting'!I11,"")</f>
        <v/>
      </c>
      <c r="HL5" s="73" t="str">
        <f>IF(AND('Straight Cutting'!I11&lt;&gt;"",'Mitred Cutting'!D11="Woodland Grey(Green Tone)"),'Straight Cutting'!I11,"")</f>
        <v/>
      </c>
      <c r="HM5" s="73" t="str">
        <f>IF(AND('Straight Cutting'!I11&lt;&gt;"",'Mitred Cutting'!D11="Pearl White"),'Straight Cutting'!I11,"")</f>
        <v/>
      </c>
      <c r="HN5" s="73" t="str">
        <f>IF(AND('Straight Cutting'!I11&lt;&gt;"",'Mitred Cutting'!D11="Monument"),'Straight Cutting'!I11,"")</f>
        <v/>
      </c>
      <c r="HO5" s="73" t="str">
        <f>IF(AND('Straight Cutting'!I11&lt;&gt;"",'Mitred Cutting'!D11="Surfmist"),'Straight Cutting'!I11,"")</f>
        <v/>
      </c>
      <c r="HP5" s="73" t="str">
        <f>IF(AND('Straight Cutting'!I11&lt;&gt;"",'Mitred Cutting'!D11="Dune"),'Straight Cutting'!I11,"")</f>
        <v/>
      </c>
      <c r="HQ5" s="73" t="str">
        <f>IF(AND('Straight Cutting'!I11&lt;&gt;"",'Job Sheet'!AA11="Woodland Grey (Dulux)"),'Straight Cutting'!I11,"")</f>
        <v/>
      </c>
      <c r="HR5" s="73" t="str">
        <f>IF(AND('Straight Cutting'!I11&lt;&gt;"",Data!BP11="Powdercoat",'Job Sheet'!AA11&lt;&gt;"Woodland Grey (Dulux)"),'Straight Cutting'!I11,"")</f>
        <v/>
      </c>
      <c r="HS5" s="73" t="str">
        <f>IF(AND('Mitred Cutting'!D11="APO Grey",'Job Sheet'!AQ11="T Mullion with Cutouts and 2 Lock Bolts"),'Straight Cutting'!J11,"")</f>
        <v/>
      </c>
      <c r="HT5" s="73" t="str">
        <f>IF(AND('Mitred Cutting'!D11="White Birch",'Job Sheet'!AQ11="T Mullion with Cutouts and 2 Lock Bolts"),'Straight Cutting'!J11,"")</f>
        <v/>
      </c>
      <c r="HU5" s="73" t="str">
        <f>IF(AND('Mitred Cutting'!D11="Black",'Job Sheet'!AQ11="T Mullion with Cutouts and 2 Lock Bolts"),'Straight Cutting'!J11,"")</f>
        <v/>
      </c>
      <c r="HV5" s="73" t="str">
        <f>IF(AND('Mitred Cutting'!D11="Brown",'Job Sheet'!AQ11="T Mullion with Cutouts and 2 Lock Bolts"),'Straight Cutting'!J11,"")</f>
        <v/>
      </c>
      <c r="HW5" s="73" t="str">
        <f>IF(AND('Mitred Cutting'!D11="Deep Ocean",'Job Sheet'!AQ11="T Mullion with Cutouts and 2 Lock Bolts"),'Straight Cutting'!J11,"")</f>
        <v/>
      </c>
      <c r="HX5" s="73" t="str">
        <f>IF(AND('Mitred Cutting'!D11="Jasper",'Job Sheet'!AQ11="T Mullion with Cutouts and 2 Lock Bolts"),'Straight Cutting'!J11,"")</f>
        <v/>
      </c>
      <c r="HY5" s="73" t="str">
        <f>IF(AND('Mitred Cutting'!D11="Paperbark",'Job Sheet'!AQ11="T Mullion with Cutouts and 2 Lock Bolts"),'Straight Cutting'!J11,"")</f>
        <v/>
      </c>
      <c r="HZ5" s="73" t="str">
        <f>IF(AND('Mitred Cutting'!D11="Mist Green",'Job Sheet'!AQ11="T Mullion with Cutouts and 2 Lock Bolts"),'Straight Cutting'!J11,"")</f>
        <v/>
      </c>
      <c r="IA5" s="73" t="str">
        <f>IF(AND('Mitred Cutting'!D11="Primrose",'Job Sheet'!AQ11="T Mullion with Cutouts and 2 Lock Bolts"),'Straight Cutting'!J11,"")</f>
        <v/>
      </c>
      <c r="IB5" s="73" t="str">
        <f>IF(AND('Mitred Cutting'!D11="Ultra Silver",'Job Sheet'!AQ11="T Mullion with Cutouts and 2 Lock Bolts"),'Straight Cutting'!J11,"")</f>
        <v/>
      </c>
      <c r="IC5" s="73" t="str">
        <f>IF(AND('Mitred Cutting'!D11="Woodland Grey(Green Tone)",'Job Sheet'!AQ11="T Mullion with Cutouts and 2 Lock Bolts"),'Straight Cutting'!J11,"")</f>
        <v/>
      </c>
      <c r="ID5" s="73" t="str">
        <f>IF(AND('Mitred Cutting'!D11="Pearl White",'Job Sheet'!AQ11="T Mullion with Cutouts and 2 Lock Bolts"),'Straight Cutting'!J11,"")</f>
        <v/>
      </c>
      <c r="IE5" s="73" t="str">
        <f>IF(AND('Mitred Cutting'!D11="Monument",'Job Sheet'!AQ11="T Mullion with Cutouts and 2 Lock Bolts"),'Straight Cutting'!J11,"")</f>
        <v/>
      </c>
      <c r="IF5" s="73" t="str">
        <f>IF(AND('Mitred Cutting'!D11="Surfmist",'Job Sheet'!AQ11="T Mullion with Cutouts and 2 Lock Bolts"),'Straight Cutting'!J11,"")</f>
        <v/>
      </c>
      <c r="IG5" s="73" t="str">
        <f>IF(AND('Mitred Cutting'!D11="Dune",'Job Sheet'!AQ11="T Mullion with Cutouts and 2 Lock Bolts"),'Straight Cutting'!J11,"")</f>
        <v/>
      </c>
      <c r="IH5" s="73" t="str">
        <f>IF(AND('Job Sheet'!Z11="Custom Powdercoat",'Job Sheet'!AQ11="T Mullion with Cutouts and 2 Lock Bolts"),'Straight Cutting'!J11,"")</f>
        <v/>
      </c>
      <c r="II5" s="73" t="str">
        <f>IF(AND('Mitred Cutting'!D11="Apo Grey",'Straight Cutting'!E11="Bug Strip Frame"),'Job Sheet'!BH11-2+'Job Sheet'!BI11-50,IF(AND('Mitred Cutting'!D11="Apo Grey",'Straight Cutting'!E11&lt;&gt;"Bug Strip Frame"),'Straight Cutting'!D11,""))</f>
        <v/>
      </c>
      <c r="IJ5" s="73" t="str">
        <f>IF(AND('Mitred Cutting'!D11="White Birch",'Straight Cutting'!E11="Bug Strip Frame"),'Job Sheet'!BH11-2+'Job Sheet'!BI11-50,IF(AND('Mitred Cutting'!D11="White Birch",'Straight Cutting'!E11&lt;&gt;"Bug Strip Frame"),'Straight Cutting'!D11,""))</f>
        <v/>
      </c>
      <c r="IK5" s="73" t="str">
        <f>IF(AND('Mitred Cutting'!D11="Black",'Straight Cutting'!E11="Bug Strip Frame"),'Job Sheet'!BH11-2+'Job Sheet'!BI11-50,IF(AND('Mitred Cutting'!D11="Black",'Straight Cutting'!E11&lt;&gt;"Bug Strip Frame"),'Straight Cutting'!D11,""))</f>
        <v/>
      </c>
      <c r="IL5" s="73" t="str">
        <f>IF(AND('Mitred Cutting'!D11="Brown",'Straight Cutting'!E11="Bug Strip Frame"),'Job Sheet'!BH11-2+'Job Sheet'!BI11-50,IF(AND('Mitred Cutting'!D11="Brown",'Straight Cutting'!E11&lt;&gt;"Bug Strip Frame"),'Straight Cutting'!D11,""))</f>
        <v/>
      </c>
      <c r="IM5" s="73" t="str">
        <f>IF(AND('Mitred Cutting'!D11="Deep Ocean",'Straight Cutting'!E11="Bug Strip Frame"),'Job Sheet'!BH11-2+'Job Sheet'!BI11-50,IF(AND('Mitred Cutting'!D11="Deep Ocean",'Straight Cutting'!E11&lt;&gt;"Bug Strip Frame"),'Straight Cutting'!D11,""))</f>
        <v/>
      </c>
      <c r="IN5" s="73" t="str">
        <f>IF(AND('Mitred Cutting'!D11="Jasper",'Straight Cutting'!E11="Bug Strip Frame"),'Job Sheet'!BH11-2+'Job Sheet'!BI11-50,IF(AND('Mitred Cutting'!D11="Jasper",'Straight Cutting'!E11&lt;&gt;"Bug Strip Frame"),'Straight Cutting'!D11,""))</f>
        <v/>
      </c>
      <c r="IO5" s="73">
        <f>IF(AND('Mitred Cutting'!D11="Paperbark",'Straight Cutting'!E11="Bug Strip Frame"),'Job Sheet'!BH11-2+'Job Sheet'!BI11-50,IF(AND('Mitred Cutting'!D11="Paperbark",'Straight Cutting'!E11&lt;&gt;"Bug Strip Frame"),'Straight Cutting'!D11,""))</f>
        <v>931</v>
      </c>
      <c r="IP5" s="73" t="str">
        <f>IF(AND('Mitred Cutting'!D11="Mist Green",'Straight Cutting'!E11="Bug Strip Frame"),'Job Sheet'!BH11-2+'Job Sheet'!BI11-50,IF(AND('Mitred Cutting'!D11="Mist Green",'Straight Cutting'!E11&lt;&gt;"Bug Strip Frame"),'Straight Cutting'!D11,""))</f>
        <v/>
      </c>
      <c r="IQ5" s="73" t="str">
        <f>IF(AND('Mitred Cutting'!D11="Primrose",'Straight Cutting'!E11="Bug Strip Frame"),'Job Sheet'!BH11-2+'Job Sheet'!BI11-50,IF(AND('Mitred Cutting'!D11="Primrose",'Straight Cutting'!E11&lt;&gt;"Bug Strip Frame"),'Straight Cutting'!D11,""))</f>
        <v/>
      </c>
      <c r="IR5" s="73" t="str">
        <f>IF(AND('Mitred Cutting'!D11="Ultra Silver",'Straight Cutting'!E11="Bug Strip Frame"),'Job Sheet'!BH11-2+'Job Sheet'!BI11-50,IF(AND('Mitred Cutting'!D11="Ultra Silver",'Straight Cutting'!E11&lt;&gt;"Bug Strip Frame"),'Straight Cutting'!D11,""))</f>
        <v/>
      </c>
      <c r="IS5" s="73" t="str">
        <f>IF(AND('Mitred Cutting'!D11="Woodland Grey(Green Tone)",'Straight Cutting'!E11="Bug Strip Frame"),'Job Sheet'!BH11-2+'Job Sheet'!BI11-50,IF(AND('Mitred Cutting'!D11="Woodland Grey(Green Tone)",'Straight Cutting'!E11&lt;&gt;"Bug Strip Frame"),'Straight Cutting'!D11,""))</f>
        <v/>
      </c>
      <c r="IT5" s="73" t="str">
        <f>IF(AND('Mitred Cutting'!D11="Pearl White",'Straight Cutting'!E11="Bug Strip Frame"),'Job Sheet'!BH11-2+'Job Sheet'!BI11-50,IF(AND('Mitred Cutting'!D11="Pearl White",'Straight Cutting'!E11&lt;&gt;"Bug Strip Frame"),'Straight Cutting'!D11,""))</f>
        <v/>
      </c>
      <c r="IU5" s="73" t="str">
        <f>IF(AND('Mitred Cutting'!D11="Monument",'Straight Cutting'!E11="Bug Strip Frame"),'Job Sheet'!BH11-2+'Job Sheet'!BI11-50,IF(AND('Mitred Cutting'!D11="Monument",'Straight Cutting'!E11&lt;&gt;"Bug Strip Frame"),'Straight Cutting'!D11,""))</f>
        <v/>
      </c>
      <c r="IV5" s="73" t="str">
        <f>IF(AND('Mitred Cutting'!D11="Surfmist",'Straight Cutting'!E11="Bug Strip Frame"),'Job Sheet'!BH11-2+'Job Sheet'!BI11-50,IF(AND('Mitred Cutting'!D11="Surfmist",'Straight Cutting'!E11&lt;&gt;"Bug Strip Frame"),'Straight Cutting'!D11,""))</f>
        <v/>
      </c>
      <c r="IW5" s="73" t="str">
        <f>IF(AND('Mitred Cutting'!D11="Dune",'Straight Cutting'!E11="Bug Strip Frame"),'Job Sheet'!BH11-2+'Job Sheet'!BI11-50,IF(AND('Mitred Cutting'!D11="Dune",'Straight Cutting'!E11&lt;&gt;"Bug Strip Frame"),'Straight Cutting'!D11,""))</f>
        <v/>
      </c>
      <c r="IX5" s="73" t="str">
        <f>IF(AND('Job Sheet'!AA11="Woodland Grey (Dulux)",'Straight Cutting'!E11="Bug Strip Frame"),'Job Sheet'!BH11-2+'Job Sheet'!BI11-50,IF(AND('Job Sheet'!AA11="Woodland Grey (Dulux)",'Straight Cutting'!E11&lt;&gt;"Bug Strip Frame"),'Straight Cutting'!D11,""))</f>
        <v/>
      </c>
      <c r="IY5" s="73" t="str">
        <f>IF(AND('Job Sheet'!Z11="Custom Powdercoat",'Job Sheet'!AA11&lt;&gt;"Woodland Grey (Dulux)",'Straight Cutting'!E11="Bug Strip Frame"),'Job Sheet'!BH11-2+'Job Sheet'!BI11-50,IF(AND('Job Sheet'!Z11="Custom Powdercoat",'Job Sheet'!AA11&lt;&gt;"Woodland Grey (Dulux)",'Straight Cutting'!E11&lt;&gt;"Bug Strip Frame"),'Straight Cutting'!D11,""))</f>
        <v/>
      </c>
      <c r="IZ5" s="73" t="str">
        <f>IF(AND('Straight Cutting'!L11="U Channel",'Mitred Cutting'!D11="APO Grey"),'Straight Cutting'!L11,"")</f>
        <v/>
      </c>
      <c r="JA5" s="73" t="str">
        <f>IF(AND('Straight Cutting'!K11="U Channel",'Mitred Cutting'!D11="White Birch"),'Straight Cutting'!L11,"")</f>
        <v/>
      </c>
      <c r="JB5" s="73" t="str">
        <f>IF(AND('Straight Cutting'!K11="U Channel",'Mitred Cutting'!D11="Black"),'Straight Cutting'!L11,"")</f>
        <v/>
      </c>
      <c r="JC5" s="73" t="str">
        <f>IF(AND('Straight Cutting'!K11="U Channel",'Mitred Cutting'!D11="Brown"),'Straight Cutting'!L11,"")</f>
        <v/>
      </c>
      <c r="JD5" s="73" t="str">
        <f>IF(AND('Straight Cutting'!K11="U Channel",'Mitred Cutting'!D11="Deep Ocean"),'Straight Cutting'!L11,"")</f>
        <v/>
      </c>
      <c r="JE5" s="73" t="str">
        <f>IF(AND('Straight Cutting'!K11="U Channel",'Mitred Cutting'!D11="Jasper"),'Straight Cutting'!L11,"")</f>
        <v/>
      </c>
      <c r="JF5" s="73" t="str">
        <f>IF(AND('Straight Cutting'!K11="U Channel",'Mitred Cutting'!D11="Paperbark"),'Straight Cutting'!L11,"")</f>
        <v/>
      </c>
      <c r="JG5" s="73" t="str">
        <f>IF(AND('Straight Cutting'!K11="U Channel",'Mitred Cutting'!D11="Mist Green"),'Straight Cutting'!L11,"")</f>
        <v/>
      </c>
      <c r="JH5" s="73" t="str">
        <f>IF(AND('Straight Cutting'!K11="U Channel",'Mitred Cutting'!D11="Primrose"),'Straight Cutting'!L11,"")</f>
        <v/>
      </c>
      <c r="JI5" s="73" t="str">
        <f>IF(AND('Straight Cutting'!K11="U Channel",'Mitred Cutting'!D11="Ultra Silver"),'Straight Cutting'!L11,"")</f>
        <v/>
      </c>
      <c r="JJ5" s="73" t="str">
        <f>IF(AND('Straight Cutting'!K11="U Channel",'Mitred Cutting'!D11="Woodland Grey(Green Tone)"),'Straight Cutting'!L11,"")</f>
        <v/>
      </c>
      <c r="JK5" s="73" t="str">
        <f>IF(AND('Straight Cutting'!K11="U Channel",'Mitred Cutting'!D11="Pearl White"),'Straight Cutting'!L11,"")</f>
        <v/>
      </c>
      <c r="JL5" s="73" t="str">
        <f>IF(AND('Straight Cutting'!K11="U Channel",'Mitred Cutting'!D11="Monument"),'Straight Cutting'!L11,"")</f>
        <v/>
      </c>
      <c r="JM5" s="73" t="str">
        <f>IF(AND('Straight Cutting'!K11="U Channel",'Mitred Cutting'!D11="Surfmist"),'Straight Cutting'!L11,"")</f>
        <v/>
      </c>
      <c r="JN5" s="73" t="str">
        <f>IF(AND('Straight Cutting'!K11="U Channel",'Mitred Cutting'!D11="Dune"),'Straight Cutting'!L11,"")</f>
        <v/>
      </c>
      <c r="JO5" s="73" t="str">
        <f>IF(AND('Straight Cutting'!K11="U Channel",'Job Sheet'!Z11="Custom Powdercoat"),'Straight Cutting'!L11,"")</f>
        <v/>
      </c>
      <c r="JP5" s="73" t="str">
        <f>IF(AND('Straight Cutting'!K11="U Channel with Pip",'Mitred Cutting'!D11="APO Grey"),'Straight Cutting'!L11,"")</f>
        <v/>
      </c>
      <c r="JQ5" s="73" t="str">
        <f>IF(AND('Straight Cutting'!K11="U Channel with Pip",'Mitred Cutting'!D11="White Birch"),'Straight Cutting'!L11,"")</f>
        <v/>
      </c>
      <c r="JR5" s="73" t="str">
        <f>IF(AND('Straight Cutting'!K11="U Channel with Pip",'Mitred Cutting'!D11="Black"),'Straight Cutting'!L11,"")</f>
        <v/>
      </c>
      <c r="JS5" s="73" t="str">
        <f>IF(AND('Straight Cutting'!K11="U Channel with Pip",'Mitred Cutting'!D11="Brown"),'Straight Cutting'!L11,"")</f>
        <v/>
      </c>
      <c r="JT5" s="73" t="str">
        <f>IF(AND('Straight Cutting'!K11="U Channel with Pip",'Mitred Cutting'!D11="Deep Ocean"),'Straight Cutting'!L11,"")</f>
        <v/>
      </c>
      <c r="JU5" s="73" t="str">
        <f>IF(AND('Straight Cutting'!K11="U Channel with Pip",'Mitred Cutting'!D11="Jasper"),'Straight Cutting'!L11,"")</f>
        <v/>
      </c>
      <c r="JV5" s="73" t="str">
        <f>IF(AND('Straight Cutting'!K11="U Channel with Pip",'Mitred Cutting'!D11="Paperbark"),'Straight Cutting'!L11,"")</f>
        <v/>
      </c>
      <c r="JW5" s="73" t="str">
        <f>IF(AND('Straight Cutting'!K11="U Channel with Pip",'Mitred Cutting'!D11="Mist Green"),'Straight Cutting'!L11,"")</f>
        <v/>
      </c>
      <c r="JX5" s="73" t="str">
        <f>IF(AND('Straight Cutting'!K11="U Channel with Pip",'Mitred Cutting'!D11="Primrose"),'Straight Cutting'!L11,"")</f>
        <v/>
      </c>
      <c r="JY5" s="73" t="str">
        <f>IF(AND('Straight Cutting'!K11="U Channel with Pip",'Mitred Cutting'!D11="Ultra Silver"),'Straight Cutting'!L11,"")</f>
        <v/>
      </c>
      <c r="JZ5" s="73" t="str">
        <f>IF(AND('Straight Cutting'!K11="U Channel with Pip",'Mitred Cutting'!D11="Woodland Grey(Green Tone)"),'Straight Cutting'!L11,"")</f>
        <v/>
      </c>
      <c r="KA5" s="73" t="str">
        <f>IF(AND('Straight Cutting'!K11="U Channel with Pip",'Mitred Cutting'!D11="Pearl White"),'Straight Cutting'!L11,"")</f>
        <v/>
      </c>
      <c r="KB5" s="73" t="str">
        <f>IF(AND('Straight Cutting'!K11="U Channel with Pip",'Mitred Cutting'!D11="Monument"),'Straight Cutting'!L11,"")</f>
        <v/>
      </c>
      <c r="KC5" s="73" t="str">
        <f>IF(AND('Straight Cutting'!K11="U Channel with Pip",'Mitred Cutting'!D11="Surfmist"),'Straight Cutting'!L11,"")</f>
        <v/>
      </c>
      <c r="KD5" s="73" t="str">
        <f>IF(AND('Straight Cutting'!K11="U Channel with Pip",'Mitred Cutting'!D11="Dune"),'Straight Cutting'!L11,"")</f>
        <v/>
      </c>
      <c r="KE5" s="73" t="str">
        <f>IF(AND('Straight Cutting'!K11="U Channel with Pip",'Job Sheet'!Z11="Custom Powdercoat"),'Straight Cutting'!L11,"")</f>
        <v/>
      </c>
      <c r="KF5" s="73" t="str">
        <f>IF(AND('Mitred Cutting'!D11="APO Grey",(OR('Straight Cutting'!M11="Bottom Fix Bottom Track",'Straight Cutting'!M11="U Channel &amp; Bottom Fix Bottom Track"))),'Straight Cutting'!N11,"")</f>
        <v/>
      </c>
      <c r="KG5" s="73" t="str">
        <f>IF(AND('Mitred Cutting'!D11="White Birch",(OR('Straight Cutting'!M11="Bottom Fix Bottom Track",'Straight Cutting'!M11="U Channel &amp; Bottom Fix Bottom Track"))),'Straight Cutting'!N11,"")</f>
        <v/>
      </c>
      <c r="KH5" s="73" t="str">
        <f>IF(AND('Mitred Cutting'!D11="Black",(OR('Straight Cutting'!M11="Bottom Fix Bottom Track",'Straight Cutting'!M11="U Channel &amp; Bottom Fix Bottom Track"))),'Straight Cutting'!N11,"")</f>
        <v/>
      </c>
      <c r="KI5" s="73" t="str">
        <f>IF(AND('Mitred Cutting'!D11="Brown",(OR('Straight Cutting'!M11="Bottom Fix Bottom Track",'Straight Cutting'!M11="U Channel &amp; Bottom Fix Bottom Track"))),'Straight Cutting'!N11,"")</f>
        <v/>
      </c>
      <c r="KJ5" s="73" t="str">
        <f>IF(AND('Mitred Cutting'!D11="Deep Ocean",(OR('Straight Cutting'!M11="Bottom Fix Bottom Track",'Straight Cutting'!M11="U Channel &amp; Bottom Fix Bottom Track"))),'Straight Cutting'!N11,"")</f>
        <v/>
      </c>
      <c r="KK5" s="73" t="str">
        <f>IF(AND('Mitred Cutting'!D11="Jasper",(OR('Straight Cutting'!M11="Bottom Fix Bottom Track",'Straight Cutting'!M11="U Channel &amp; Bottom Fix Bottom Track"))),'Straight Cutting'!N11,"")</f>
        <v/>
      </c>
      <c r="KL5" s="73" t="str">
        <f>IF(AND('Mitred Cutting'!D11="Paperbark",(OR('Straight Cutting'!M11="Bottom Fix Bottom Track",'Straight Cutting'!M11="U Channel &amp; Bottom Fix Bottom Track"))),'Straight Cutting'!N11,"")</f>
        <v/>
      </c>
      <c r="KM5" s="73" t="str">
        <f>IF(AND('Mitred Cutting'!D11="Mist Green",(OR('Straight Cutting'!M11="Bottom Fix Bottom Track",'Straight Cutting'!M11="U Channel &amp; Bottom Fix Bottom Track"))),'Straight Cutting'!N11,"")</f>
        <v/>
      </c>
      <c r="KN5" s="73" t="str">
        <f>IF(AND('Mitred Cutting'!D11="Primrose",(OR('Straight Cutting'!M11="Bottom Fix Bottom Track",'Straight Cutting'!M11="U Channel &amp; Bottom Fix Bottom Track"))),'Straight Cutting'!N11,"")</f>
        <v/>
      </c>
      <c r="KO5" s="73" t="str">
        <f>IF(AND('Mitred Cutting'!D11="Ultra Silver",(OR('Straight Cutting'!M11="Bottom Fix Bottom Track",'Straight Cutting'!M11="U Channel &amp; Bottom Fix Bottom Track"))),'Straight Cutting'!N11,"")</f>
        <v/>
      </c>
      <c r="KP5" s="73" t="str">
        <f>IF(AND('Mitred Cutting'!D11="Woodland Grey(Green Tone)",(OR('Straight Cutting'!M11="Bottom Fix Bottom Track",'Straight Cutting'!M11="U Channel &amp; Bottom Fix Bottom Track"))),'Straight Cutting'!N11,"")</f>
        <v/>
      </c>
      <c r="KQ5" s="73" t="str">
        <f>IF(AND('Mitred Cutting'!D11="Pearl White",(OR('Straight Cutting'!M11="Bottom Fix Bottom Track",'Straight Cutting'!M11="U Channel &amp; Bottom Fix Bottom Track"))),'Straight Cutting'!N11,"")</f>
        <v/>
      </c>
      <c r="KR5" s="73" t="str">
        <f>IF(AND('Mitred Cutting'!D11="Monument",(OR('Straight Cutting'!M11="Bottom Fix Bottom Track",'Straight Cutting'!M11="U Channel &amp; Bottom Fix Bottom Track"))),'Straight Cutting'!N11,"")</f>
        <v/>
      </c>
      <c r="KS5" s="73" t="str">
        <f>IF(AND('Mitred Cutting'!D11="Surfmist",(OR('Straight Cutting'!M11="Bottom Fix Bottom Track",'Straight Cutting'!M11="U Channel &amp; Bottom Fix Bottom Track"))),'Straight Cutting'!N11,"")</f>
        <v/>
      </c>
      <c r="KT5" s="73" t="str">
        <f>IF(AND('Mitred Cutting'!D11="Dune",(OR('Straight Cutting'!M11="Bottom Fix Bottom Track",'Straight Cutting'!M11="U Channel &amp; Bottom Fix Bottom Track"))),'Straight Cutting'!N11,"")</f>
        <v/>
      </c>
      <c r="KU5" s="73" t="str">
        <f>IF(AND('Job Sheet'!Z11="Custom Powdercoat",(OR('Straight Cutting'!M11="Bottom Fix Bottom Track",'Straight Cutting'!M11="U Channel &amp; Bottom Fix Bottom Track"))),'Straight Cutting'!N11,"")</f>
        <v/>
      </c>
      <c r="KV5" s="73" t="str">
        <f>IF(AND('Mitred Cutting'!D11="APO Grey",(OR('Straight Cutting'!M11="Face Fix Bottom Track",'Straight Cutting'!M11="U Channel &amp; Face Fix Bottom Track"))),'Straight Cutting'!N11,"")</f>
        <v/>
      </c>
      <c r="KW5" s="73" t="str">
        <f>IF(AND('Mitred Cutting'!D11="White Birch",(OR('Straight Cutting'!M11="Face Fix Bottom Track",'Straight Cutting'!M11="U Channel &amp; Face Fix Bottom Track"))),'Straight Cutting'!N11,"")</f>
        <v/>
      </c>
      <c r="KX5" s="73" t="str">
        <f>IF(AND('Mitred Cutting'!D11="Black",(OR('Straight Cutting'!M11="Face Fix Bottom Track",'Straight Cutting'!M11="U Channel &amp; Face Fix Bottom Track"))),'Straight Cutting'!N11,"")</f>
        <v/>
      </c>
      <c r="KY5" s="73" t="str">
        <f>IF(AND('Mitred Cutting'!D11="Brown",(OR('Straight Cutting'!M11="Face Fix Bottom Track",'Straight Cutting'!M11="U Channel &amp; Face Fix Bottom Track"))),'Straight Cutting'!N11,"")</f>
        <v/>
      </c>
      <c r="KZ5" s="73" t="str">
        <f>IF(AND('Mitred Cutting'!D11="Deep Ocean",(OR('Straight Cutting'!M11="Face Fix Bottom Track",'Straight Cutting'!M11="U Channel &amp; Face Fix Bottom Track"))),'Straight Cutting'!N11,"")</f>
        <v/>
      </c>
      <c r="LA5" s="73" t="str">
        <f>IF(AND('Mitred Cutting'!D11="Jasper",(OR('Straight Cutting'!M11="Face Fix Bottom Track",'Straight Cutting'!M11="U Channel &amp; Face Fix Bottom Track"))),'Straight Cutting'!N11,"")</f>
        <v/>
      </c>
      <c r="LB5" s="73" t="str">
        <f>IF(AND('Mitred Cutting'!D11="Paperbark",(OR('Straight Cutting'!M11="Face Fix Bottom Track",'Straight Cutting'!M11="U Channel &amp; Face Fix Bottom Track"))),'Straight Cutting'!N11,"")</f>
        <v/>
      </c>
      <c r="LC5" s="73" t="str">
        <f>IF(AND('Mitred Cutting'!D11="Mist Green",(OR('Straight Cutting'!M11="Face Fix Bottom Track",'Straight Cutting'!M11="U Channel &amp; Face Fix Bottom Track"))),'Straight Cutting'!N11,"")</f>
        <v/>
      </c>
      <c r="LD5" s="73" t="str">
        <f>IF(AND('Mitred Cutting'!D11="Primrose",(OR('Straight Cutting'!M11="Face Fix Bottom Track",'Straight Cutting'!M11="U Channel &amp; Face Fix Bottom Track"))),'Straight Cutting'!N11,"")</f>
        <v/>
      </c>
      <c r="LE5" s="73" t="str">
        <f>IF(AND('Mitred Cutting'!D11="Ultra Silver",(OR('Straight Cutting'!M11="Face Fix Bottom Track",'Straight Cutting'!M11="U Channel &amp; Face Fix Bottom Track"))),'Straight Cutting'!N11,"")</f>
        <v/>
      </c>
      <c r="LF5" s="73" t="str">
        <f>IF(AND('Mitred Cutting'!D11="Woodland Grey(Green Tone)",(OR('Straight Cutting'!M11="Face Fix Bottom Track",'Straight Cutting'!M11="U Channel &amp; Face Fix Bottom Track"))),'Straight Cutting'!N11,"")</f>
        <v/>
      </c>
      <c r="LG5" s="73" t="str">
        <f>IF(AND('Mitred Cutting'!D11="Pearl White",(OR('Straight Cutting'!M11="Face Fix Bottom Track",'Straight Cutting'!M11="U Channel &amp; Face Fix Bottom Track"))),'Straight Cutting'!N11,"")</f>
        <v/>
      </c>
      <c r="LH5" s="73" t="str">
        <f>IF(AND('Mitred Cutting'!D11="Monument",(OR('Straight Cutting'!M11="Face Fix Bottom Track",'Straight Cutting'!M11="U Channel &amp; Face Fix Bottom Track"))),'Straight Cutting'!N11,"")</f>
        <v/>
      </c>
      <c r="LI5" s="73" t="str">
        <f>IF(AND('Mitred Cutting'!D11="Surfmist",(OR('Straight Cutting'!M11="Face Fix Bottom Track",'Straight Cutting'!M11="U Channel &amp; Face Fix Bottom Track"))),'Straight Cutting'!N11,"")</f>
        <v/>
      </c>
      <c r="LJ5" s="73" t="str">
        <f>IF(AND('Mitred Cutting'!D11="Dune",(OR('Straight Cutting'!M11="Face Fix Bottom Track",'Straight Cutting'!M11="U Channel &amp; Face Fix Bottom Track"))),'Straight Cutting'!N11,"")</f>
        <v/>
      </c>
      <c r="LK5" s="73" t="str">
        <f>IF(AND('Job Sheet'!Z11="Custom Powdercoat",(OR('Straight Cutting'!M11="Face Fix Bottom Track",'Straight Cutting'!M11="U Channel &amp; Face Fix Bottom Track"))),'Straight Cutting'!N11,"")</f>
        <v/>
      </c>
      <c r="LL5" s="73" t="str">
        <f>IF(AND('Straight Cutting'!H11&lt;&gt;"",'Mitred Cutting'!D11="APO Grey"),'Straight Cutting'!H11/4300,"")</f>
        <v/>
      </c>
      <c r="LM5" s="73" t="str">
        <f>IF(AND('Straight Cutting'!H11&lt;&gt;"",'Mitred Cutting'!D11="White Birch"),'Straight Cutting'!H11,"")</f>
        <v/>
      </c>
      <c r="LN5" s="73" t="str">
        <f>IF(AND('Straight Cutting'!H11&lt;&gt;"",'Mitred Cutting'!D11="Black"),'Straight Cutting'!H11,"")</f>
        <v/>
      </c>
      <c r="LO5" s="73" t="str">
        <f>IF(AND('Straight Cutting'!H11&lt;&gt;"",'Mitred Cutting'!D11="Brown"),'Straight Cutting'!H11,"")</f>
        <v/>
      </c>
      <c r="LP5" s="73" t="str">
        <f>IF(AND('Straight Cutting'!H11&lt;&gt;"",'Mitred Cutting'!D11="Deep Ocean"),'Straight Cutting'!H11,"")</f>
        <v/>
      </c>
      <c r="LQ5" s="73" t="str">
        <f>IF(AND('Straight Cutting'!H11&lt;&gt;"",'Mitred Cutting'!D11="Jasper"),'Straight Cutting'!H11,"")</f>
        <v/>
      </c>
      <c r="LR5" s="73" t="str">
        <f>IF(AND('Straight Cutting'!H11&lt;&gt;"",'Mitred Cutting'!D11="Paperbark"),'Straight Cutting'!H11,"")</f>
        <v/>
      </c>
      <c r="LS5" s="73" t="str">
        <f>IF(AND('Straight Cutting'!H11&lt;&gt;"",'Mitred Cutting'!D11="Mist Green"),'Straight Cutting'!H11,"")</f>
        <v/>
      </c>
      <c r="LT5" s="73" t="str">
        <f>IF(AND('Straight Cutting'!H11&lt;&gt;"",'Mitred Cutting'!D11="Primrose"),'Straight Cutting'!H11,"")</f>
        <v/>
      </c>
      <c r="LU5" s="73" t="str">
        <f>IF(AND('Straight Cutting'!H11&lt;&gt;"",'Mitred Cutting'!D11="Ultra Silver"),'Straight Cutting'!H11,"")</f>
        <v/>
      </c>
      <c r="LV5" s="73" t="str">
        <f>IF(AND('Straight Cutting'!H11&lt;&gt;"",'Mitred Cutting'!D11="Woodland Grey(Green Tone)"),'Straight Cutting'!H11,"")</f>
        <v/>
      </c>
      <c r="LW5" s="73" t="str">
        <f>IF(AND('Straight Cutting'!H11&lt;&gt;"",'Mitred Cutting'!D11="Pearl White"),'Straight Cutting'!H11,"")</f>
        <v/>
      </c>
      <c r="LX5" s="73" t="str">
        <f>IF(AND('Straight Cutting'!H11&lt;&gt;"",'Mitred Cutting'!D11="Monument"),'Straight Cutting'!H11,"")</f>
        <v/>
      </c>
      <c r="LY5" s="73" t="str">
        <f>IF(AND('Straight Cutting'!H11&lt;&gt;"",'Mitred Cutting'!D11="Surfmist"),'Straight Cutting'!H11,"")</f>
        <v/>
      </c>
      <c r="LZ5" s="73" t="str">
        <f>IF(AND('Straight Cutting'!H11&lt;&gt;"",'Mitred Cutting'!D11="Dune"),'Straight Cutting'!H11,"")</f>
        <v/>
      </c>
      <c r="MA5" s="73" t="str">
        <f>IF(AND('Straight Cutting'!H11&lt;&gt;"",'Job Sheet'!Z11="Custom Powdercoat"),'Straight Cutting'!H11,"")</f>
        <v/>
      </c>
      <c r="MB5" s="73" t="str">
        <f>IF(AND('Mitred Cutting'!D11="APO Grey",OR('Straight Cutting'!M11="H Shaped Bottom Track",'Straight Cutting'!M11="U Channel &amp; H Shaped Bottom Track")),'Straight Cutting'!N11,"")</f>
        <v/>
      </c>
      <c r="MC5" s="73" t="str">
        <f>IF(AND('Mitred Cutting'!D11="Birch White",OR('Straight Cutting'!M11="H Shaped Bottom Track",'Straight Cutting'!M11="U Channel &amp; H Shaped Bottom Track")),'Straight Cutting'!N11,"")</f>
        <v/>
      </c>
      <c r="MD5" s="73" t="str">
        <f>IF(AND('Mitred Cutting'!D11="Black",OR('Straight Cutting'!M11="H Shaped Bottom Track",'Straight Cutting'!M11="U Channel &amp; H Shaped Bottom Track")),'Straight Cutting'!N11,"")</f>
        <v/>
      </c>
      <c r="ME5" s="73" t="str">
        <f>IF(AND('Mitred Cutting'!D11="Brown",OR('Straight Cutting'!M11="H Shaped Bottom Track",'Straight Cutting'!M11="U Channel &amp; H Shaped Bottom Track")),'Straight Cutting'!N11,"")</f>
        <v/>
      </c>
      <c r="MF5" s="73" t="str">
        <f>IF(AND('Mitred Cutting'!D11="Deep Ocean",OR('Straight Cutting'!M11="H Shaped Bottom Track",'Straight Cutting'!M11="U Channel &amp; H Shaped Bottom Track")),'Straight Cutting'!N11,"")</f>
        <v/>
      </c>
      <c r="MG5" s="73" t="str">
        <f>IF(AND('Mitred Cutting'!D11="Jasper",OR('Straight Cutting'!M11="H Shaped Bottom Track",'Straight Cutting'!M11="U Channel &amp; H Shaped Bottom Track")),'Straight Cutting'!N11,"")</f>
        <v/>
      </c>
      <c r="MH5" s="73" t="str">
        <f>IF(AND('Mitred Cutting'!D11="Paperbark",OR('Straight Cutting'!M11="H Shaped Bottom Track",'Straight Cutting'!M11="U Channel &amp; H Shaped Bottom Track")),'Straight Cutting'!N11,"")</f>
        <v/>
      </c>
      <c r="MI5" s="73" t="str">
        <f>IF(AND('Mitred Cutting'!D11="Mist Green",OR('Straight Cutting'!M11="H Shaped Bottom Track",'Straight Cutting'!M11="U Channel &amp; H Shaped Bottom Track")),'Straight Cutting'!N11,"")</f>
        <v/>
      </c>
      <c r="MJ5" s="73" t="str">
        <f>IF(AND('Mitred Cutting'!D11="Primrose",OR('Straight Cutting'!M11="H Shaped Bottom Track",'Straight Cutting'!M11="U Channel &amp; H Shaped Bottom Track")),'Straight Cutting'!N11,"")</f>
        <v/>
      </c>
      <c r="MK5" s="73" t="str">
        <f>IF(AND('Mitred Cutting'!D11="Ultra Silver",OR('Straight Cutting'!M11="H Shaped Bottom Track",'Straight Cutting'!M11="U Channel &amp; H Shaped Bottom Track")),'Straight Cutting'!N11,"")</f>
        <v/>
      </c>
      <c r="ML5" s="73" t="str">
        <f>IF(AND('Mitred Cutting'!D11="Woodland Grey(Green Tone)",OR('Straight Cutting'!M11="H Shaped Bottom Track",'Straight Cutting'!M11="U Channel &amp; H Shaped Bottom Track")),'Straight Cutting'!N11,"")</f>
        <v/>
      </c>
      <c r="MM5" s="73" t="str">
        <f>IF(AND('Mitred Cutting'!D11="Pearl White",OR('Straight Cutting'!M11="H Shaped Bottom Track",'Straight Cutting'!M11="U Channel &amp; H Shaped Bottom Track")),'Straight Cutting'!N11,"")</f>
        <v/>
      </c>
      <c r="MN5" s="73" t="str">
        <f>IF(AND('Mitred Cutting'!D11="Monument",OR('Straight Cutting'!M11="H Shaped Bottom Track",'Straight Cutting'!M11="U Channel &amp; H Shaped Bottom Track")),'Straight Cutting'!N11,"")</f>
        <v/>
      </c>
      <c r="MO5" s="73" t="str">
        <f>IF(AND('Mitred Cutting'!D11="Surfmist",OR('Straight Cutting'!M11="H Shaped Bottom Track",'Straight Cutting'!M11="U Channel &amp; H Shaped Bottom Track")),'Straight Cutting'!N11,"")</f>
        <v/>
      </c>
      <c r="MP5" s="73" t="str">
        <f>IF(AND('Mitred Cutting'!D11="Dune",OR('Straight Cutting'!M11="H Shaped Bottom Track",'Straight Cutting'!M11="U Channel &amp; H Shaped Bottom Track")),'Straight Cutting'!N11,"")</f>
        <v/>
      </c>
      <c r="MQ5" s="73" t="str">
        <f>IF(AND('Job Sheet'!Z11="Custom Powdercoat",OR('Straight Cutting'!M11="H Shaped Bottom Track",'Straight Cutting'!M11="U Channel &amp; H Shaped Bottom Track")),'Straight Cutting'!N11,"")</f>
        <v/>
      </c>
      <c r="MR5" s="73" t="str">
        <f>IF(AND('Straight Cutting'!P11="APO Grey",(OR('Job Sheet'!AI11="Yes",'Job Sheet'!AI11="Yes - Centre"))),'Straight Cutting'!Q11,"")</f>
        <v/>
      </c>
      <c r="MS5" s="73" t="str">
        <f>IF(AND('Straight Cutting'!P11="White Birch",(OR('Job Sheet'!AI11="Yes",'Job Sheet'!AI11="Yes - Centre"))),'Straight Cutting'!Q11,"")</f>
        <v/>
      </c>
      <c r="MT5" s="73" t="str">
        <f>IF(AND('Straight Cutting'!P11="Black",(OR('Job Sheet'!AI11="Yes",'Job Sheet'!AI11="Yes - Centre"))),'Straight Cutting'!Q11,"")</f>
        <v/>
      </c>
      <c r="MU5" s="73" t="str">
        <f>IF(AND('Straight Cutting'!P11="Brown",(OR('Job Sheet'!AI11="Yes",'Job Sheet'!AI11="Yes - Centre"))),'Straight Cutting'!Q11,"")</f>
        <v/>
      </c>
      <c r="MV5" s="73" t="str">
        <f>IF(AND('Straight Cutting'!P11="Deep Ocean",(OR('Job Sheet'!AI11="Yes",'Job Sheet'!AI11="Yes - Centre"))),'Straight Cutting'!Q11,"")</f>
        <v/>
      </c>
      <c r="MW5" s="73" t="str">
        <f>IF(AND('Straight Cutting'!P11="Jasper",(OR('Job Sheet'!AI11="Yes",'Job Sheet'!AI11="Yes - Centre"))),'Straight Cutting'!Q11,"")</f>
        <v/>
      </c>
      <c r="MX5" s="73" t="str">
        <f>IF(AND('Straight Cutting'!P11="Paperbark",(OR('Job Sheet'!AI11="Yes",'Job Sheet'!AI11="Yes - Centre"))),'Straight Cutting'!Q11,"")</f>
        <v/>
      </c>
      <c r="MY5" s="73" t="str">
        <f>IF(AND('Straight Cutting'!P11="Mist Green",(OR('Job Sheet'!AI11="Yes",'Job Sheet'!AI11="Yes - Centre"))),'Straight Cutting'!Q11,"")</f>
        <v/>
      </c>
      <c r="MZ5" s="73" t="str">
        <f>IF(AND('Straight Cutting'!P11="Primrose",(OR('Job Sheet'!AI11="Yes",'Job Sheet'!AI11="Yes - Centre"))),'Straight Cutting'!Q11,"")</f>
        <v/>
      </c>
      <c r="NA5" s="73" t="str">
        <f>IF(AND('Straight Cutting'!P11="Ultra Silver",(OR('Job Sheet'!AI11="Yes",'Job Sheet'!AI11="Yes - Centre"))),'Straight Cutting'!Q11,"")</f>
        <v/>
      </c>
      <c r="NB5" s="73" t="str">
        <f>IF(AND('Straight Cutting'!P11="Woodland Grey(Green Tone)",(OR('Job Sheet'!AI11="Yes",'Job Sheet'!AI11="Yes - Centre"))),'Straight Cutting'!Q11,"")</f>
        <v/>
      </c>
      <c r="NC5" s="73" t="str">
        <f>IF(AND('Straight Cutting'!P11="Pearl White",(OR('Job Sheet'!AI11="Yes",'Job Sheet'!AI11="Yes - Centre"))),'Straight Cutting'!Q11,"")</f>
        <v/>
      </c>
      <c r="ND5" s="73" t="str">
        <f>IF(AND('Straight Cutting'!P11="Monument",(OR('Job Sheet'!AI11="Yes",'Job Sheet'!AI11="Yes - Centre"))),'Straight Cutting'!Q11,"")</f>
        <v/>
      </c>
      <c r="NE5" s="73" t="str">
        <f>IF(AND('Straight Cutting'!P11="Surfmist",(OR('Job Sheet'!AI11="Yes",'Job Sheet'!AI11="Yes - Centre"))),'Straight Cutting'!Q11,"")</f>
        <v/>
      </c>
      <c r="NF5" s="73" t="str">
        <f>IF(AND('Straight Cutting'!P11="Dune",(OR('Job Sheet'!AI11="Yes",'Job Sheet'!AI11="Yes - Centre"))),'Straight Cutting'!Q11,"")</f>
        <v/>
      </c>
      <c r="NH5" s="73" t="str">
        <f>IF(AND('Straight Cutting'!P11="APO Grey",(OR('Job Sheet'!AI11="Yes",'Job Sheet'!AI11="Yes - Centre"))),'Straight Cutting'!R11,"")</f>
        <v/>
      </c>
      <c r="NI5" s="73" t="str">
        <f>IF(AND('Straight Cutting'!P11="White Birch",(OR('Job Sheet'!AI11="Yes",'Job Sheet'!AI11="Yes - Centre"))),'Straight Cutting'!R11,"")</f>
        <v/>
      </c>
      <c r="NJ5" s="73" t="str">
        <f>IF(AND('Straight Cutting'!P11="Black",(OR('Job Sheet'!AI11="Yes",'Job Sheet'!AI11="Yes - Centre"))),'Straight Cutting'!R11,"")</f>
        <v/>
      </c>
      <c r="NK5" s="73" t="str">
        <f>IF(AND('Straight Cutting'!P11="Brown",(OR('Job Sheet'!AI11="Yes",'Job Sheet'!AI11="Yes - Centre"))),'Straight Cutting'!R11,"")</f>
        <v/>
      </c>
      <c r="NL5" s="73" t="str">
        <f>IF(AND('Straight Cutting'!P11="Deep Ocean",(OR('Job Sheet'!AI11="Yes",'Job Sheet'!AI11="Yes - Centre"))),'Straight Cutting'!R11,"")</f>
        <v/>
      </c>
      <c r="NM5" s="73" t="str">
        <f>IF(AND('Straight Cutting'!P11="Jasper",(OR('Job Sheet'!AI11="Yes",'Job Sheet'!AI11="Yes - Centre"))),'Straight Cutting'!R11,"")</f>
        <v/>
      </c>
      <c r="NN5" s="73" t="str">
        <f>IF(AND('Straight Cutting'!P11="Paperbark",(OR('Job Sheet'!AI11="Yes",'Job Sheet'!AI11="Yes - Centre"))),'Straight Cutting'!R11,"")</f>
        <v/>
      </c>
      <c r="NO5" s="73" t="str">
        <f>IF(AND('Straight Cutting'!P11="Mist Green",(OR('Job Sheet'!AI11="Yes",'Job Sheet'!AI11="Yes - Centre"))),'Straight Cutting'!R11,"")</f>
        <v/>
      </c>
      <c r="NP5" s="73" t="str">
        <f>IF(AND('Straight Cutting'!P11="Primrose",(OR('Job Sheet'!AI11="Yes",'Job Sheet'!AI11="Yes - Centre"))),'Straight Cutting'!R11,"")</f>
        <v/>
      </c>
      <c r="NQ5" s="73" t="str">
        <f>IF(AND('Straight Cutting'!P11="Ultra Silver",(OR('Job Sheet'!AI11="Yes",'Job Sheet'!AI11="Yes - Centre"))),'Straight Cutting'!R11,"")</f>
        <v/>
      </c>
      <c r="NR5" s="73" t="str">
        <f>IF(AND('Straight Cutting'!P11="Woodland Grey(Green Tone)",(OR('Job Sheet'!AI11="Yes",'Job Sheet'!AI11="Yes - Centre"))),'Straight Cutting'!R11,"")</f>
        <v/>
      </c>
      <c r="NS5" s="73" t="str">
        <f>IF(AND('Straight Cutting'!P11="Pearl White",(OR('Job Sheet'!AI11="Yes",'Job Sheet'!AI11="Yes - Centre"))),'Straight Cutting'!R11,"")</f>
        <v/>
      </c>
      <c r="NT5" s="73" t="str">
        <f>IF(AND('Straight Cutting'!P11="Monument",(OR('Job Sheet'!AI11="Yes",'Job Sheet'!AI11="Yes - Centre"))),'Straight Cutting'!R11,"")</f>
        <v/>
      </c>
      <c r="NU5" s="73" t="str">
        <f>IF(AND('Straight Cutting'!P11="Surfmist",(OR('Job Sheet'!AI11="Yes",'Job Sheet'!AI11="Yes - Centre"))),'Straight Cutting'!R11,"")</f>
        <v/>
      </c>
      <c r="NV5" s="73" t="str">
        <f>IF(AND('Straight Cutting'!P11="Dune",(OR('Job Sheet'!AI11="Yes",'Job Sheet'!AI11="Yes - Centre"))),'Straight Cutting'!R11,"")</f>
        <v/>
      </c>
      <c r="ON5" s="73">
        <f>IF(Data!AW11="","",IF(VLOOKUP(CONCATENATE(Data!BO11,'Job Sheet'!AE11),DoorType,4,FALSE)="Yes",(('Job Sheet'!BH11-98)*2+('Job Sheet'!BI11-96)*2)/2700,""))</f>
        <v>2.05777777777778</v>
      </c>
      <c r="OO5" s="73">
        <f>IF(Data!AW11="","",IF('Mitred Cutting'!F11="1.6mm",(('Job Sheet'!BH11-114)*2+('Job Sheet'!BI11-114)*2)/3100,""))</f>
        <v>1.77032258064516</v>
      </c>
      <c r="OP5" s="73" t="str">
        <f>IF(Data!AW11="","",IF('Mitred Cutting'!F11="2mm",(('Job Sheet'!BH11-114)*2+('Job Sheet'!BI11-114)*2)/3100,""))</f>
        <v/>
      </c>
      <c r="OQ5" s="48" t="str">
        <f>IF(Data!AW11="","",IF('Straight Cutting'!R11&lt;&gt;"",(('Job Sheet'!BO11*4)+('Job Sheet'!BQ11*2)+('Job Sheet'!BP11*2))/4000,IF('Mitred Cutting'!C11="Invisi-Gard",(('Job Sheet'!BO11+'Job Sheet'!BP11)*2)/4000,"")))</f>
        <v/>
      </c>
      <c r="OR5" s="48" t="str">
        <f>IF(OQ5="","",OQ5/25)</f>
        <v/>
      </c>
      <c r="OS5" s="48" t="str">
        <f>OR5</f>
        <v/>
      </c>
      <c r="OT5" s="73">
        <f>IF(D5="","",'Job Sheet'!BH11-2)</f>
        <v>934</v>
      </c>
      <c r="OU5" s="73" t="str">
        <f>IF(OR('Job Sheet'!AE11="Fibreglass Mesh",'Job Sheet'!AE11="Tuff Mesh",'Job Sheet'!AE11="Pet Mesh",'Job Sheet'!AE11="Aluminium Mesh"),'Job Sheet'!BH11*2+'Job Sheet'!BI11*2-200,"")</f>
        <v/>
      </c>
      <c r="OV5" s="73" t="str">
        <f>IF('Job Sheet'!M11="Not Required","",IF(Punching!K11="Hinged High",1,""))</f>
        <v/>
      </c>
      <c r="OW5" s="73" t="str">
        <f>IF('Job Sheet'!M11="Not Required","",IF(Punching!K11="Hinged Low",1,""))</f>
        <v/>
      </c>
      <c r="OX5" s="73" t="str">
        <f>IF('Job Sheet'!M11="Not Required","",IF(Punching!K11="Hinged Pool",1,""))</f>
        <v/>
      </c>
      <c r="OY5" s="73" t="str">
        <f>IF('Job Sheet'!M11="Not Required","",IF(Punching!K11="Hinged Adjustable",1,""))</f>
        <v/>
      </c>
      <c r="OZ5" s="73" t="str">
        <f>IF('Job Sheet'!M11="Not Required","",IF(Punching!K11="Sliding High",1,""))</f>
        <v/>
      </c>
      <c r="PA5" s="73" t="str">
        <f>IF('Job Sheet'!M11="Not Required","",IF(Punching!K11="Sliding Low",1,""))</f>
        <v/>
      </c>
      <c r="PB5" s="73" t="str">
        <f>IF('Job Sheet'!M11="Not Required","",IF(Punching!K11="Sliding Pool",1,""))</f>
        <v/>
      </c>
      <c r="PC5" s="73" t="str">
        <f>IF('Job Sheet'!M11="Not Required","",IF(Punching!K11="Sliding Adjustable",1,""))</f>
        <v/>
      </c>
      <c r="PD5" s="73">
        <f t="shared" si="0" ref="PD5:PD14">IF(D5="","",4)</f>
        <v>4</v>
      </c>
      <c r="PH5" s="73" t="str">
        <f>IF('Job Sheet'!AV11&lt;&gt;"Yes","",IF(OR('Job Sheet'!AY11="Left",'Job Sheet'!AY11="Right"),"1","2"))</f>
        <v/>
      </c>
      <c r="PO5" s="73" t="str">
        <f>IF('Job Sheet'!M11="Bass Latch",1,"")</f>
        <v/>
      </c>
      <c r="PP5" s="73" t="str">
        <f>IF('Job Sheet'!AU11="Yes","2","")</f>
        <v/>
      </c>
      <c r="PQ5" s="73" t="str">
        <f>IF('Job Sheet'!U11="Black",1,"")</f>
        <v/>
      </c>
      <c r="PR5" s="73" t="str">
        <f>IF('Job Sheet'!U11="Dune",1,"")</f>
        <v/>
      </c>
      <c r="PS5" s="73" t="str">
        <f>IF('Job Sheet'!U11="Jasper",1,"")</f>
        <v/>
      </c>
      <c r="PT5" s="73" t="str">
        <f>IF('Job Sheet'!U11="Monument",1,"")</f>
        <v/>
      </c>
      <c r="PU5" s="73" t="str">
        <f>IF('Job Sheet'!U11="Paperbark",1,"")</f>
        <v/>
      </c>
      <c r="PV5" s="73" t="str">
        <f>IF('Job Sheet'!U11="Primrose",1,"")</f>
        <v/>
      </c>
      <c r="PW5" s="73" t="str">
        <f>IF('Job Sheet'!U11="Surfmist",1,"")</f>
        <v/>
      </c>
      <c r="PX5" s="73" t="str">
        <f>IF('Job Sheet'!U11="White",1,"")</f>
        <v/>
      </c>
      <c r="PY5" s="73" t="str">
        <f>IF('Job Sheet'!U11="Woodland Grey(Green Tone)",1,"")</f>
        <v/>
      </c>
      <c r="PZ5" s="73" t="str">
        <f>IF(AND(OR('Job Sheet'!M11="Single Lock",'Job Sheet'!M11="Triple Lock"),'Job Sheet'!J11="Hinged",'Job Sheet'!Q11="Black"),1,"")</f>
        <v/>
      </c>
      <c r="QA5" s="73" t="str">
        <f>IF(AND(OR('Job Sheet'!M11="Single Lock",'Job Sheet'!M11="Triple Lock"),'Job Sheet'!J11="Hinged",'Job Sheet'!Q11="Dune"),1,"")</f>
        <v/>
      </c>
      <c r="QB5" s="73" t="str">
        <f>IF(AND(OR('Job Sheet'!M11="Single Lock",'Job Sheet'!M11="Triple Lock"),'Job Sheet'!J11="Hinged",'Job Sheet'!Q11="Jasper"),1,"")</f>
        <v/>
      </c>
      <c r="QC5" s="73" t="str">
        <f>IF(AND(OR('Job Sheet'!M11="Single Lock",'Job Sheet'!M11="Triple Lock"),'Job Sheet'!J11="Hinged",'Job Sheet'!Q11="Monument"),1,"")</f>
        <v/>
      </c>
      <c r="QD5" s="73" t="str">
        <f>IF(AND(OR('Job Sheet'!M11="Single Lock",'Job Sheet'!M11="Triple Lock"),'Job Sheet'!J11="Hinged",'Job Sheet'!Q11="Paperbark"),1,"")</f>
        <v/>
      </c>
      <c r="QE5" s="73" t="str">
        <f>IF(AND(OR('Job Sheet'!M11="Single Lock",'Job Sheet'!M11="Triple Lock"),'Job Sheet'!J11="Hinged",'Job Sheet'!Q11="Primrose"),1,"")</f>
        <v/>
      </c>
      <c r="QF5" s="73" t="str">
        <f>IF(AND(OR('Job Sheet'!M11="Single Lock",'Job Sheet'!M11="Triple Lock"),'Job Sheet'!J11="Hinged",'Job Sheet'!Q11="Surfmist"),1,"")</f>
        <v/>
      </c>
      <c r="QG5" s="73" t="str">
        <f>IF(AND(OR('Job Sheet'!M11="Single Lock",'Job Sheet'!M11="Triple Lock"),'Job Sheet'!J11="Hinged",'Job Sheet'!Q11="White"),1,"")</f>
        <v/>
      </c>
      <c r="QH5" s="73" t="str">
        <f>IF(AND(OR('Job Sheet'!M11="Single Lock",'Job Sheet'!M11="Triple Lock"),'Job Sheet'!J11="Hinged",'Job Sheet'!Q11="Woodland Grey(Green Tone)"),1,"")</f>
        <v/>
      </c>
      <c r="QI5" s="73" t="str">
        <f>IF(AND(OR('Job Sheet'!M11="Push 2 Go Single Lock",'Job Sheet'!M11="Push 2 Go Triple Lock"),'Job Sheet'!J11="Hinged",'Job Sheet'!Q11="Black"),1,"")</f>
        <v/>
      </c>
      <c r="QJ5" s="73" t="str">
        <f>IF(AND(OR('Job Sheet'!M11="Push 2 Go Single Lock",'Job Sheet'!M11="Push 2 Go Triple Lock"),'Job Sheet'!J11="Hinged",'Job Sheet'!Q11="Dune"),1,"")</f>
        <v/>
      </c>
      <c r="QK5" s="73" t="str">
        <f>IF(AND(OR('Job Sheet'!M11="Push 2 Go Single Lock",'Job Sheet'!M11="Push 2 Go Triple Lock"),'Job Sheet'!J11="Hinged",'Job Sheet'!Q11="Jasper"),1,"")</f>
        <v/>
      </c>
      <c r="QL5" s="73" t="str">
        <f>IF(AND(OR('Job Sheet'!M11="Push 2 Go Single Lock",'Job Sheet'!M11="Push 2 Go Triple Lock"),'Job Sheet'!J11="Hinged",'Job Sheet'!Q11="Monument"),1,"")</f>
        <v/>
      </c>
      <c r="QM5" s="73" t="str">
        <f>IF(AND(OR('Job Sheet'!M11="Push 2 Go Single Lock",'Job Sheet'!M11="Push 2 Go Triple Lock"),'Job Sheet'!J11="Hinged",'Job Sheet'!Q11="Paperbark"),1,"")</f>
        <v/>
      </c>
      <c r="QN5" s="73" t="str">
        <f>IF(AND(OR('Job Sheet'!M11="Push 2 Go Single Lock",'Job Sheet'!M11="Push 2 Go Triple Lock"),'Job Sheet'!J11="Hinged",'Job Sheet'!Q11="Primrose"),1,"")</f>
        <v/>
      </c>
      <c r="QO5" s="73" t="str">
        <f>IF(AND(OR('Job Sheet'!M11="Push 2 Go Single Lock",'Job Sheet'!M11="Push 2 Go Triple Lock"),'Job Sheet'!J11="Hinged",'Job Sheet'!Q11="Surfmist"),1,"")</f>
        <v/>
      </c>
      <c r="QP5" s="73" t="str">
        <f>IF(AND(OR('Job Sheet'!M11="Push 2 Go Single Lock",'Job Sheet'!M11="Push 2 Go Triple Lock"),'Job Sheet'!J11="Hinged",'Job Sheet'!Q11="White"),1,"")</f>
        <v/>
      </c>
      <c r="QQ5" s="73" t="str">
        <f>IF(AND(OR('Job Sheet'!M11="Push 2 Go Single Lock",'Job Sheet'!M11="Push 2 Go Triple Lock"),'Job Sheet'!J11="Hinged",'Job Sheet'!Q11="Woodland Grey(Green Tone)"),1,"")</f>
        <v/>
      </c>
      <c r="QR5" s="73" t="str">
        <f>IF('Job Sheet'!M11="Bass Latch","",IF(AND(OR('Job Sheet'!J11="Sliding",'Job Sheet'!J11="Stacker"),'Job Sheet'!Q11="Black"),1,""))</f>
        <v/>
      </c>
      <c r="QS5" s="73" t="str">
        <f>IF('Job Sheet'!M11="Bass Latch","",IF(AND(OR('Job Sheet'!J11="Sliding",'Job Sheet'!J11="Stacker"),'Job Sheet'!Q11="Dune"),1,""))</f>
        <v/>
      </c>
      <c r="QT5" s="73" t="str">
        <f>IF('Job Sheet'!M11="Bass Latch","",IF(AND(OR('Job Sheet'!J11="Sliding",'Job Sheet'!J11="Stacker"),'Job Sheet'!Q11="Jasper"),1,""))</f>
        <v/>
      </c>
      <c r="QU5" s="73" t="str">
        <f>IF('Job Sheet'!M11="Bass Latch","",IF(AND(OR('Job Sheet'!J11="Sliding",'Job Sheet'!J11="Stacker"),'Job Sheet'!Q11="Monument"),1,""))</f>
        <v/>
      </c>
      <c r="QV5" s="73">
        <f>IF('Job Sheet'!M11="Bass Latch","",IF(AND(OR('Job Sheet'!J11="Sliding",'Job Sheet'!J11="Stacker"),'Job Sheet'!Q11="Paperbark"),1,""))</f>
        <v>1</v>
      </c>
      <c r="QW5" s="73" t="str">
        <f>IF('Job Sheet'!M11="Bass Latch","",IF(AND(OR('Job Sheet'!J11="Sliding",'Job Sheet'!J11="Stacker"),'Job Sheet'!Q11="Primrose"),1,""))</f>
        <v/>
      </c>
      <c r="QX5" s="73" t="str">
        <f>IF('Job Sheet'!M11="Bass Latch","",IF(AND(OR('Job Sheet'!J11="Sliding",'Job Sheet'!J11="Stacker"),'Job Sheet'!Q11="Surfmist"),1,""))</f>
        <v/>
      </c>
      <c r="QY5" s="73" t="str">
        <f>IF('Job Sheet'!M11="Bass Latch","",IF(AND('Job Sheet'!J11="Sliding",'Job Sheet'!Q11="White"),1,""))</f>
        <v/>
      </c>
      <c r="QZ5" s="73" t="str">
        <f>IF('Job Sheet'!M11="Bass Latch","",IF(AND(OR('Job Sheet'!J11="Sliding",'Job Sheet'!J11="Stacker"),'Job Sheet'!Q11="Woodland Grey(Green Tone)"),1,""))</f>
        <v/>
      </c>
      <c r="RA5" s="73">
        <f>IF(OR('Job Sheet'!M11="Single Lock",'Job Sheet'!M11="Triple Lock"),1,"")</f>
        <v>1</v>
      </c>
      <c r="RB5" s="73" t="str">
        <f>IF('Job Sheet'!R11="Extended",1,"")</f>
        <v/>
      </c>
      <c r="RC5" s="73">
        <f>IF(OR('Job Sheet'!J11="Sliding",'Job Sheet'!J11="Stacker"),4,"")</f>
        <v>4</v>
      </c>
      <c r="RD5" s="73" t="str">
        <f>IF('Job Sheet'!J11="Hinged",3,"")</f>
        <v/>
      </c>
      <c r="RF5" s="73" t="str">
        <f>IF(AND('Job Sheet'!AW11="Small 190mm x 240mm",'Job Sheet'!AX11="Black"),1,"")</f>
        <v/>
      </c>
      <c r="RG5" s="73" t="str">
        <f>IF(AND('Job Sheet'!AW11="Medium 225mm x 305mm",'Job Sheet'!AX11="Black"),1,"")</f>
        <v/>
      </c>
      <c r="RH5" s="73" t="str">
        <f>IF(AND('Job Sheet'!AW11="Large 260mm x 400mm",'Job Sheet'!AX11="Black"),1,"")</f>
        <v/>
      </c>
      <c r="RI5" s="73" t="str">
        <f>IF(AND('Job Sheet'!AW11="Small 190mm x 240mm",'Job Sheet'!AX11="White"),1,"")</f>
        <v/>
      </c>
      <c r="RJ5" s="73" t="str">
        <f>IF(AND('Job Sheet'!AW11="Medium 225mm x 305mm",'Job Sheet'!AX11="White"),1,"")</f>
        <v/>
      </c>
      <c r="RK5" s="73" t="str">
        <f>IF(AND('Job Sheet'!AW11="Large 260mm x 400mm",'Job Sheet'!AX11="White"),1,"")</f>
        <v/>
      </c>
      <c r="RL5" s="73" t="str">
        <f>IF('Job Sheet'!AQ11="T Mullion with Cutouts and 2 Lock Bolts",2,"")</f>
        <v/>
      </c>
      <c r="RM5" s="73" t="str">
        <f>IF('Job Sheet'!U11="Water Closer",1,"")</f>
        <v/>
      </c>
      <c r="RN5" s="73" t="str">
        <f>IF('Job Sheet'!AO11="Yes, Included in other Door","",IF(OR('Mitred Cutting'!I11="Long Leg Left, Right and Top",'Mitred Cutting'!I11="Short Leg Left, Right and Top"),2,""))</f>
        <v/>
      </c>
      <c r="RO5" s="73" t="str">
        <f>IF(AND('Mitred Cutting'!C11="Invisi-Gard",(OR('Job Sheet'!AI11="Yes",'Job Sheet'!AI11="Yes - Centre"))),2,"")</f>
        <v/>
      </c>
      <c r="RQ5" s="73" t="str">
        <f>IF('Job Sheet'!M11="Ultra Secua Digital Triple Lock",1,"")</f>
        <v/>
      </c>
      <c r="RS5" s="73" t="str">
        <f>IF('Job Sheet'!AD11="","",'Job Sheet'!AD11)</f>
        <v/>
      </c>
      <c r="RT5" s="73" t="str">
        <f>IF(AND('Job Sheet'!BL11="750 x 2000",(OR('Job Sheet'!BK11="Woven Stainless Steel",'Job Sheet'!BK11="Invisi-Gard Woven Stainless Steel"))),1,"")</f>
        <v/>
      </c>
      <c r="RU5" s="73" t="str">
        <f>IF(AND('Job Sheet'!BL11="750 x 2400",(OR('Job Sheet'!BK11="Woven Stainless Steel",'Job Sheet'!BK11="Invisi-Gard Woven Stainless Steel"))),1,"")</f>
        <v/>
      </c>
      <c r="RV5" s="73" t="str">
        <f>IF(AND('Job Sheet'!BL11="750 x 3000",(OR('Job Sheet'!BK11="Woven Stainless Steel",'Job Sheet'!BK11="Invisi-Gard Woven Stainless Steel"))),1,"")</f>
        <v/>
      </c>
      <c r="RW5" s="73" t="str">
        <f>IF(AND('Job Sheet'!BL11="900 x 2000",(OR('Job Sheet'!BK11="Woven Stainless Steel",'Job Sheet'!BK11="Invisi-Gard Woven Stainless Steel"))),1,"")</f>
        <v/>
      </c>
      <c r="RX5" s="73" t="str">
        <f>IF(AND('Job Sheet'!BL11="900 x 2400",(OR('Job Sheet'!BK11="Woven Stainless Steel",'Job Sheet'!BK11="Invisi-Gard Woven Stainless Steel"))),1,"")</f>
        <v/>
      </c>
      <c r="RY5" s="73" t="str">
        <f>IF(AND('Job Sheet'!BL11="900 x 3000",(OR('Job Sheet'!BK11="Woven Stainless Steel",'Job Sheet'!BK11="Invisi-Gard Woven Stainless Steel"))),1,"")</f>
        <v/>
      </c>
      <c r="RZ5" s="73" t="str">
        <f>IF(AND('Job Sheet'!BL11="1200 x 2000",(OR('Job Sheet'!BK11="Woven Stainless Steel",'Job Sheet'!BK11="Invisi-Gard Woven Stainless Steel"))),1,"")</f>
        <v/>
      </c>
      <c r="SA5" s="73" t="str">
        <f>IF(AND('Job Sheet'!BL11="1200 x 2400",(OR('Job Sheet'!BK11="Woven Stainless Steel",'Job Sheet'!BK11="Invisi-Gard Woven Stainless Steel"))),1,"")</f>
        <v/>
      </c>
      <c r="SB5" s="73" t="str">
        <f>IF(AND('Job Sheet'!BL11="1200 x 3000",(OR('Job Sheet'!BK11="Woven Stainless Steel",'Job Sheet'!BK11="Invisi-Gard Woven Stainless Steel"))),1,"")</f>
        <v/>
      </c>
      <c r="SC5" s="73" t="str">
        <f>IF(AND('Job Sheet'!BL11="1500 x 2000",(OR('Job Sheet'!BK11="Woven Stainless Steel",'Job Sheet'!BK11="Invisi-Gard Woven Stainless Steel"))),1,"")</f>
        <v/>
      </c>
      <c r="SD5" s="73" t="str">
        <f>IF(AND('Job Sheet'!BL11="1500 x 2400",(OR('Job Sheet'!BK11="Woven Stainless Steel",'Job Sheet'!BK11="Invisi-Gard Woven Stainless Steel"))),1,"")</f>
        <v/>
      </c>
      <c r="SE5" s="73" t="str">
        <f>IF(AND('Job Sheet'!BL11="1500 x 3000",(OR('Job Sheet'!BK11="Woven Stainless Steel",'Job Sheet'!BK11="Invisi-Gard Woven Stainless Steel"))),1,"")</f>
        <v/>
      </c>
      <c r="SF5" s="73" t="str">
        <f>IF(AND('Job Sheet'!BK11="Alu-Gard Perforated Aluminium",'Job Sheet'!BL11="750 x 2000"),1,"")</f>
        <v/>
      </c>
      <c r="SG5" s="73" t="str">
        <f>IF(AND('Job Sheet'!BK11="Alu-Gard Perforated Aluminium",'Job Sheet'!BL11="750 x 2400"),1,"")</f>
        <v/>
      </c>
      <c r="SH5" s="73" t="str">
        <f>IF(AND('Job Sheet'!BK11="Alu-Gard Perforated Aluminium",'Job Sheet'!BL11="750 x 3000"),1,"")</f>
        <v/>
      </c>
      <c r="SI5" s="73">
        <f>IF(AND('Job Sheet'!BK11="Alu-Gard Perforated Aluminium",'Job Sheet'!BL11="900 x 2000"),1,"")</f>
        <v>1</v>
      </c>
      <c r="SJ5" s="73" t="str">
        <f>IF(AND('Job Sheet'!BK11="Alu-Gard Perforated Aluminium",'Job Sheet'!BL11="900 x 2400"),1,"")</f>
        <v/>
      </c>
      <c r="SK5" s="73" t="str">
        <f>IF(AND('Job Sheet'!BK11="Alu-Gard Perforated Aluminium",'Job Sheet'!BL11="900 x 3000"),1,"")</f>
        <v/>
      </c>
      <c r="SL5" s="73" t="str">
        <f>IF(AND('Job Sheet'!BK11="Alu-Gard Perforated Aluminium",'Job Sheet'!BL11="1200 x 2000"),1,"")</f>
        <v/>
      </c>
      <c r="SM5" s="73" t="str">
        <f>IF(AND('Job Sheet'!BK11="Alu-Gard Perforated Aluminium",'Job Sheet'!BL11="1200 x 2400"),1,"")</f>
        <v/>
      </c>
      <c r="SN5" s="73" t="str">
        <f>IF(AND('Job Sheet'!BK11="Alu-Gard Perforated Aluminium",'Job Sheet'!BL11="1200 x 3000"),1,"")</f>
        <v/>
      </c>
      <c r="SO5" s="73" t="str">
        <f>IF(AND('Job Sheet'!BK11="Alu-Gard Perforated Aluminium",'Job Sheet'!BL11="1500 x 2000"),1,"")</f>
        <v/>
      </c>
      <c r="SP5" s="73" t="str">
        <f>IF(AND('Job Sheet'!BK11="Alu-Gard Perforated Aluminium",'Job Sheet'!BL11="1500 x 2400"),1,"")</f>
        <v/>
      </c>
      <c r="SQ5" s="73" t="str">
        <f>IF(AND('Job Sheet'!BK11="Alu-Gard Perforated Aluminium",'Job Sheet'!BL11="1500 x 3000"),1,"")</f>
        <v/>
      </c>
      <c r="SR5" s="73" t="str">
        <f>IF(AND('Job Sheet'!BK11="Privacy-Gard",'Job Sheet'!BL11="750 x 2000"),1,"")</f>
        <v/>
      </c>
      <c r="SS5" s="73" t="str">
        <f>IF(AND('Job Sheet'!BK11="Privacy-Gard",'Job Sheet'!BL11="750 x 2400"),1,"")</f>
        <v/>
      </c>
      <c r="ST5" s="73" t="str">
        <f>IF(AND('Job Sheet'!BK11="Privacy-Gard",'Job Sheet'!BL11="900 x 2000"),1,"")</f>
        <v/>
      </c>
      <c r="SU5" s="73" t="str">
        <f>IF(AND('Job Sheet'!BK11="Privacy-Gard",'Job Sheet'!BL11="900 x 2400"),1,"")</f>
        <v/>
      </c>
      <c r="SV5" s="73" t="str">
        <f>IF(AND('Job Sheet'!BK11="Privacy-Gard",'Job Sheet'!BL11="1200 x 2000"),1,"")</f>
        <v/>
      </c>
      <c r="SW5" s="73" t="str">
        <f>IF(AND('Job Sheet'!BK11="Privacy-Gard",'Job Sheet'!BL11="1200 x 2400"),1,"")</f>
        <v/>
      </c>
      <c r="SX5" s="73" t="str">
        <f>IF(AND('Job Sheet'!BK11="Standard Diamond",'Job Sheet'!BL11="750 x 2050",'Job Sheet'!AB11="APO Grey"),1,"")</f>
        <v/>
      </c>
      <c r="SY5" s="73" t="str">
        <f>IF(AND('Job Sheet'!BK11="Standard Diamond",'Job Sheet'!BL11="750 x 2050",'Job Sheet'!AB11="White Birch"),1,"")</f>
        <v/>
      </c>
      <c r="SZ5" s="73" t="str">
        <f>IF(AND('Job Sheet'!BK11="Standard Diamond",'Job Sheet'!BL11="750 x 2050",'Job Sheet'!AB11="Black"),1,"")</f>
        <v/>
      </c>
      <c r="TA5" s="73" t="str">
        <f>IF(AND('Job Sheet'!BK11="Standard Diamond",'Job Sheet'!BL11="750 x 2050",'Job Sheet'!AB11="Brown"),1,"")</f>
        <v/>
      </c>
      <c r="TB5" s="73" t="str">
        <f>IF(AND('Job Sheet'!BK11="Standard Diamond",'Job Sheet'!BL11="750 x 2050",'Job Sheet'!AB11="Deep Ocean"),1,"")</f>
        <v/>
      </c>
      <c r="TC5" s="73" t="str">
        <f>IF(AND('Job Sheet'!BK11="Standard Diamond",'Job Sheet'!BL11="750 x 2050",'Job Sheet'!AB11="Jasper"),1,"")</f>
        <v/>
      </c>
      <c r="TD5" s="73" t="str">
        <f>IF(AND('Job Sheet'!BK11="Standard Diamond",'Job Sheet'!BL11="750 x 2050",'Job Sheet'!AB11="Paperbark"),1,"")</f>
        <v/>
      </c>
      <c r="TE5" s="73" t="str">
        <f>IF(AND('Job Sheet'!BK11="Standard Diamond",'Job Sheet'!BL11="750 x 2050",'Job Sheet'!AB11="Mist Green"),1,"")</f>
        <v/>
      </c>
      <c r="TF5" s="73" t="str">
        <f>IF(AND('Job Sheet'!BK11="Standard Diamond",'Job Sheet'!BL11="750 x 2050",'Job Sheet'!AB11="Primrose"),1,"")</f>
        <v/>
      </c>
      <c r="TG5" s="73" t="str">
        <f>IF(AND('Job Sheet'!BK11="Standard Diamond",'Job Sheet'!BL11="750 x 2050",'Job Sheet'!AB11="Ultra Silver"),1,"")</f>
        <v/>
      </c>
      <c r="TH5" s="73" t="str">
        <f>IF(AND('Job Sheet'!BK11="Standard Diamond",'Job Sheet'!BL11="750 x 2050",'Job Sheet'!AB11="Woodland Grey(Green Tone)"),1,"")</f>
        <v/>
      </c>
      <c r="TI5" s="73" t="str">
        <f>IF(AND('Job Sheet'!BK11="Standard Diamond",'Job Sheet'!BL11="750 x 2050",'Job Sheet'!AB11="Pearl White"),1,"")</f>
        <v/>
      </c>
      <c r="TJ5" s="73" t="str">
        <f>IF(AND('Job Sheet'!BK11="Standard Diamond",'Job Sheet'!BL11="750 x 2050",'Job Sheet'!AB11="Monument"),1,"")</f>
        <v/>
      </c>
      <c r="TK5" s="73" t="str">
        <f>IF(AND('Job Sheet'!BK11="Standard Diamond",'Job Sheet'!BL11="750 x 2050",'Job Sheet'!AB11="Surfmist"),1,"")</f>
        <v/>
      </c>
      <c r="TL5" s="73" t="str">
        <f>IF(AND('Job Sheet'!BK11="Standard Diamond",'Job Sheet'!BL11="750 x 2050",'Job Sheet'!AB11="Dune"),1,"")</f>
        <v/>
      </c>
      <c r="TM5" s="73" t="str">
        <f>IF(AND('Job Sheet'!BK11="Standard Diamond",'Job Sheet'!BL11="750 x 2050",'Job Sheet'!AB11="Custom Powdercoat"),1,"")</f>
        <v/>
      </c>
      <c r="TN5" s="73" t="str">
        <f>IF(AND('Job Sheet'!BK11="Standard Diamond",'Job Sheet'!BL11="835 x 2050",'Job Sheet'!AB11="APO Grey"),1,"")</f>
        <v/>
      </c>
      <c r="TO5" s="73" t="str">
        <f>IF(AND('Job Sheet'!BK11="Standard Diamond",'Job Sheet'!BL11="835 x 2050",'Job Sheet'!AB11="White Birch"),1,"")</f>
        <v/>
      </c>
      <c r="TP5" s="73" t="str">
        <f>IF(AND('Job Sheet'!BK11="Standard Diamond",'Job Sheet'!BL11="835 x 2050",'Job Sheet'!AB11="Black"),1,"")</f>
        <v/>
      </c>
      <c r="TQ5" s="73" t="str">
        <f>IF(AND('Job Sheet'!BK11="Standard Diamond",'Job Sheet'!BL11="835 x 2050",'Job Sheet'!AB11="Brown"),1,"")</f>
        <v/>
      </c>
      <c r="TR5" s="73" t="str">
        <f>IF(AND('Job Sheet'!BK11="Standard Diamond",'Job Sheet'!BL11="835 x 2050",'Job Sheet'!AB11="Deep Ocean"),1,"")</f>
        <v/>
      </c>
      <c r="TS5" s="73" t="str">
        <f>IF(AND('Job Sheet'!BK11="Standard Diamond",'Job Sheet'!BL11="835 x 2050",'Job Sheet'!AB11="Jasper"),1,"")</f>
        <v/>
      </c>
      <c r="TT5" s="73" t="str">
        <f>IF(AND('Job Sheet'!BK11="Standard Diamond",'Job Sheet'!BL11="835 x 2050",'Job Sheet'!AB11="Paperbark"),1,"")</f>
        <v/>
      </c>
      <c r="TU5" s="73" t="str">
        <f>IF(AND('Job Sheet'!BK11="Standard Diamond",'Job Sheet'!BL11="835 x 2050",'Job Sheet'!AB11="Mist Green"),1,"")</f>
        <v/>
      </c>
      <c r="TV5" s="73" t="str">
        <f>IF(AND('Job Sheet'!BK11="Standard Diamond",'Job Sheet'!BL11="835 x 2050",'Job Sheet'!AB11="Primrose"),1,"")</f>
        <v/>
      </c>
      <c r="TW5" s="73" t="str">
        <f>IF(AND('Job Sheet'!BK11="Standard Diamond",'Job Sheet'!BL11="835 x 2050",'Job Sheet'!AB11="Ultra Silver"),1,"")</f>
        <v/>
      </c>
      <c r="TX5" s="73" t="str">
        <f>IF(AND('Job Sheet'!BK11="Standard Diamond",'Job Sheet'!BL11="835 x 2050",'Job Sheet'!AB11="Woodland Grey(Green Tone)"),1,"")</f>
        <v/>
      </c>
      <c r="TY5" s="73" t="str">
        <f>IF(AND('Job Sheet'!BK11="Standard Diamond",'Job Sheet'!BL11="835 x 2050",'Job Sheet'!AB11="Pearl White"),1,"")</f>
        <v/>
      </c>
      <c r="TZ5" s="73" t="str">
        <f>IF(AND('Job Sheet'!BK11="Standard Diamond",'Job Sheet'!BL11="835 x 2050",'Job Sheet'!AB11="Monument"),1,"")</f>
        <v/>
      </c>
      <c r="UA5" s="73" t="str">
        <f>IF(AND('Job Sheet'!BK11="Standard Diamond",'Job Sheet'!BL11="835 x 2050",'Job Sheet'!AB11="Surfmist"),1,"")</f>
        <v/>
      </c>
      <c r="UB5" s="73" t="str">
        <f>IF(AND('Job Sheet'!BK11="Standard Diamond",'Job Sheet'!BL11="835 x 2050",'Job Sheet'!AB11="Dune"),1,"")</f>
        <v/>
      </c>
      <c r="UC5" s="73" t="str">
        <f>IF(AND('Job Sheet'!BK11="Standard Diamond",'Job Sheet'!BL11="835 x 2050",'Job Sheet'!AB11="Custom Powdercoat"),1,"")</f>
        <v/>
      </c>
      <c r="UD5" s="73" t="str">
        <f>IF(AND('Job Sheet'!BK11="Standard Diamond",'Job Sheet'!BL11="920 x 2050",'Job Sheet'!AB11="APO Grey"),1,"")</f>
        <v/>
      </c>
      <c r="UE5" s="73" t="str">
        <f>IF(AND('Job Sheet'!BK11="Standard Diamond",'Job Sheet'!BL11="920 x 2050",'Job Sheet'!AB11="White Birch"),1,"")</f>
        <v/>
      </c>
      <c r="UF5" s="73" t="str">
        <f>IF(AND('Job Sheet'!BK11="Standard Diamond",'Job Sheet'!BL11="920 x 2050",'Job Sheet'!AB11="Black"),1,"")</f>
        <v/>
      </c>
      <c r="UG5" s="73" t="str">
        <f>IF(AND('Job Sheet'!BK11="Standard Diamond",'Job Sheet'!BL11="920 x 2050",'Job Sheet'!AB11="Brown"),1,"")</f>
        <v/>
      </c>
      <c r="UH5" s="73" t="str">
        <f>IF(AND('Job Sheet'!BK11="Standard Diamond",'Job Sheet'!BL11="920 x 2050",'Job Sheet'!AB11="Deep Ocean"),1,"")</f>
        <v/>
      </c>
      <c r="UI5" s="73" t="str">
        <f>IF(AND('Job Sheet'!BK11="Standard Diamond",'Job Sheet'!BL11="920 x 2050",'Job Sheet'!AB11="Jasper"),1,"")</f>
        <v/>
      </c>
      <c r="UJ5" s="73" t="str">
        <f>IF(AND('Job Sheet'!BK11="Standard Diamond",'Job Sheet'!BL11="920 x 2050",'Job Sheet'!AB11="Paperbark"),1,"")</f>
        <v/>
      </c>
      <c r="UK5" s="73" t="str">
        <f>IF(AND('Job Sheet'!BK11="Standard Diamond",'Job Sheet'!BL11="920 x 2050",'Job Sheet'!AB11="Mist Green"),1,"")</f>
        <v/>
      </c>
      <c r="UL5" s="73" t="str">
        <f>IF(AND('Job Sheet'!BK11="Standard Diamond",'Job Sheet'!BL11="920 x 2050",'Job Sheet'!AB11="Primrose"),1,"")</f>
        <v/>
      </c>
      <c r="UM5" s="73" t="str">
        <f>IF(AND('Job Sheet'!BK11="Standard Diamond",'Job Sheet'!BL11="920 x 2050",'Job Sheet'!AB11="Ultra Silver"),1,"")</f>
        <v/>
      </c>
      <c r="UN5" s="73" t="str">
        <f>IF(AND('Job Sheet'!BK11="Standard Diamond",'Job Sheet'!BL11="920 x 2050",'Job Sheet'!AB11="Woodland Grey(Green Tone)"),1,"")</f>
        <v/>
      </c>
      <c r="UO5" s="73" t="str">
        <f>IF(AND('Job Sheet'!BK11="Standard Diamond",'Job Sheet'!BL11="920 x 2050",'Job Sheet'!AB11="Pearl White"),1,"")</f>
        <v/>
      </c>
      <c r="UP5" s="73" t="str">
        <f>IF(AND('Job Sheet'!BK11="Standard Diamond",'Job Sheet'!BL11="920 x 2050",'Job Sheet'!AB11="Monument"),1,"")</f>
        <v/>
      </c>
      <c r="UQ5" s="73" t="str">
        <f>IF(AND('Job Sheet'!BK11="Standard Diamond",'Job Sheet'!BL11="920 x 2050",'Job Sheet'!AB11="Surfmist"),1,"")</f>
        <v/>
      </c>
      <c r="UR5" s="73" t="str">
        <f>IF(AND('Job Sheet'!BK11="Standard Diamond",'Job Sheet'!BL11="920 x 2050",'Job Sheet'!AB11="Dune"),1,"")</f>
        <v/>
      </c>
      <c r="US5" s="73" t="str">
        <f>IF(AND('Job Sheet'!BK11="Standard Diamond",'Job Sheet'!BL11="920 x 2050",'Job Sheet'!AB11="Custom Powdercoat"),1,"")</f>
        <v/>
      </c>
      <c r="UT5" s="73" t="str">
        <f>IF(AND('Job Sheet'!BK11="Standard Diamond",'Job Sheet'!BL11="1200 x 2050",'Job Sheet'!AB11="APO Grey"),1,"")</f>
        <v/>
      </c>
      <c r="UU5" s="73" t="str">
        <f>IF(AND('Job Sheet'!BK11="Standard Diamond",'Job Sheet'!BL11="1200 x 2050",'Job Sheet'!AB11="White Birch"),1,"")</f>
        <v/>
      </c>
      <c r="UV5" s="73" t="str">
        <f>IF(AND('Job Sheet'!BK11="Standard Diamond",'Job Sheet'!BL11="1200 x 2050",'Job Sheet'!AB11="Black"),1,"")</f>
        <v/>
      </c>
      <c r="UW5" s="73" t="str">
        <f>IF(AND('Job Sheet'!BK11="Standard Diamond",'Job Sheet'!BL11="1200 x 2050",'Job Sheet'!AB11="Brown"),1,"")</f>
        <v/>
      </c>
      <c r="UX5" s="73" t="str">
        <f>IF(AND('Job Sheet'!BK11="Standard Diamond",'Job Sheet'!BL11="1200 x 2050",'Job Sheet'!AB11="Deep Ocean"),1,"")</f>
        <v/>
      </c>
      <c r="UY5" s="73" t="str">
        <f>IF(AND('Job Sheet'!BK11="Standard Diamond",'Job Sheet'!BL11="1200 x 2050",'Job Sheet'!AB11="Jasper"),1,"")</f>
        <v/>
      </c>
      <c r="UZ5" s="73" t="str">
        <f>IF(AND('Job Sheet'!BK11="Standard Diamond",'Job Sheet'!BL11="1200 x 2050",'Job Sheet'!AB11="Paperbark"),1,"")</f>
        <v/>
      </c>
      <c r="VA5" s="73" t="str">
        <f>IF(AND('Job Sheet'!BK11="Standard Diamond",'Job Sheet'!BL11="1200 x 2050",'Job Sheet'!AB11="Mist Green"),1,"")</f>
        <v/>
      </c>
      <c r="VB5" s="73" t="str">
        <f>IF(AND('Job Sheet'!BK11="Standard Diamond",'Job Sheet'!BL11="1200 x 2050",'Job Sheet'!AB11="Primrose"),1,"")</f>
        <v/>
      </c>
      <c r="VC5" s="73" t="str">
        <f>IF(AND('Job Sheet'!BK11="Standard Diamond",'Job Sheet'!BL11="1200 x 2050",'Job Sheet'!AB11="Ultra Silver"),1,"")</f>
        <v/>
      </c>
      <c r="VD5" s="73" t="str">
        <f>IF(AND('Job Sheet'!BK11="Standard Diamond",'Job Sheet'!BL11="1200 x 2050",'Job Sheet'!AB11="Woodland Grey(Green Tone)"),1,"")</f>
        <v/>
      </c>
      <c r="VE5" s="73" t="str">
        <f>IF(AND('Job Sheet'!BK11="Standard Diamond",'Job Sheet'!BL11="1200 x 2050",'Job Sheet'!AB11="Pearl White"),1,"")</f>
        <v/>
      </c>
      <c r="VF5" s="73" t="str">
        <f>IF(AND('Job Sheet'!BK11="Standard Diamond",'Job Sheet'!BL11="1200 x 2050",'Job Sheet'!AB11="Monument"),1,"")</f>
        <v/>
      </c>
      <c r="VG5" s="73" t="str">
        <f>IF(AND('Job Sheet'!BK11="Standard Diamond",'Job Sheet'!BL11="1200 x 2050",'Job Sheet'!AB11="Surfmist"),1,"")</f>
        <v/>
      </c>
      <c r="VH5" s="73" t="str">
        <f>IF(AND('Job Sheet'!BK11="Standard Diamond",'Job Sheet'!BL11="1200 x 2050",'Job Sheet'!AB11="Dune"),1,"")</f>
        <v/>
      </c>
      <c r="VI5" s="73" t="str">
        <f>IF(AND('Job Sheet'!BK11="Standard Diamond",'Job Sheet'!BL11="1200 x 2050",'Job Sheet'!AB11="Custom Powdercoat"),1,"")</f>
        <v/>
      </c>
      <c r="VJ5" s="73" t="str">
        <f>IF(AND('Job Sheet'!BK11="Standard Diamond",'Job Sheet'!BL11="920 x 2450",'Job Sheet'!AB11="APO Grey"),1,"")</f>
        <v/>
      </c>
      <c r="VK5" s="73" t="str">
        <f>IF(AND('Job Sheet'!BK11="Standard Diamond",'Job Sheet'!BL11="920 x 2450",'Job Sheet'!AB11="White Birch"),1,"")</f>
        <v/>
      </c>
      <c r="VL5" s="73" t="str">
        <f>IF(AND('Job Sheet'!BK11="Standard Diamond",'Job Sheet'!BL11="920 x 2450",'Job Sheet'!AB11="Black"),1,"")</f>
        <v/>
      </c>
      <c r="VM5" s="73" t="str">
        <f>IF(AND('Job Sheet'!BK11="Standard Diamond",'Job Sheet'!BL11="920 x 2450",'Job Sheet'!AB11="Brown"),1,"")</f>
        <v/>
      </c>
      <c r="VN5" s="73" t="str">
        <f>IF(AND('Job Sheet'!BK11="Standard Diamond",'Job Sheet'!BL11="920 x 2450",'Job Sheet'!AB11="Deep Ocean"),1,"")</f>
        <v/>
      </c>
      <c r="VO5" s="73" t="str">
        <f>IF(AND('Job Sheet'!BK11="Standard Diamond",'Job Sheet'!BL11="920 x 2450",'Job Sheet'!AB11="Jasper"),1,"")</f>
        <v/>
      </c>
      <c r="VP5" s="73" t="str">
        <f>IF(AND('Job Sheet'!BK11="Standard Diamond",'Job Sheet'!BL11="920 x 2450",'Job Sheet'!AB11="Paperbark"),1,"")</f>
        <v/>
      </c>
      <c r="VQ5" s="73" t="str">
        <f>IF(AND('Job Sheet'!BK11="Standard Diamond",'Job Sheet'!BL11="920 x 2450",'Job Sheet'!AB11="Mist Green"),1,"")</f>
        <v/>
      </c>
      <c r="VR5" s="73" t="str">
        <f>IF(AND('Job Sheet'!BK11="Standard Diamond",'Job Sheet'!BL11="920 x 2450",'Job Sheet'!AB11="Primrose"),1,"")</f>
        <v/>
      </c>
      <c r="VS5" s="73" t="str">
        <f>IF(AND('Job Sheet'!BK11="Standard Diamond",'Job Sheet'!BL11="920 x 2450",'Job Sheet'!AB11="Ultra Silver"),1,"")</f>
        <v/>
      </c>
      <c r="VT5" s="73" t="str">
        <f>IF(AND('Job Sheet'!BK11="Standard Diamond",'Job Sheet'!BL11="920 x 2450",'Job Sheet'!AB11="Woodland Grey(Green Tone)"),1,"")</f>
        <v/>
      </c>
      <c r="VU5" s="73" t="str">
        <f>IF(AND('Job Sheet'!BK11="Standard Diamond",'Job Sheet'!BL11="920 x 2450",'Job Sheet'!AB11="Pearl White"),1,"")</f>
        <v/>
      </c>
      <c r="VV5" s="73" t="str">
        <f>IF(AND('Job Sheet'!BK11="Standard Diamond",'Job Sheet'!BL11="920 x 2450",'Job Sheet'!AB11="Monument"),1,"")</f>
        <v/>
      </c>
      <c r="VW5" s="73" t="str">
        <f>IF(AND('Job Sheet'!BK11="Standard Diamond",'Job Sheet'!BL11="920 x 2450",'Job Sheet'!AB11="Surfmist"),1,"")</f>
        <v/>
      </c>
      <c r="VX5" s="73" t="str">
        <f>IF(AND('Job Sheet'!BK11="Standard Diamond",'Job Sheet'!BL11="920 x 2450",'Job Sheet'!AB11="Dune"),1,"")</f>
        <v/>
      </c>
      <c r="VY5" s="73" t="str">
        <f>IF(AND('Job Sheet'!BK11="Standard Diamond",'Job Sheet'!BL11="920 x 2450",'Job Sheet'!AB11="Custom Powdercoat"),1,"")</f>
        <v/>
      </c>
      <c r="VZ5" s="73" t="str">
        <f>IF(AND('Job Sheet'!BK11="Standard Diamond",'Job Sheet'!BL11="1200 x 2450",'Job Sheet'!AB11="APO Grey"),1,"")</f>
        <v/>
      </c>
      <c r="WA5" s="73" t="str">
        <f>IF(AND('Job Sheet'!BK11="Standard Diamond",'Job Sheet'!BL11="1200 x 2450",'Job Sheet'!AB11="White Birch"),1,"")</f>
        <v/>
      </c>
      <c r="WB5" s="73" t="str">
        <f>IF(AND('Job Sheet'!BK11="Standard Diamond",'Job Sheet'!BL11="1200 x 2450",'Job Sheet'!AB11="Black"),1,"")</f>
        <v/>
      </c>
      <c r="WC5" s="73" t="str">
        <f>IF(AND('Job Sheet'!BK11="Standard Diamond",'Job Sheet'!BL11="1200 x 2450",'Job Sheet'!AB11="Brown"),1,"")</f>
        <v/>
      </c>
      <c r="WD5" s="73" t="str">
        <f>IF(AND('Job Sheet'!BK11="Standard Diamond",'Job Sheet'!BL11="1200 x 2450",'Job Sheet'!AB11="Deep Ocean"),1,"")</f>
        <v/>
      </c>
      <c r="WE5" s="73" t="str">
        <f>IF(AND('Job Sheet'!BK11="Standard Diamond",'Job Sheet'!BL11="1200 x 2450",'Job Sheet'!AB11="Jasper"),1,"")</f>
        <v/>
      </c>
      <c r="WF5" s="73" t="str">
        <f>IF(AND('Job Sheet'!BK11="Standard Diamond",'Job Sheet'!BL11="1200 x 2450",'Job Sheet'!AB11="Paperbark"),1,"")</f>
        <v/>
      </c>
      <c r="WG5" s="73" t="str">
        <f>IF(AND('Job Sheet'!BK11="Standard Diamond",'Job Sheet'!BL11="1200 x 2450",'Job Sheet'!AB11="Mist Green"),1,"")</f>
        <v/>
      </c>
      <c r="WH5" s="73" t="str">
        <f>IF(AND('Job Sheet'!BK11="Standard Diamond",'Job Sheet'!BL11="1200 x 2450",'Job Sheet'!AB11="Primrose"),1,"")</f>
        <v/>
      </c>
      <c r="WI5" s="73" t="str">
        <f>IF(AND('Job Sheet'!BK11="Standard Diamond",'Job Sheet'!BL11="1200 x 2450",'Job Sheet'!AB11="Ultra Silver"),1,"")</f>
        <v/>
      </c>
      <c r="WJ5" s="73" t="str">
        <f>IF(AND('Job Sheet'!BK11="Standard Diamond",'Job Sheet'!BL11="1200 x 2450",'Job Sheet'!AB11="Woodland Grey(Green Tone)"),1,"")</f>
        <v/>
      </c>
      <c r="WK5" s="73" t="str">
        <f>IF(AND('Job Sheet'!BK11="Standard Diamond",'Job Sheet'!BL11="1200 x 2450",'Job Sheet'!AB11="Pearl White"),1,"")</f>
        <v/>
      </c>
      <c r="WL5" s="73" t="str">
        <f>IF(AND('Job Sheet'!BK11="Standard Diamond",'Job Sheet'!BL11="1200 x 2450",'Job Sheet'!AB11="Monument"),1,"")</f>
        <v/>
      </c>
      <c r="WM5" s="73" t="str">
        <f>IF(AND('Job Sheet'!BK11="Standard Diamond",'Job Sheet'!BL11="1200 x 2450",'Job Sheet'!AB11="Surfmist"),1,"")</f>
        <v/>
      </c>
      <c r="WN5" s="73" t="str">
        <f>IF(AND('Job Sheet'!BK11="Standard Diamond",'Job Sheet'!BL11="1200 x 2450",'Mitred Cutting'!D11="Dune"),1,"")</f>
        <v/>
      </c>
      <c r="WO5" s="73" t="str">
        <f>IF(AND('Job Sheet'!BK11="Standard Diamond",'Job Sheet'!BL11="1200 x 2450",'Job Sheet'!AB11="Custom Powdercoat"),1,"")</f>
        <v/>
      </c>
      <c r="WP5" s="73" t="str">
        <f>IF(AND('Job Sheet'!BK11="Decorative Diamond",'Job Sheet'!BL11="770 x 2050",'Job Sheet'!AB11="APO Grey"),1,"")</f>
        <v/>
      </c>
      <c r="WQ5" s="73" t="str">
        <f>IF(AND('Job Sheet'!BK11="Decorative Diamond",'Job Sheet'!BL11="770 x 2050",'Job Sheet'!AB11="White Birch"),1,"")</f>
        <v/>
      </c>
      <c r="WR5" s="73" t="str">
        <f>IF(AND('Job Sheet'!BK11="Decorative Diamond",'Job Sheet'!BL11="770 x 2050",'Job Sheet'!AB11="Black"),1,"")</f>
        <v/>
      </c>
      <c r="WS5" s="73" t="str">
        <f>IF(AND('Job Sheet'!BK11="Decorative Diamond",'Job Sheet'!BL11="770 x 2050",'Job Sheet'!AB11="Brown"),1,"")</f>
        <v/>
      </c>
      <c r="WT5" s="73" t="str">
        <f>IF(AND('Job Sheet'!BK11="Decorative Diamond",'Job Sheet'!BL11="770 x 2050",'Job Sheet'!AB11="Deep Ocean"),1,"")</f>
        <v/>
      </c>
      <c r="WU5" s="73" t="str">
        <f>IF(AND('Job Sheet'!BK11="Decorative Diamond",'Job Sheet'!BL11="770 x 2050",'Job Sheet'!AB11="Jasper"),1,"")</f>
        <v/>
      </c>
      <c r="WV5" s="73" t="str">
        <f>IF(AND('Job Sheet'!BK11="Decorative Diamond",'Job Sheet'!BL11="770 x 2050",'Job Sheet'!AB11="Paperbark"),1,"")</f>
        <v/>
      </c>
      <c r="WW5" s="73" t="str">
        <f>IF(AND('Job Sheet'!BK11="Decorative Diamond",'Job Sheet'!BL11="770 x 2050",'Job Sheet'!AB11="Mist Green"),1,"")</f>
        <v/>
      </c>
      <c r="WX5" s="73" t="str">
        <f>IF(AND('Job Sheet'!BK11="Decorative Diamond",'Job Sheet'!BL11="770 x 2050",'Job Sheet'!AB11="Primrose"),1,"")</f>
        <v/>
      </c>
      <c r="WY5" s="73" t="str">
        <f>IF(AND('Job Sheet'!BK11="Decorative Diamond",'Job Sheet'!BL11="770 x 2050",'Job Sheet'!AB11="Ultra Silver"),1,"")</f>
        <v/>
      </c>
      <c r="WZ5" s="73" t="str">
        <f>IF(AND('Job Sheet'!BK11="Decorative Diamond",'Job Sheet'!BL11="770 x 2050",'Job Sheet'!AB11="Woodland Grey(Green Tone)"),1,"")</f>
        <v/>
      </c>
      <c r="XA5" s="73" t="str">
        <f>IF(AND('Job Sheet'!BK11="Decorative Diamond",'Job Sheet'!BL11="770 x 2050",'Job Sheet'!AB11="Pearl White"),1,"")</f>
        <v/>
      </c>
      <c r="XB5" s="73" t="str">
        <f>IF(AND('Job Sheet'!BK11="Decorative Diamond",'Job Sheet'!BL11="770 x 2050",'Job Sheet'!AB11="Monument"),1,"")</f>
        <v/>
      </c>
      <c r="XC5" s="73" t="str">
        <f>IF(AND('Job Sheet'!BK11="Decorative Diamond",'Job Sheet'!BL11="770 x 2050",'Job Sheet'!AB11="Surfmist"),1,"")</f>
        <v/>
      </c>
      <c r="XD5" s="73" t="str">
        <f>IF(AND('Job Sheet'!BK11="Decorative Diamond",'Job Sheet'!BL11="770 x 2050",'Job Sheet'!AB11="Dune"),1,"")</f>
        <v/>
      </c>
      <c r="XE5" s="73" t="str">
        <f>IF(AND('Job Sheet'!BK11="Decorative Diamond",'Job Sheet'!BL11="770 x 2050",'Job Sheet'!AB11="Custom Powdercoat"),1,"")</f>
        <v/>
      </c>
      <c r="XF5" s="73" t="str">
        <f>IF(AND('Job Sheet'!BK11="Decorative Diamond",'Job Sheet'!BL11="900 x 2050",'Job Sheet'!AB11="APO Grey"),1,"")</f>
        <v/>
      </c>
      <c r="XG5" s="73" t="str">
        <f>IF(AND('Job Sheet'!BK11="Decorative Diamond",'Job Sheet'!BL11="900 x 2050",'Job Sheet'!AB11="White Birch"),1,"")</f>
        <v/>
      </c>
      <c r="XH5" s="73" t="str">
        <f>IF(AND('Job Sheet'!BK11="Decorative Diamond",'Job Sheet'!BL11="900 x 2050",'Job Sheet'!AB11="Black"),1,"")</f>
        <v/>
      </c>
      <c r="XI5" s="73" t="str">
        <f>IF(AND('Job Sheet'!BK11="Decorative Diamond",'Job Sheet'!BL11="900 x 2050",'Job Sheet'!AB11="Brown"),1,"")</f>
        <v/>
      </c>
      <c r="XJ5" s="73" t="str">
        <f>IF(AND('Job Sheet'!BK11="Decorative Diamond",'Job Sheet'!BL11="900 x 2050",'Job Sheet'!AB11="Deep Ocean"),1,"")</f>
        <v/>
      </c>
      <c r="XK5" s="73" t="str">
        <f>IF(AND('Job Sheet'!BK11="Decorative Diamond",'Job Sheet'!BL11="900 x 2050",'Job Sheet'!AB11="Jasper"),1,"")</f>
        <v/>
      </c>
      <c r="XL5" s="73" t="str">
        <f>IF(AND('Job Sheet'!BK11="Decorative Diamond",'Job Sheet'!BL11="900 x 2050",'Job Sheet'!AB11="Paperbark"),1,"")</f>
        <v/>
      </c>
      <c r="XM5" s="73" t="str">
        <f>IF(AND('Job Sheet'!BK11="Decorative Diamond",'Job Sheet'!BL11="900 x 2050",'Job Sheet'!AB11="Mist Green"),1,"")</f>
        <v/>
      </c>
      <c r="XN5" s="73" t="str">
        <f>IF(AND('Job Sheet'!BK11="Decorative Diamond",'Job Sheet'!BL11="900 x 2050",'Job Sheet'!AB11="Primrose"),1,"")</f>
        <v/>
      </c>
      <c r="XO5" s="73" t="str">
        <f>IF(AND('Job Sheet'!BK11="Decorative Diamond",'Job Sheet'!BL11="900 x 2050",'Job Sheet'!AB11="Ultra Silver"),1,"")</f>
        <v/>
      </c>
      <c r="XP5" s="73" t="str">
        <f>IF(AND('Job Sheet'!BK11="Decorative Diamond",'Job Sheet'!BL11="900 x 2050",'Job Sheet'!AB11="Woodland Grey(Green Tone)"),1,"")</f>
        <v/>
      </c>
      <c r="XQ5" s="73" t="str">
        <f>IF(AND('Job Sheet'!BK11="Decorative Diamond",'Job Sheet'!BL11="900 x 2050",'Job Sheet'!AB11="Pearl White"),1,"")</f>
        <v/>
      </c>
      <c r="XR5" s="73" t="str">
        <f>IF(AND('Job Sheet'!BK11="Decorative Diamond",'Job Sheet'!BL11="900 x 2050",'Job Sheet'!AB11="Monument"),1,"")</f>
        <v/>
      </c>
      <c r="XS5" s="73" t="str">
        <f>IF(AND('Job Sheet'!BK11="Decorative Diamond",'Job Sheet'!BL11="900 x 2050",'Job Sheet'!AB11="Surfmist"),1,"")</f>
        <v/>
      </c>
      <c r="XT5" s="73" t="str">
        <f>IF(AND('Job Sheet'!BK11="Decorative Diamond",'Job Sheet'!BL11="900 x 2050",'Job Sheet'!AB11="Dune"),1,"")</f>
        <v/>
      </c>
      <c r="XU5" s="73" t="str">
        <f>IF(AND('Job Sheet'!BK11="Decorative Diamond",'Job Sheet'!BL11="900 x 2050",'Job Sheet'!AB11="Custom Powdercoat"),1,"")</f>
        <v/>
      </c>
      <c r="XV5" s="73" t="str">
        <f>IF(AND('Job Sheet'!BK11="Decorative Diamond",'Job Sheet'!BL11="1150 x 2050",'Job Sheet'!AB11="APO Grey"),1,"")</f>
        <v/>
      </c>
      <c r="XW5" s="73" t="str">
        <f>IF(AND('Job Sheet'!BK11="Decorative Diamond",'Job Sheet'!BL11="1150 x 2050",'Job Sheet'!AB11="White Birch"),1,"")</f>
        <v/>
      </c>
      <c r="XX5" s="73" t="str">
        <f>IF(AND('Job Sheet'!BK11="Decorative Diamond",'Job Sheet'!BL11="1150 x 2050",'Job Sheet'!AB11="Black"),1,"")</f>
        <v/>
      </c>
      <c r="XY5" s="73" t="str">
        <f>IF(AND('Job Sheet'!BK11="Decorative Diamond",'Job Sheet'!BL11="1150 x 2050",'Job Sheet'!AB11="Brown"),1,"")</f>
        <v/>
      </c>
      <c r="XZ5" s="73" t="str">
        <f>IF(AND('Job Sheet'!BK11="Decorative Diamond",'Job Sheet'!BL11="1150 x 2050",'Job Sheet'!AB11="Deep Ocean"),1,"")</f>
        <v/>
      </c>
      <c r="YA5" s="73" t="str">
        <f>IF(AND('Job Sheet'!BK11="Decorative Diamond",'Job Sheet'!BL11="1150 x 2050",'Job Sheet'!AB11="Jasper"),1,"")</f>
        <v/>
      </c>
      <c r="YB5" s="73" t="str">
        <f>IF(AND('Job Sheet'!BK11="Decorative Diamond",'Job Sheet'!BL11="1150 x 2050",'Job Sheet'!AB11="Paperbark"),1,"")</f>
        <v/>
      </c>
      <c r="YC5" s="73" t="str">
        <f>IF(AND('Job Sheet'!BK11="Decorative Diamond",'Job Sheet'!BL11="1150 x 2050",'Job Sheet'!AB11="Mist Green"),1,"")</f>
        <v/>
      </c>
      <c r="YD5" s="73" t="str">
        <f>IF(AND('Job Sheet'!BK11="Decorative Diamond",'Job Sheet'!BL11="1150 x 2050",'Job Sheet'!AB11="Primrose"),1,"")</f>
        <v/>
      </c>
      <c r="YE5" s="73" t="str">
        <f>IF(AND('Job Sheet'!BK11="Decorative Diamond",'Job Sheet'!BL11="1150 x 2050",'Job Sheet'!AB11="Ultra Silver"),1,"")</f>
        <v/>
      </c>
      <c r="YF5" s="73" t="str">
        <f>IF(AND('Job Sheet'!BK11="Decorative Diamond",'Job Sheet'!BL11="1150 x 2050",'Job Sheet'!AB11="Woodland Grey(Green Tone)"),1,"")</f>
        <v/>
      </c>
      <c r="YG5" s="73" t="str">
        <f>IF(AND('Job Sheet'!BK11="Decorative Diamond",'Job Sheet'!BL11="1150 x 2050",'Job Sheet'!AB11="Pearl White"),1,"")</f>
        <v/>
      </c>
      <c r="YH5" s="73" t="str">
        <f>IF(AND('Job Sheet'!BK11="Decorative Diamond",'Job Sheet'!BL11="1150 x 2050",'Job Sheet'!AB11="Monument"),1,"")</f>
        <v/>
      </c>
      <c r="YI5" s="73" t="str">
        <f>IF(AND('Job Sheet'!BK11="Decorative Diamond",'Job Sheet'!BL11="1150 x 2050",'Job Sheet'!AB11="Surfmist"),1,"")</f>
        <v/>
      </c>
      <c r="YJ5" s="73" t="str">
        <f>IF(AND('Job Sheet'!BK11="Decorative Diamond",'Job Sheet'!BL11="1150 x 2050",'Job Sheet'!AB11="Dune"),1,"")</f>
        <v/>
      </c>
      <c r="YK5" s="73" t="str">
        <f>IF(AND('Job Sheet'!BK11="Decorative Diamond",'Job Sheet'!BL11="1150 x 2050",'Job Sheet'!AB11="Custom Powdercoat"),1,"")</f>
        <v/>
      </c>
      <c r="YL5" s="73" t="str">
        <f>IF(AND('Job Sheet'!AE11="DVA Mesh",'Job Sheet'!BR11="750 x 2000",'Job Sheet'!AF11="Apo Grey"),1,"")</f>
        <v/>
      </c>
      <c r="YM5" s="73" t="str">
        <f>IF(AND('Job Sheet'!AE11="DVA Mesh",'Job Sheet'!BR11="750 x 2000",'Job Sheet'!AF11="Birch White"),1,"")</f>
        <v/>
      </c>
      <c r="YN5" s="73" t="str">
        <f>IF(AND('Job Sheet'!AE11="DVA Mesh",'Job Sheet'!BR11="750 x 2000",'Job Sheet'!AF11="Black"),1,"")</f>
        <v/>
      </c>
      <c r="YO5" s="73" t="str">
        <f>IF(AND('Job Sheet'!AE11="DVA Mesh",'Job Sheet'!BR11="750 x 2000",'Job Sheet'!AF11="Brown"),1,"")</f>
        <v/>
      </c>
      <c r="YP5" s="73" t="str">
        <f>IF(AND('Job Sheet'!AE11="DVA Mesh",'Job Sheet'!BR11="750 x 2000",'Job Sheet'!AF11="Deep Ocean"),1,"")</f>
        <v/>
      </c>
      <c r="YQ5" s="73" t="str">
        <f>IF(AND('Job Sheet'!AE11="DVA Mesh",'Job Sheet'!BR11="750 x 2000",'Job Sheet'!AF11="Jasper"),1,"")</f>
        <v/>
      </c>
      <c r="YR5" s="73" t="str">
        <f>IF(AND('Job Sheet'!AE11="DVA Mesh",'Job Sheet'!BR11="750 x 2000",'Job Sheet'!AF11="Paperbark"),1,"")</f>
        <v/>
      </c>
      <c r="YS5" s="73" t="str">
        <f>IF(AND('Job Sheet'!AE11="DVA Mesh",'Job Sheet'!BR11="750 x 2000",'Job Sheet'!AF11="Mist Green"),1,"")</f>
        <v/>
      </c>
      <c r="YT5" s="73" t="str">
        <f>IF(AND('Job Sheet'!AE11="DVA Mesh",'Job Sheet'!BR11="750 x 2000",'Job Sheet'!AF11="Primrose"),1,"")</f>
        <v/>
      </c>
      <c r="YU5" s="73" t="str">
        <f>IF(AND('Job Sheet'!AE11="DVA Mesh",'Job Sheet'!BR11="750 x 2000",'Job Sheet'!AF11="Ultra Silver"),1,"")</f>
        <v/>
      </c>
      <c r="YV5" s="73" t="str">
        <f>IF(AND('Job Sheet'!AE11="DVA Mesh",'Job Sheet'!BR11="750 x 2000",'Job Sheet'!AF11="Woodland Grey(Green Tone)"),1,"")</f>
        <v/>
      </c>
      <c r="YW5" s="73" t="str">
        <f>IF(AND('Job Sheet'!AE11="DVA Mesh",'Job Sheet'!BR11="750 x 2000",'Job Sheet'!AF11="Pearl White"),1,"")</f>
        <v/>
      </c>
      <c r="YX5" s="73" t="str">
        <f>IF(AND('Job Sheet'!AE11="DVA Mesh",'Job Sheet'!BR11="750 x 2000",'Job Sheet'!AF11="Monument"),1,"")</f>
        <v/>
      </c>
      <c r="YY5" s="73" t="str">
        <f>IF(AND('Job Sheet'!AE11="DVA Mesh",'Job Sheet'!BR11="750 x 2000",'Job Sheet'!AF11="Surfmist"),1,"")</f>
        <v/>
      </c>
      <c r="YZ5" s="73" t="str">
        <f>IF(AND('Job Sheet'!AE11="DVA Mesh",'Job Sheet'!BR11="750 x 2000",'Job Sheet'!AF11="Dune"),1,"")</f>
        <v/>
      </c>
      <c r="ZA5" s="73" t="str">
        <f>IF(AND('Job Sheet'!AE11="DVA Mesh",'Job Sheet'!BR11="750 x 2000",'Job Sheet'!AF11="Custom Powdercoat"),1,"")</f>
        <v/>
      </c>
      <c r="ZB5" s="73" t="str">
        <f>IF(AND('Job Sheet'!AE11="DVA Mesh",'Job Sheet'!BR11="825 x 2000",'Job Sheet'!AF11="Apo Grey"),1,"")</f>
        <v/>
      </c>
      <c r="ZC5" s="73" t="str">
        <f>IF(AND('Job Sheet'!AE11="DVA Mesh",'Job Sheet'!BR11="825 x 2000",'Job Sheet'!AF11="Birch White"),1,"")</f>
        <v/>
      </c>
      <c r="ZD5" s="73" t="str">
        <f>IF(AND('Job Sheet'!AE11="DVA Mesh",'Job Sheet'!BR11="825 x 2000",'Job Sheet'!AF11="Black"),1,"")</f>
        <v/>
      </c>
      <c r="ZE5" s="73" t="str">
        <f>IF(AND('Job Sheet'!AE11="DVA Mesh",'Job Sheet'!BR11="825 x 2000",'Job Sheet'!AF11="Brown"),1,"")</f>
        <v/>
      </c>
      <c r="ZF5" s="73" t="str">
        <f>IF(AND('Job Sheet'!AE11="DVA Mesh",'Job Sheet'!BR11="825 x 2000",'Job Sheet'!AF11="Deep Ocean"),1,"")</f>
        <v/>
      </c>
      <c r="ZG5" s="73" t="str">
        <f>IF(AND('Job Sheet'!AE11="DVA Mesh",'Job Sheet'!BR11="825 x 2000",'Job Sheet'!AF11="Jasper"),1,"")</f>
        <v/>
      </c>
      <c r="ZH5" s="73" t="str">
        <f>IF(AND('Job Sheet'!AE11="DVA Mesh",'Job Sheet'!BR11="825 x 2000",'Job Sheet'!AF11="Paperbark"),1,"")</f>
        <v/>
      </c>
      <c r="ZI5" s="73" t="str">
        <f>IF(AND('Job Sheet'!AE11="DVA Mesh",'Job Sheet'!BR11="825 x 2000",'Job Sheet'!AF11="Mist Green"),1,"")</f>
        <v/>
      </c>
      <c r="ZJ5" s="73" t="str">
        <f>IF(AND('Job Sheet'!AE11="DVA Mesh",'Job Sheet'!BR11="825 x 2000",'Job Sheet'!AF11="Primrose"),1,"")</f>
        <v/>
      </c>
      <c r="ZK5" s="73" t="str">
        <f>IF(AND('Job Sheet'!AE11="DVA Mesh",'Job Sheet'!BR11="825 x 2000",'Job Sheet'!AF11="Ultra Silver"),1,"")</f>
        <v/>
      </c>
      <c r="ZL5" s="73" t="str">
        <f>IF(AND('Job Sheet'!AE11="DVA Mesh",'Job Sheet'!BR11="825 x 2000",'Job Sheet'!AF11="Woodland Grey(Green Tone)"),1,"")</f>
        <v/>
      </c>
      <c r="ZM5" s="73" t="str">
        <f>IF(AND('Job Sheet'!AE11="DVA Mesh",'Job Sheet'!BR11="825 x 2000",'Job Sheet'!AF11="Pearl White"),1,"")</f>
        <v/>
      </c>
      <c r="ZN5" s="73" t="str">
        <f>IF(AND('Job Sheet'!AE11="DVA Mesh",'Job Sheet'!BR11="825 x 2000",'Job Sheet'!AF11="Monument"),1,"")</f>
        <v/>
      </c>
      <c r="ZO5" s="73" t="str">
        <f>IF(AND('Job Sheet'!AE11="DVA Mesh",'Job Sheet'!BR11="825 x 2000",'Job Sheet'!AF11="Surfmist"),1,"")</f>
        <v/>
      </c>
      <c r="ZP5" s="73" t="str">
        <f>IF(AND('Job Sheet'!AE11="DVA Mesh",'Job Sheet'!BR11="825 x 2000",'Job Sheet'!AF11="Dune"),1,"")</f>
        <v/>
      </c>
      <c r="ZQ5" s="73" t="str">
        <f>IF(AND('Job Sheet'!AE11="DVA Mesh",'Job Sheet'!BR11="825 x 2000",'Job Sheet'!AF11="Custom Powdercoat"),1,"")</f>
        <v/>
      </c>
      <c r="ZR5" s="73" t="str">
        <f>IF(AND('Job Sheet'!AE11="DVA Mesh",'Job Sheet'!BR11="900 x 2200",'Job Sheet'!AF11="Apo Grey"),1,"")</f>
        <v/>
      </c>
      <c r="ZS5" s="73" t="str">
        <f>IF(AND('Job Sheet'!AE11="DVA Mesh",'Job Sheet'!BR11="900 x 2200",'Job Sheet'!AF11="Birch White"),1,"")</f>
        <v/>
      </c>
      <c r="ZT5" s="73" t="str">
        <f>IF(AND('Job Sheet'!AE11="DVA Mesh",'Job Sheet'!BR11="900 x 2200",'Job Sheet'!AF11="Black"),1,"")</f>
        <v/>
      </c>
      <c r="ZU5" s="73" t="str">
        <f>IF(AND('Job Sheet'!AE11="DVA Mesh",'Job Sheet'!BR11="900 x 2200",'Job Sheet'!AF11="Brown"),1,"")</f>
        <v/>
      </c>
      <c r="ZV5" s="73" t="str">
        <f>IF(AND('Job Sheet'!AE11="DVA Mesh",'Job Sheet'!BR11="900 x 2200",'Job Sheet'!AF11="Deep Ocean"),1,"")</f>
        <v/>
      </c>
      <c r="ZW5" s="73" t="str">
        <f>IF(AND('Job Sheet'!AE11="DVA Mesh",'Job Sheet'!BR11="900 x 2200",'Job Sheet'!AF11="Jasper"),1,"")</f>
        <v/>
      </c>
      <c r="ZX5" s="73" t="str">
        <f>IF(AND('Job Sheet'!AE11="DVA Mesh",'Job Sheet'!BR11="900 x 2200",'Job Sheet'!AF11="Paperbark"),1,"")</f>
        <v/>
      </c>
      <c r="ZY5" s="73" t="str">
        <f>IF(AND('Job Sheet'!AE11="DVA Mesh",'Job Sheet'!BR11="900 x 2200",'Job Sheet'!AF11="Mist Green"),1,"")</f>
        <v/>
      </c>
      <c r="ZZ5" s="73" t="str">
        <f>IF(AND('Job Sheet'!AE11="DVA Mesh",'Job Sheet'!BR11="900 x 2200",'Job Sheet'!AF11="Primrose"),1,"")</f>
        <v/>
      </c>
      <c r="AAA5" s="73" t="str">
        <f>IF(AND('Job Sheet'!AE11="DVA Mesh",'Job Sheet'!BR11="900 x 2200",'Job Sheet'!AF11="Ultra Silver"),1,"")</f>
        <v/>
      </c>
      <c r="AAB5" s="73" t="str">
        <f>IF(AND('Job Sheet'!AE11="DVA Mesh",'Job Sheet'!BR11="900 x 2200",'Job Sheet'!AF11="Woodland Grey(Green Tone)"),1,"")</f>
        <v/>
      </c>
      <c r="AAC5" s="73" t="str">
        <f>IF(AND('Job Sheet'!AE11="DVA Mesh",'Job Sheet'!BR11="900 x 2200",'Job Sheet'!AF11="Pearl White"),1,"")</f>
        <v/>
      </c>
      <c r="AAD5" s="73" t="str">
        <f>IF(AND('Job Sheet'!AE11="DVA Mesh",'Job Sheet'!BR11="900 x 2200",'Job Sheet'!AF11="Monument"),1,"")</f>
        <v/>
      </c>
      <c r="AAE5" s="73" t="str">
        <f>IF(AND('Job Sheet'!AE11="DVA Mesh",'Job Sheet'!BR11="900 x 2200",'Job Sheet'!AF11="Surfmist"),1,"")</f>
        <v/>
      </c>
      <c r="AAF5" s="73" t="str">
        <f>IF(AND('Job Sheet'!AE11="DVA Mesh",'Job Sheet'!BR11="900 x 2200",'Job Sheet'!AF11="Dune"),1,"")</f>
        <v/>
      </c>
      <c r="AAG5" s="73" t="str">
        <f>IF(AND('Job Sheet'!AE11="DVA Mesh",'Job Sheet'!BR11="900 x 2200",'Job Sheet'!AF11="Custom Powdercoat"),1,"")</f>
        <v/>
      </c>
      <c r="AAH5" s="73" t="str">
        <f>IF(AND('Job Sheet'!AE11="DVA Mesh",'Job Sheet'!BR11="900 x 2400",'Job Sheet'!AF11="Apo Grey"),1,"")</f>
        <v/>
      </c>
      <c r="AAI5" s="73" t="str">
        <f>IF(AND('Job Sheet'!AE11="DVA Mesh",'Job Sheet'!BR11="900 x 2400",'Job Sheet'!AF11="Birch White"),1,"")</f>
        <v/>
      </c>
      <c r="AAJ5" s="73" t="str">
        <f>IF(AND('Job Sheet'!AE11="DVA Mesh",'Job Sheet'!BR11="900 x 2400",'Job Sheet'!AF11="Black"),1,"")</f>
        <v/>
      </c>
      <c r="AAK5" s="73" t="str">
        <f>IF(AND('Job Sheet'!AE11="DVA Mesh",'Job Sheet'!BR11="900 x 2400",'Job Sheet'!AF11="Brown"),1,"")</f>
        <v/>
      </c>
      <c r="AAL5" s="73" t="str">
        <f>IF(AND('Job Sheet'!AE11="DVA Mesh",'Job Sheet'!BR11="900 x 2400",'Job Sheet'!AF11="Deep Ocean"),1,"")</f>
        <v/>
      </c>
      <c r="AAM5" s="73" t="str">
        <f>IF(AND('Job Sheet'!AE11="DVA Mesh",'Job Sheet'!BR11="900 x 2400",'Job Sheet'!AF11="Jasper"),1,"")</f>
        <v/>
      </c>
      <c r="AAN5" s="73" t="str">
        <f>IF(AND('Job Sheet'!AE11="DVA Mesh",'Job Sheet'!BR11="900 x 2400",'Job Sheet'!AF11="Paperbark"),1,"")</f>
        <v/>
      </c>
      <c r="AAO5" s="73" t="str">
        <f>IF(AND('Job Sheet'!AE11="DVA Mesh",'Job Sheet'!BR11="900 x 2400",'Job Sheet'!AF11="Mist Green"),1,"")</f>
        <v/>
      </c>
      <c r="AAP5" s="73" t="str">
        <f>IF(AND('Job Sheet'!AE11="DVA Mesh",'Job Sheet'!BR11="900 x 2400",'Job Sheet'!AF11="Primrose"),1,"")</f>
        <v/>
      </c>
      <c r="AAQ5" s="73" t="str">
        <f>IF(AND('Job Sheet'!AE11="DVA Mesh",'Job Sheet'!BR11="900 x 2400",'Job Sheet'!AF11="Ultra Silver"),1,"")</f>
        <v/>
      </c>
      <c r="AAR5" s="73" t="str">
        <f>IF(AND('Job Sheet'!AE11="DVA Mesh",'Job Sheet'!BR11="900 x 2400",'Job Sheet'!AF11="Woodland Grey(Green Tone)"),1,"")</f>
        <v/>
      </c>
      <c r="AAS5" s="73" t="str">
        <f>IF(AND('Job Sheet'!AE11="DVA Mesh",'Job Sheet'!BR11="900 x 2400",'Job Sheet'!AF11="Pearl White"),1,"")</f>
        <v/>
      </c>
      <c r="AAT5" s="73" t="str">
        <f>IF(AND('Job Sheet'!AE11="DVA Mesh",'Job Sheet'!BR11="900 x 2400",'Job Sheet'!AF11="Monument"),1,"")</f>
        <v/>
      </c>
      <c r="AAU5" s="73" t="str">
        <f>IF(AND('Job Sheet'!AE11="DVA Mesh",'Job Sheet'!BR11="900 x 2400",'Job Sheet'!AF11="Surfmist"),1,"")</f>
        <v/>
      </c>
      <c r="AAV5" s="73" t="str">
        <f>IF(AND('Job Sheet'!AE11="DVA Mesh",'Job Sheet'!BR11="900 x 2400",'Job Sheet'!AF11="Dune"),1,"")</f>
        <v/>
      </c>
      <c r="AAW5" s="73" t="str">
        <f>IF(AND('Job Sheet'!AE11="DVA Mesh",'Job Sheet'!BR11="900 x 2400",'Job Sheet'!AF11="Custom Powdercoat"),1,"")</f>
        <v/>
      </c>
      <c r="AAX5" s="73" t="str">
        <f>IF(AND('Job Sheet'!AE11="DVA Mesh",'Job Sheet'!BR11="1200 x 2200",'Job Sheet'!AF11="Apo Grey"),1,"")</f>
        <v/>
      </c>
      <c r="AAY5" s="73" t="str">
        <f>IF(AND('Job Sheet'!AE11="DVA Mesh",'Job Sheet'!BR11="1200 x 2200",'Job Sheet'!AF11="Birch White"),1,"")</f>
        <v/>
      </c>
      <c r="AAZ5" s="73" t="str">
        <f>IF(AND('Job Sheet'!AE11="DVA Mesh",'Job Sheet'!BR11="1200 x 2200",'Job Sheet'!AF11="Black"),1,"")</f>
        <v/>
      </c>
      <c r="ABA5" s="73" t="str">
        <f>IF(AND('Job Sheet'!AE11="DVA Mesh",'Job Sheet'!BR11="1200 x 2200",'Job Sheet'!AF11="Brown"),1,"")</f>
        <v/>
      </c>
      <c r="ABB5" s="73" t="str">
        <f>IF(AND('Job Sheet'!AE11="DVA Mesh",'Job Sheet'!BR11="1200 x 2200",'Job Sheet'!AF11="Deep Ocean"),1,"")</f>
        <v/>
      </c>
      <c r="ABC5" s="73" t="str">
        <f>IF(AND('Job Sheet'!AE11="DVA Mesh",'Job Sheet'!BR11="1200 x 2200",'Job Sheet'!AF11="Jasper"),1,"")</f>
        <v/>
      </c>
      <c r="ABD5" s="73" t="str">
        <f>IF(AND('Job Sheet'!AE11="DVA Mesh",'Job Sheet'!BR11="1200 x 2200",'Job Sheet'!AF11="Paperbark"),1,"")</f>
        <v/>
      </c>
      <c r="ABE5" s="73" t="str">
        <f>IF(AND('Job Sheet'!AE11="DVA Mesh",'Job Sheet'!BR11="1200 x 2200",'Job Sheet'!AF11="Mist Green"),1,"")</f>
        <v/>
      </c>
      <c r="ABF5" s="73" t="str">
        <f>IF(AND('Job Sheet'!AE11="DVA Mesh",'Job Sheet'!BR11="1200 x 2200",'Job Sheet'!AF11="Primrose"),1,"")</f>
        <v/>
      </c>
      <c r="ABG5" s="73" t="str">
        <f>IF(AND('Job Sheet'!AE11="DVA Mesh",'Job Sheet'!BR11="1200 x 2200",'Job Sheet'!AF11="Ultra Silver"),1,"")</f>
        <v/>
      </c>
      <c r="ABH5" s="73" t="str">
        <f>IF(AND('Job Sheet'!AE11="DVA Mesh",'Job Sheet'!BR11="1200 x 2200",'Job Sheet'!AF11="Woodland Grey(Green Tone)"),1,"")</f>
        <v/>
      </c>
      <c r="ABI5" s="73" t="str">
        <f>IF(AND('Job Sheet'!AE11="DVA Mesh",'Job Sheet'!BR11="1200 x 2200",'Job Sheet'!AF11="Pearl White"),1,"")</f>
        <v/>
      </c>
      <c r="ABJ5" s="73" t="str">
        <f>IF(AND('Job Sheet'!AE11="DVA Mesh",'Job Sheet'!BR11="1200 x 2200",'Job Sheet'!AF11="Monument"),1,"")</f>
        <v/>
      </c>
      <c r="ABK5" s="73" t="str">
        <f>IF(AND('Job Sheet'!AE11="DVA Mesh",'Job Sheet'!BR11="1200 x 2200",'Job Sheet'!AF11="Surfmist"),1,"")</f>
        <v/>
      </c>
      <c r="ABL5" s="73" t="str">
        <f>IF(AND('Job Sheet'!AE11="DVA Mesh",'Job Sheet'!BR11="1200 x 2200",'Job Sheet'!AF11="Dune"),1,"")</f>
        <v/>
      </c>
      <c r="ABM5" s="73" t="str">
        <f>IF(AND('Job Sheet'!AE11="DVA Mesh",'Job Sheet'!BR11="1200 x 2200",'Job Sheet'!AF11="Custom Powdercoat"),1,"")</f>
        <v/>
      </c>
      <c r="ABN5" s="73" t="str">
        <f>IF(AND('Job Sheet'!AE11="DVA Mesh",'Job Sheet'!BR11="1200 x 2400",'Job Sheet'!AF11="Apo Grey"),1,"")</f>
        <v/>
      </c>
      <c r="ABO5" s="73" t="str">
        <f>IF(AND('Job Sheet'!AE11="DVA Mesh",'Job Sheet'!BR11="1200 x 2400",'Job Sheet'!AF11="Birch White"),1,"")</f>
        <v/>
      </c>
      <c r="ABP5" s="73" t="str">
        <f>IF(AND('Job Sheet'!AE11="DVA Mesh",'Job Sheet'!BR11="1200 x 2400",'Job Sheet'!AF11="Black"),1,"")</f>
        <v/>
      </c>
      <c r="ABQ5" s="73" t="str">
        <f>IF(AND('Job Sheet'!AE11="DVA Mesh",'Job Sheet'!BR11="1200 x 2400",'Job Sheet'!AF11="Brown"),1,"")</f>
        <v/>
      </c>
      <c r="ABR5" s="73" t="str">
        <f>IF(AND('Job Sheet'!AE11="DVA Mesh",'Job Sheet'!BR11="1200 x 2400",'Job Sheet'!AF11="Deep Ocean"),1,"")</f>
        <v/>
      </c>
      <c r="ABS5" s="73" t="str">
        <f>IF(AND('Job Sheet'!AE11="DVA Mesh",'Job Sheet'!BR11="1200 x 2400",'Job Sheet'!AF11="Jasper"),1,"")</f>
        <v/>
      </c>
      <c r="ABT5" s="73" t="str">
        <f>IF(AND('Job Sheet'!AE11="DVA Mesh",'Job Sheet'!BR11="1200 x 2400",'Job Sheet'!AF11="Paperbark"),1,"")</f>
        <v/>
      </c>
      <c r="ABU5" s="73" t="str">
        <f>IF(AND('Job Sheet'!AE11="DVA Mesh",'Job Sheet'!BR11="1200 x 2400",'Job Sheet'!AF11="Mist Green"),1,"")</f>
        <v/>
      </c>
      <c r="ABV5" s="73" t="str">
        <f>IF(AND('Job Sheet'!AE11="DVA Mesh",'Job Sheet'!BR11="1200 x 2400",'Job Sheet'!AF11="Primrose"),1,"")</f>
        <v/>
      </c>
      <c r="ABW5" s="73" t="str">
        <f>IF(AND('Job Sheet'!AE11="DVA Mesh",'Job Sheet'!BR11="1200 x 2400",'Job Sheet'!AF11="Ultra Silver"),1,"")</f>
        <v/>
      </c>
      <c r="ABX5" s="73" t="str">
        <f>IF(AND('Job Sheet'!AE11="DVA Mesh",'Job Sheet'!BR11="1200 x 2400",'Job Sheet'!AF11="Woodland Grey(Green Tone)"),1,"")</f>
        <v/>
      </c>
      <c r="ABY5" s="73" t="str">
        <f>IF(AND('Job Sheet'!AE11="DVA Mesh",'Job Sheet'!BR11="1200 x 2400",'Job Sheet'!AF11="Pearl White"),1,"")</f>
        <v/>
      </c>
      <c r="ABZ5" s="73" t="str">
        <f>IF(AND('Job Sheet'!AE11="DVA Mesh",'Job Sheet'!BR11="1200 x 2400",'Job Sheet'!AF11="Monument"),1,"")</f>
        <v/>
      </c>
      <c r="ACA5" s="73" t="str">
        <f>IF(AND('Job Sheet'!AE11="DVA Mesh",'Job Sheet'!BR11="1200 x 2400",'Job Sheet'!AF11="Surfmist"),1,"")</f>
        <v/>
      </c>
      <c r="ACB5" s="73" t="str">
        <f>IF(AND('Job Sheet'!AE11="DVA Mesh",'Job Sheet'!BR11="1200 x 2400",'Job Sheet'!AF11="Dune"),1,"")</f>
        <v/>
      </c>
      <c r="ACC5" s="73" t="str">
        <f>IF(AND('Job Sheet'!AE11="DVA Mesh",'Job Sheet'!BR11="1200 x 2400",'Job Sheet'!AF11="Custom Powdercoat"),1,"")</f>
        <v/>
      </c>
      <c r="ACD5" s="73" t="str">
        <f>IF('Job Sheet'!AE11="Fibreglass Mesh",CONCATENATE('Job Sheet'!BH11," x ",'Job Sheet'!BI11),"")</f>
        <v/>
      </c>
      <c r="ACE5" s="73" t="str">
        <f>IF('Job Sheet'!AE11="Aluminium Mesh",CONCATENATE('Job Sheet'!BH11," x ",'Job Sheet'!BI11),"")</f>
        <v/>
      </c>
      <c r="ACF5" s="73" t="str">
        <f>IF('Job Sheet'!AE11="Tuff Mesh",CONCATENATE('Job Sheet'!BH11," x ",'Job Sheet'!BI11),"")</f>
        <v/>
      </c>
      <c r="ACI5" s="73" t="str">
        <f>IF('Job Sheet'!AE11="Pet Mesh",CONCATENATE('Job Sheet'!BH11," x ",'Job Sheet'!BI11),"")</f>
        <v/>
      </c>
      <c r="ACJ5" s="73"/>
      <c r="ACK5" t="str">
        <f>IF(Guillotine!F12="SP13AB Apo Grey",1,"")</f>
        <v/>
      </c>
      <c r="ACL5" t="str">
        <f>IF(Guillotine!F12="SP13AB White Birch",1,"")</f>
        <v/>
      </c>
      <c r="ACM5" t="str">
        <f>IF(Guillotine!F12="SP13AB Black",1,"")</f>
        <v/>
      </c>
      <c r="ACN5" t="str">
        <f>IF(Guillotine!F12="SP13AB Brown",1,"")</f>
        <v/>
      </c>
      <c r="ACO5" t="str">
        <f>IF(Guillotine!F12="SP13AB Deep Ocean",1,"")</f>
        <v/>
      </c>
      <c r="ACP5" t="str">
        <f>IF(Guillotine!F12="SP13AB Jasper",1,"")</f>
        <v/>
      </c>
      <c r="ACQ5" t="str">
        <f>IF(Guillotine!F12="SP13AB Paperbark",1,"")</f>
        <v/>
      </c>
      <c r="ACR5" t="str">
        <f>IF(Guillotine!F12="SP13AB Mist Green",1,"")</f>
        <v/>
      </c>
      <c r="ACS5" t="str">
        <f>IF(Guillotine!F12="SP13AB Primrose",1,"")</f>
        <v/>
      </c>
      <c r="ACT5" t="str">
        <f>IF(Guillotine!F12="SP13AB Ultra Silver",1,"")</f>
        <v/>
      </c>
      <c r="ACU5" t="str">
        <f>IF(Guillotine!F12="SP13AB Woodland Grey(Green Tone)",1,"")</f>
        <v/>
      </c>
      <c r="ACV5" t="str">
        <f>IF(Guillotine!F12="SP13AB Pearl White",1,"")</f>
        <v/>
      </c>
      <c r="ACW5" t="str">
        <f>IF(Guillotine!F12="SP13AB Monument",1,"")</f>
        <v/>
      </c>
      <c r="ACX5" t="str">
        <f>IF(Guillotine!F12="SP13AB Surfmist",1,"")</f>
        <v/>
      </c>
      <c r="ACY5" t="str">
        <f>IF(Guillotine!F12="SP13AB Dune",1,"")</f>
        <v/>
      </c>
      <c r="ACZ5" t="str">
        <f>IF(Guillotine!F12="SP13AB Powdercoat",1,"")</f>
        <v/>
      </c>
      <c r="ADA5" t="str">
        <f>IF(Guillotine!F12="SP13BB Apo Grey",1,"")</f>
        <v/>
      </c>
      <c r="ADB5" t="str">
        <f>IF(Guillotine!F12="SP13BB White Birch",1,"")</f>
        <v/>
      </c>
      <c r="ADC5" t="str">
        <f>IF(Guillotine!F12="SP13BB Black",1,"")</f>
        <v/>
      </c>
      <c r="ADD5" t="str">
        <f>IF(Guillotine!F12="SP13BB Brown",1,"")</f>
        <v/>
      </c>
      <c r="ADE5" t="str">
        <f>IF(Guillotine!F12="SP13BB Deep Ocean",1,"")</f>
        <v/>
      </c>
      <c r="ADF5" t="str">
        <f>IF(Guillotine!F12="SP13BB Jasper",1,"")</f>
        <v/>
      </c>
      <c r="ADG5" t="str">
        <f>IF(Guillotine!F12="SP13BB Paperbark",1,"")</f>
        <v/>
      </c>
      <c r="ADH5" t="str">
        <f>IF(Guillotine!F12="SP13BB Mist Green",1,"")</f>
        <v/>
      </c>
      <c r="ADI5" t="str">
        <f>IF(Guillotine!F12="SP13BB Primrose",1,"")</f>
        <v/>
      </c>
      <c r="ADJ5" t="str">
        <f>IF(Guillotine!F12="SP13BB Ultra Silver",1,"")</f>
        <v/>
      </c>
      <c r="ADK5" t="str">
        <f>IF(Guillotine!F12="SP13BB Woodland Grey(Green Tone)",1,"")</f>
        <v/>
      </c>
      <c r="ADL5" t="str">
        <f>IF(Guillotine!F12="SP13BB Pearl White",1,"")</f>
        <v/>
      </c>
      <c r="ADM5" t="str">
        <f>IF(Guillotine!F12="SP13BB Monument",1,"")</f>
        <v/>
      </c>
      <c r="ADN5" t="str">
        <f>IF(Guillotine!F12="SP13BB Surfmist",1,"")</f>
        <v/>
      </c>
      <c r="ADO5" t="str">
        <f>IF(Guillotine!F12="SP13BB Dune",1,"")</f>
        <v/>
      </c>
      <c r="ADP5" t="str">
        <f>IF(Guillotine!F12="SP13BB Powdercoat",1,"")</f>
        <v/>
      </c>
      <c r="ADQ5" t="str">
        <f>IF(Guillotine!F12="SP14AB Apo Grey",1,"")</f>
        <v/>
      </c>
      <c r="ADR5" t="str">
        <f>IF(Guillotine!F12="SP14AB White Birch",1,"")</f>
        <v/>
      </c>
      <c r="ADS5" t="str">
        <f>IF(Guillotine!F12="SP14AB Black",1,"")</f>
        <v/>
      </c>
      <c r="ADT5" t="str">
        <f>IF(Guillotine!F12="SP14AB Brown",1,"")</f>
        <v/>
      </c>
      <c r="ADU5" t="str">
        <f>IF(Guillotine!F12="SP14AB Deep Ocean",1,"")</f>
        <v/>
      </c>
      <c r="ADV5" t="str">
        <f>IF(Guillotine!F12="SP14AB Jasper",1,"")</f>
        <v/>
      </c>
      <c r="ADW5" t="str">
        <f>IF(Guillotine!F12="SP14AB Paperbark",1,"")</f>
        <v/>
      </c>
      <c r="ADX5" t="str">
        <f>IF(Guillotine!F12="SP14AB Mist Green",1,"")</f>
        <v/>
      </c>
      <c r="ADY5" t="str">
        <f>IF(Guillotine!F12="SP14AB Primrose",1,"")</f>
        <v/>
      </c>
      <c r="ADZ5" t="str">
        <f>IF(Guillotine!F12="SP14AB Ultra Silver",1,"")</f>
        <v/>
      </c>
      <c r="AEA5" t="str">
        <f>IF(Guillotine!F12="SP14AB Woodland Grey(Green Tone)",1,"")</f>
        <v/>
      </c>
      <c r="AEB5" t="str">
        <f>IF(Guillotine!F12="SP14AB Pearl White",1,"")</f>
        <v/>
      </c>
      <c r="AEC5" t="str">
        <f>IF(Guillotine!F12="SP14AB Monument",1,"")</f>
        <v/>
      </c>
      <c r="AED5" t="str">
        <f>IF(Guillotine!F12="SP14AB Surfmist",1,"")</f>
        <v/>
      </c>
      <c r="AEE5" t="str">
        <f>IF(Guillotine!F12="SP14AB Dune",1,"")</f>
        <v/>
      </c>
      <c r="AEF5" t="str">
        <f>IF(Guillotine!F12="SP14AB Powdercoat",1,"")</f>
        <v/>
      </c>
      <c r="AEG5" t="str">
        <f>IF(Guillotine!F12="SP17AB Apo Grey",1,"")</f>
        <v/>
      </c>
      <c r="AEH5" t="str">
        <f>IF(Guillotine!F12="SP17AB White Birch",1,"")</f>
        <v/>
      </c>
      <c r="AEI5" t="str">
        <f>IF(Guillotine!F12="SP17AB Black",1,"")</f>
        <v/>
      </c>
      <c r="AEJ5" t="str">
        <f>IF(Guillotine!F12="SP17AB Brown",1,"")</f>
        <v/>
      </c>
      <c r="AEK5" t="str">
        <f>IF(Guillotine!F12="SP17AB Deep Ocean",1,"")</f>
        <v/>
      </c>
      <c r="AEL5" t="str">
        <f>IF(Guillotine!F12="SP17AB Jasper",1,"")</f>
        <v/>
      </c>
      <c r="AEM5" t="str">
        <f>IF(Guillotine!F12="SP17AB Paperbark",1,"")</f>
        <v/>
      </c>
      <c r="AEN5" t="str">
        <f>IF(Guillotine!F12="SP17AB Mist Green",1,"")</f>
        <v/>
      </c>
      <c r="AEO5" t="str">
        <f>IF(Guillotine!F12="SP17AB Primrose",1,"")</f>
        <v/>
      </c>
      <c r="AEP5" t="str">
        <f>IF(Guillotine!F12="SP17AB Ultra Silver",1,"")</f>
        <v/>
      </c>
      <c r="AEQ5" t="str">
        <f>IF(Guillotine!F12="SP17AB Woodland Grey(Green Tone)",1,"")</f>
        <v/>
      </c>
      <c r="AER5" t="str">
        <f>IF(Guillotine!F12="SP17AB Pearl White",1,"")</f>
        <v/>
      </c>
      <c r="AES5" t="str">
        <f>IF(Guillotine!F12="SP17AB Monument",1,"")</f>
        <v/>
      </c>
      <c r="AET5" t="str">
        <f>IF(Guillotine!F12="SP17AB Surfmist",1,"")</f>
        <v/>
      </c>
      <c r="AEU5" t="str">
        <f>IF(Guillotine!F12="SP17AB Dune",1,"")</f>
        <v/>
      </c>
      <c r="AEV5" t="str">
        <f>IF(Guillotine!F12="SP17AB Powdercoat",1,"")</f>
        <v/>
      </c>
      <c r="AEW5" t="str">
        <f>IF(Guillotine!F12="SP27AB Apo Grey",1,"")</f>
        <v/>
      </c>
      <c r="AEX5" t="str">
        <f>IF(Guillotine!F12="SP27AB White Birch",1,"")</f>
        <v/>
      </c>
      <c r="AEY5" t="str">
        <f>IF(Guillotine!F12="SP27AB Black",1,"")</f>
        <v/>
      </c>
      <c r="AEZ5" t="str">
        <f>IF(Guillotine!F12="SP27AB Brown",1,"")</f>
        <v/>
      </c>
      <c r="AFA5" t="str">
        <f>IF(Guillotine!F12="SP27AB Deep Ocean",1,"")</f>
        <v/>
      </c>
      <c r="AFB5" t="str">
        <f>IF(Guillotine!F12="SP27AB Jasper",1,"")</f>
        <v/>
      </c>
      <c r="AFC5" t="str">
        <f>IF(Guillotine!F12="SP27AB Paperbark",1,"")</f>
        <v/>
      </c>
      <c r="AFD5" t="str">
        <f>IF(Guillotine!F12="SP27AB Mist Green",1,"")</f>
        <v/>
      </c>
      <c r="AFE5" t="str">
        <f>IF(Guillotine!F12="SP27AB Primrose",1,"")</f>
        <v/>
      </c>
      <c r="AFF5" t="str">
        <f>IF(Guillotine!F12="SP27AB Ultra Silver",1,"")</f>
        <v/>
      </c>
      <c r="AFG5" t="str">
        <f>IF(Guillotine!F12="SP27AB Woodland Grey(Green Tone)",1,"")</f>
        <v/>
      </c>
      <c r="AFH5" t="str">
        <f>IF(Guillotine!F12="SP27AB Pearl White",1,"")</f>
        <v/>
      </c>
      <c r="AFI5" t="str">
        <f>IF(Guillotine!F12="SP27AB Monument",1,"")</f>
        <v/>
      </c>
      <c r="AFJ5" t="str">
        <f>IF(Guillotine!F12="SP27AB Surfmist",1,"")</f>
        <v/>
      </c>
      <c r="AFK5" t="str">
        <f>IF(Guillotine!F12="SP27AB Dune",1,"")</f>
        <v/>
      </c>
      <c r="AFL5" t="str">
        <f>IF(Guillotine!F12="SP27AB Powdercoat",1,"")</f>
        <v/>
      </c>
      <c r="AFM5" t="str">
        <f>IF(Guillotine!F12="SP29AB Apo Grey",1,"")</f>
        <v/>
      </c>
      <c r="AFN5" t="str">
        <f>IF(Guillotine!F12="SP29AB White Birch",1,"")</f>
        <v/>
      </c>
      <c r="AFO5" t="str">
        <f>IF(Guillotine!F12="SP29AB Black",1,"")</f>
        <v/>
      </c>
      <c r="AFP5" t="str">
        <f>IF(Guillotine!F12="SP29AB Brown",1,"")</f>
        <v/>
      </c>
      <c r="AFQ5" t="str">
        <f>IF(Guillotine!F12="SP29AB Deep Ocean",1,"")</f>
        <v/>
      </c>
      <c r="AFR5" t="str">
        <f>IF(Guillotine!F12="SP29AB Jasper",1,"")</f>
        <v/>
      </c>
      <c r="AFS5" t="str">
        <f>IF(Guillotine!F12="SP29AB Paperbark",1,"")</f>
        <v/>
      </c>
      <c r="AFT5" t="str">
        <f>IF(Guillotine!F12="SP29AB Mist Green",1,"")</f>
        <v/>
      </c>
      <c r="AFU5" t="str">
        <f>IF(Guillotine!F12="SP29AB Primrose",1,"")</f>
        <v/>
      </c>
      <c r="AFV5" t="str">
        <f>IF(Guillotine!F12="SP29AB Ultra Silver",1,"")</f>
        <v/>
      </c>
      <c r="AFW5" t="str">
        <f>IF(Guillotine!F12="SP29AB Woodland Grey(Green Tone)",1,"")</f>
        <v/>
      </c>
      <c r="AFX5" t="str">
        <f>IF(Guillotine!F12="SP29AB Pearl White",1,"")</f>
        <v/>
      </c>
      <c r="AFY5" t="str">
        <f>IF(Guillotine!F12="SP29AB Monument",1,"")</f>
        <v/>
      </c>
      <c r="AFZ5" t="str">
        <f>IF(Guillotine!F12="SP29AB Surfmist",1,"")</f>
        <v/>
      </c>
      <c r="AGA5" t="str">
        <f>IF(Guillotine!F12="SP29AB Dune",1,"")</f>
        <v/>
      </c>
      <c r="AGB5" t="str">
        <f>IF(Guillotine!F12="SP29AB Powdercoat",1,"")</f>
        <v/>
      </c>
      <c r="AGC5" t="str">
        <f>IF(Guillotine!F12="SP34AB Apo Grey",1,"")</f>
        <v/>
      </c>
      <c r="AGD5" t="str">
        <f>IF(Guillotine!F12="SP34AB White Birch",1,"")</f>
        <v/>
      </c>
      <c r="AGE5" t="str">
        <f>IF(Guillotine!F12="SP34AB Black",1,"")</f>
        <v/>
      </c>
      <c r="AGF5" t="str">
        <f>IF(Guillotine!F12="SP34AB Brown",1,"")</f>
        <v/>
      </c>
      <c r="AGG5" t="str">
        <f>IF(Guillotine!F12="SP34AB Deep Ocean",1,"")</f>
        <v/>
      </c>
      <c r="AGH5" t="str">
        <f>IF(Guillotine!F12="SP34AB Jasper",1,"")</f>
        <v/>
      </c>
      <c r="AGI5" t="str">
        <f>IF(Guillotine!F12="SP34AB Paperbark",1,"")</f>
        <v/>
      </c>
      <c r="AGJ5" t="str">
        <f>IF(Guillotine!F12="SP34AB Mist Green",1,"")</f>
        <v/>
      </c>
      <c r="AGK5" t="str">
        <f>IF(Guillotine!F12="SP34AB Primrose",1,"")</f>
        <v/>
      </c>
      <c r="AGL5" t="str">
        <f>IF(Guillotine!F12="SP34AB Ultra Silver",1,"")</f>
        <v/>
      </c>
      <c r="AGM5" t="str">
        <f>IF(Guillotine!F12="SP34AB Woodland Grey(Green Tone)",1,"")</f>
        <v/>
      </c>
      <c r="AGN5" t="str">
        <f>IF(Guillotine!F12="SP34AB Pearl White",1,"")</f>
        <v/>
      </c>
      <c r="AGO5" t="str">
        <f>IF(Guillotine!F12="SP34AB Monument",1,"")</f>
        <v/>
      </c>
      <c r="AGP5" t="str">
        <f>IF(Guillotine!F12="SP34AB Surfmist",1,"")</f>
        <v/>
      </c>
      <c r="AGQ5" t="str">
        <f>IF(Guillotine!F12="SP34AB Dune",1,"")</f>
        <v/>
      </c>
      <c r="AGR5" t="str">
        <f>IF(Guillotine!F12="SP34AB Powdercoat",1,"")</f>
        <v/>
      </c>
      <c r="AGS5" t="str">
        <f>IF(Guillotine!F12="SP37AB Apo Grey",1,"")</f>
        <v/>
      </c>
      <c r="AGT5" t="str">
        <f>IF(Guillotine!F12="SP37AB White Birch",1,"")</f>
        <v/>
      </c>
      <c r="AGU5" t="str">
        <f>IF(Guillotine!F12="SP37AB Black",1,"")</f>
        <v/>
      </c>
      <c r="AGV5" t="str">
        <f>IF(Guillotine!F12="SP37AB Brown",1,"")</f>
        <v/>
      </c>
      <c r="AGW5" t="str">
        <f>IF(Guillotine!F12="SP37AB Deep Ocean",1,"")</f>
        <v/>
      </c>
      <c r="AGX5" t="str">
        <f>IF(Guillotine!F12="SP37AB Jasper",1,"")</f>
        <v/>
      </c>
      <c r="AGY5" t="str">
        <f>IF(Guillotine!F12="SP37AB Paperbark",1,"")</f>
        <v/>
      </c>
      <c r="AGZ5" t="str">
        <f>IF(Guillotine!F12="SP37AB Mist Green",1,"")</f>
        <v/>
      </c>
      <c r="AHA5" t="str">
        <f>IF(Guillotine!F12="SP37AB Primrose",1,"")</f>
        <v/>
      </c>
      <c r="AHB5" t="str">
        <f>IF(Guillotine!F12="SP37AB Ultra Silver",1,"")</f>
        <v/>
      </c>
      <c r="AHC5" t="str">
        <f>IF(Guillotine!F12="SP37AB Woodland Grey(Green Tone)",1,"")</f>
        <v/>
      </c>
      <c r="AHD5" t="str">
        <f>IF(Guillotine!F12="SP37AB Pearl White",1,"")</f>
        <v/>
      </c>
      <c r="AHE5" t="str">
        <f>IF(Guillotine!F12="SP37AB Monument",1,"")</f>
        <v/>
      </c>
      <c r="AHF5" t="str">
        <f>IF(Guillotine!F12="SP37AB Surfmist",1,"")</f>
        <v/>
      </c>
      <c r="AHG5" t="str">
        <f>IF(Guillotine!F12="SP37AB Dune",1,"")</f>
        <v/>
      </c>
      <c r="AHH5" t="str">
        <f>IF(Guillotine!F12="SP37AB Powdercoat",1,"")</f>
        <v/>
      </c>
      <c r="AHI5" t="str">
        <f>IF(Guillotine!F12="SP52 Apo Grey",1,"")</f>
        <v/>
      </c>
      <c r="AHJ5" t="str">
        <f>IF(Guillotine!F12="SP52 White Birch",1,"")</f>
        <v/>
      </c>
      <c r="AHK5" t="str">
        <f>IF(Guillotine!F12="SP52 Black",1,"")</f>
        <v/>
      </c>
      <c r="AHL5" t="str">
        <f>IF(Guillotine!F12="SP52 Brown",1,"")</f>
        <v/>
      </c>
      <c r="AHM5" t="str">
        <f>IF(Guillotine!F12="SP52 Deep Ocean",1,"")</f>
        <v/>
      </c>
      <c r="AHN5" t="str">
        <f>IF(Guillotine!F12="SP52 Jasper",1,"")</f>
        <v/>
      </c>
      <c r="AHO5" t="str">
        <f>IF(Guillotine!F12="SP52 Paperbark",1,"")</f>
        <v/>
      </c>
      <c r="AHP5" t="str">
        <f>IF(Guillotine!F12="SP52 Mist Green",1,"")</f>
        <v/>
      </c>
      <c r="AHQ5" t="str">
        <f>IF(Guillotine!F12="SP52 Primrose",1,"")</f>
        <v/>
      </c>
      <c r="AHR5" t="str">
        <f>IF(Guillotine!F12="SP52 Ultra Silver",1,"")</f>
        <v/>
      </c>
      <c r="AHS5" t="str">
        <f>IF(Guillotine!F12="SP52 Woodland Grey(Green Tone)",1,"")</f>
        <v/>
      </c>
      <c r="AHT5" t="str">
        <f>IF(Guillotine!F12="SP52 Pearl White",1,"")</f>
        <v/>
      </c>
      <c r="AHU5" t="str">
        <f>IF(Guillotine!F12="SP52 Monument",1,"")</f>
        <v/>
      </c>
      <c r="AHV5" t="str">
        <f>IF(Guillotine!F12="SP52 Surfmist",1,"")</f>
        <v/>
      </c>
      <c r="AHW5" t="str">
        <f>IF(Guillotine!F12="SP52 Dune",1,"")</f>
        <v/>
      </c>
      <c r="AHX5" t="str">
        <f>IF(Guillotine!F12="SP52 Powdercoat",1,"")</f>
        <v/>
      </c>
      <c r="AHY5" t="str">
        <f>IF(Guillotine!F12="SP53 Apo Grey",1,"")</f>
        <v/>
      </c>
      <c r="AHZ5" t="str">
        <f>IF(Guillotine!F12="SP53 White Birch",1,"")</f>
        <v/>
      </c>
      <c r="AIA5" t="str">
        <f>IF(Guillotine!F12="SP53 Black",1,"")</f>
        <v/>
      </c>
      <c r="AIB5" t="str">
        <f>IF(Guillotine!F12="SP53 Brown",1,"")</f>
        <v/>
      </c>
      <c r="AIC5" t="str">
        <f>IF(Guillotine!F12="SP53 Deep Ocean",1,"")</f>
        <v/>
      </c>
      <c r="AID5" t="str">
        <f>IF(Guillotine!F12="SP53 Jasper",1,"")</f>
        <v/>
      </c>
      <c r="AIE5" t="str">
        <f>IF(Guillotine!F12="SP53 Paperbark",1,"")</f>
        <v/>
      </c>
      <c r="AIF5" t="str">
        <f>IF(Guillotine!F12="SP53 Mist Green",1,"")</f>
        <v/>
      </c>
      <c r="AIG5" t="str">
        <f>IF(Guillotine!F12="SP53 Primrose",1,"")</f>
        <v/>
      </c>
      <c r="AIH5" t="str">
        <f>IF(Guillotine!F12="SP53 Ultra Silver",1,"")</f>
        <v/>
      </c>
      <c r="AII5" t="str">
        <f>IF(Guillotine!F12="SP53 Woodland Grey(Green Tone)",1,"")</f>
        <v/>
      </c>
      <c r="AIJ5" t="str">
        <f>IF(Guillotine!F12="SP53 Pearl White",1,"")</f>
        <v/>
      </c>
      <c r="AIK5" t="str">
        <f>IF(Guillotine!F12="SP53 Monument",1,"")</f>
        <v/>
      </c>
      <c r="AIL5" t="str">
        <f>IF(Guillotine!F12="SP53 Surfmist",1,"")</f>
        <v/>
      </c>
      <c r="AIM5" t="str">
        <f>IF(Guillotine!F12="SP53 Dune",1,"")</f>
        <v/>
      </c>
      <c r="AIN5" t="str">
        <f>IF(Guillotine!F12="SP53 Powdercoat",1,"")</f>
        <v/>
      </c>
      <c r="AIO5" t="str">
        <f>IF(Guillotine!F12="SP55 Apo Grey",1,"")</f>
        <v/>
      </c>
      <c r="AIP5" t="str">
        <f>IF(Guillotine!F12="SP55 White Birch",1,"")</f>
        <v/>
      </c>
      <c r="AIQ5" t="str">
        <f>IF(Guillotine!F12="SP55 Black",1,"")</f>
        <v/>
      </c>
      <c r="AIR5" t="str">
        <f>IF(Guillotine!F12="SP55 Brown",1,"")</f>
        <v/>
      </c>
      <c r="AIS5" t="str">
        <f>IF(Guillotine!F12="SP55 Deep Ocean",1,"")</f>
        <v/>
      </c>
      <c r="AIT5" t="str">
        <f>IF(Guillotine!F12="SP55 Jasper",1,"")</f>
        <v/>
      </c>
      <c r="AIU5" t="str">
        <f>IF(Guillotine!F12="SP55 Paperbark",1,"")</f>
        <v/>
      </c>
      <c r="AIV5" t="str">
        <f>IF(Guillotine!F12="SP55 Mist Green",1,"")</f>
        <v/>
      </c>
      <c r="AIW5" t="str">
        <f>IF(Guillotine!F12="SP55 Primrose",1,"")</f>
        <v/>
      </c>
      <c r="AIX5" t="str">
        <f>IF(Guillotine!F12="SP55 Ultra Silver",1,"")</f>
        <v/>
      </c>
      <c r="AIY5" t="str">
        <f>IF(Guillotine!F12="SP55 Woodland Grey(Green Tone)",1,"")</f>
        <v/>
      </c>
      <c r="AIZ5" t="str">
        <f>IF(Guillotine!F12="SP55 Pearl White",1,"")</f>
        <v/>
      </c>
      <c r="AJA5" t="str">
        <f>IF(Guillotine!F12="SP55 Monument",1,"")</f>
        <v/>
      </c>
      <c r="AJB5" t="str">
        <f>IF(Guillotine!F12="SP55 Surfmist",1,"")</f>
        <v/>
      </c>
      <c r="AJC5" t="str">
        <f>IF(Guillotine!F12="SP55 Dune",1,"")</f>
        <v/>
      </c>
      <c r="AJD5" t="str">
        <f>IF(Guillotine!F12="SP55 Powdercoat",1,"")</f>
        <v/>
      </c>
      <c r="AJE5" t="str">
        <f>IF(Guillotine!F12="SP56 Apo Grey",1,"")</f>
        <v/>
      </c>
      <c r="AJF5" t="str">
        <f>IF(Guillotine!F12="SP56 White Birch",1,"")</f>
        <v/>
      </c>
      <c r="AJG5" t="str">
        <f>IF(Guillotine!F12="SP56 Black",1,"")</f>
        <v/>
      </c>
      <c r="AJH5" t="str">
        <f>IF(Guillotine!F12="SP56 Brown",1,"")</f>
        <v/>
      </c>
      <c r="AJI5" t="str">
        <f>IF(Guillotine!F12="SP56 Deep Ocean",1,"")</f>
        <v/>
      </c>
      <c r="AJJ5" t="str">
        <f>IF(Guillotine!F12="SP56 Jasper",1,"")</f>
        <v/>
      </c>
      <c r="AJK5" t="str">
        <f>IF(Guillotine!F12="SP56 Paperbark",1,"")</f>
        <v/>
      </c>
      <c r="AJL5" t="str">
        <f>IF(Guillotine!F12="SP56 Mist Green",1,"")</f>
        <v/>
      </c>
      <c r="AJM5" t="str">
        <f>IF(Guillotine!F12="SP56 Primrose",1,"")</f>
        <v/>
      </c>
      <c r="AJN5" t="str">
        <f>IF(Guillotine!F12="SP56 Ultra Silver",1,"")</f>
        <v/>
      </c>
      <c r="AJO5" t="str">
        <f>IF(Guillotine!F12="SP56 Woodland Grey(Green Tone)",1,"")</f>
        <v/>
      </c>
      <c r="AJP5" t="str">
        <f>IF(Guillotine!F12="SP56 Pearl White",1,"")</f>
        <v/>
      </c>
      <c r="AJQ5" t="str">
        <f>IF(Guillotine!F12="SP56 Monument",1,"")</f>
        <v/>
      </c>
      <c r="AJR5" t="str">
        <f>IF(Guillotine!F12="SP56 Surfmist",1,"")</f>
        <v/>
      </c>
      <c r="AJS5" t="str">
        <f>IF(Guillotine!F12="SP56 Dune",1,"")</f>
        <v/>
      </c>
      <c r="AJT5" t="str">
        <f>IF(Guillotine!F12="SP56 Powdercoat",1,"")</f>
        <v/>
      </c>
      <c r="AJU5" t="str">
        <f>IF(Guillotine!F12="SP65 Apo Grey",1,"")</f>
        <v/>
      </c>
      <c r="AJV5" t="str">
        <f>IF(Guillotine!F12="SP65 White Birch",1,"")</f>
        <v/>
      </c>
      <c r="AJW5" t="str">
        <f>IF(Guillotine!F12="SP65 Black",1,"")</f>
        <v/>
      </c>
      <c r="AJX5" t="str">
        <f>IF(Guillotine!F12="SP65 Brown",1,"")</f>
        <v/>
      </c>
      <c r="AJY5" t="str">
        <f>IF(Guillotine!F12="SP65 Deep Ocean",1,"")</f>
        <v/>
      </c>
      <c r="AJZ5" t="str">
        <f>IF(Guillotine!F12="SP65 Jasper",1,"")</f>
        <v/>
      </c>
      <c r="AKA5" t="str">
        <f>IF(Guillotine!F12="SP65 Paperbark",1,"")</f>
        <v/>
      </c>
      <c r="AKB5" t="str">
        <f>IF(Guillotine!F12="SP65 Mist Green",1,"")</f>
        <v/>
      </c>
      <c r="AKC5" t="str">
        <f>IF(Guillotine!F12="SP65 Primrose",1,"")</f>
        <v/>
      </c>
      <c r="AKD5" t="str">
        <f>IF(Guillotine!F12="SP65 Ultra Silver",1,"")</f>
        <v/>
      </c>
      <c r="AKE5" t="str">
        <f>IF(Guillotine!F12="SP65 Woodland Grey(Green Tone)",1,"")</f>
        <v/>
      </c>
      <c r="AKF5" t="str">
        <f>IF(Guillotine!F12="SP65 Pearl White",1,"")</f>
        <v/>
      </c>
      <c r="AKG5" t="str">
        <f>IF(Guillotine!F12="SP65 Monument",1,"")</f>
        <v/>
      </c>
      <c r="AKH5" t="str">
        <f>IF(Guillotine!F12="SP65 Surfmist",1,"")</f>
        <v/>
      </c>
      <c r="AKI5" t="str">
        <f>IF(Guillotine!F12="SP65 Dune",1,"")</f>
        <v/>
      </c>
      <c r="AKJ5" t="str">
        <f>IF(Guillotine!F12="SP65 Powdercoat",1,"")</f>
        <v/>
      </c>
      <c r="AKK5" t="str">
        <f>IF(Guillotine!F12="SP72 Apo Grey",1,"")</f>
        <v/>
      </c>
      <c r="AKL5" t="str">
        <f>IF(Guillotine!F12="SP72 White Birch",1,"")</f>
        <v/>
      </c>
      <c r="AKM5" t="str">
        <f>IF(Guillotine!F12="SP72 Black",1,"")</f>
        <v/>
      </c>
      <c r="AKN5" t="str">
        <f>IF(Guillotine!F12="SP72 Brown",1,"")</f>
        <v/>
      </c>
      <c r="AKO5" t="str">
        <f>IF(Guillotine!F12="SP72 Deep Ocean",1,"")</f>
        <v/>
      </c>
      <c r="AKP5" t="str">
        <f>IF(Guillotine!F12="SP72 Jasper",1,"")</f>
        <v/>
      </c>
      <c r="AKQ5" t="str">
        <f>IF(Guillotine!F12="SP72 Paperbark",1,"")</f>
        <v/>
      </c>
      <c r="AKR5" t="str">
        <f>IF(Guillotine!F12="SP72 Mist Green",1,"")</f>
        <v/>
      </c>
      <c r="AKS5" t="str">
        <f>IF(Guillotine!F12="SP72 Primrose",1,"")</f>
        <v/>
      </c>
      <c r="AKT5" t="str">
        <f>IF(Guillotine!F12="SP72 Ultra Silver",1,"")</f>
        <v/>
      </c>
      <c r="AKU5" t="str">
        <f>IF(Guillotine!F12="SP72 Woodland Grey(Green Tone)",1,"")</f>
        <v/>
      </c>
      <c r="AKV5" t="str">
        <f>IF(Guillotine!F12="SP72 Pearl White",1,"")</f>
        <v/>
      </c>
      <c r="AKW5" t="str">
        <f>IF(Guillotine!F12="SP72 Monument",1,"")</f>
        <v/>
      </c>
      <c r="AKX5" t="str">
        <f>IF(Guillotine!F12="SP72 Surfmist",1,"")</f>
        <v/>
      </c>
      <c r="AKY5" t="str">
        <f>IF(Guillotine!F12="SP72 Dune",1,"")</f>
        <v/>
      </c>
      <c r="AKZ5" t="str">
        <f>IF(Guillotine!F12="SP72 Powdercoat",1,"")</f>
        <v/>
      </c>
      <c r="ALA5" t="str">
        <f>IF(Guillotine!F12="SP74 Apo Grey",1,"")</f>
        <v/>
      </c>
      <c r="ALB5" t="str">
        <f>IF(Guillotine!F12="SP74 White Birch",1,"")</f>
        <v/>
      </c>
      <c r="ALC5" t="str">
        <f>IF(Guillotine!F12="SP74 Black",1,"")</f>
        <v/>
      </c>
      <c r="ALD5" t="str">
        <f>IF(Guillotine!F12="SP74 Brown",1,"")</f>
        <v/>
      </c>
      <c r="ALE5" t="str">
        <f>IF(Guillotine!F12="SP74 Deep Ocean",1,"")</f>
        <v/>
      </c>
      <c r="ALF5" t="str">
        <f>IF(Guillotine!F12="SP74 Jasper",1,"")</f>
        <v/>
      </c>
      <c r="ALG5" t="str">
        <f>IF(Guillotine!F12="SP74 Paperbark",1,"")</f>
        <v/>
      </c>
      <c r="ALH5" t="str">
        <f>IF(Guillotine!F12="SP74 Mist Green",1,"")</f>
        <v/>
      </c>
      <c r="ALI5" t="str">
        <f>IF(Guillotine!F12="SP74 Primrose",1,"")</f>
        <v/>
      </c>
      <c r="ALJ5" t="str">
        <f>IF(Guillotine!F12="SP74 Ultra Silver",1,"")</f>
        <v/>
      </c>
      <c r="ALK5" t="str">
        <f>IF(Guillotine!F12="SP74 Woodland Grey(Green Tone)",1,"")</f>
        <v/>
      </c>
      <c r="ALL5" t="str">
        <f>IF(Guillotine!F12="SP74 Pearl White",1,"")</f>
        <v/>
      </c>
      <c r="ALM5" t="str">
        <f>IF(Guillotine!F12="SP74 Monument",1,"")</f>
        <v/>
      </c>
      <c r="ALN5" t="str">
        <f>IF(Guillotine!F12="SP74 Surfmist",1,"")</f>
        <v/>
      </c>
      <c r="ALO5" t="str">
        <f>IF(Guillotine!F12="SP74 Dune",1,"")</f>
        <v/>
      </c>
      <c r="ALP5" t="str">
        <f>IF(Guillotine!F12="SP74 Powdercoat",1,"")</f>
        <v/>
      </c>
      <c r="ALQ5" t="str">
        <f>IF(Guillotine!F12="SP78 Apo Grey",1,"")</f>
        <v/>
      </c>
      <c r="ALR5" t="str">
        <f>IF(Guillotine!F12="SP78 White Birch",1,"")</f>
        <v/>
      </c>
      <c r="ALS5" t="str">
        <f>IF(Guillotine!F12="SP78 Black",1,"")</f>
        <v/>
      </c>
      <c r="ALT5" t="str">
        <f>IF(Guillotine!F12="SP78 Brown",1,"")</f>
        <v/>
      </c>
      <c r="ALU5" t="str">
        <f>IF(Guillotine!F12="SP78 Deep Ocean",1,"")</f>
        <v/>
      </c>
      <c r="ALV5" t="str">
        <f>IF(Guillotine!F12="SP78 Jasper",1,"")</f>
        <v/>
      </c>
      <c r="ALW5" t="str">
        <f>IF(Guillotine!F12="SP78 Paperbark",1,"")</f>
        <v/>
      </c>
      <c r="ALX5" t="str">
        <f>IF(Guillotine!F12="SP78 Mist Green",1,"")</f>
        <v/>
      </c>
      <c r="ALY5" t="str">
        <f>IF(Guillotine!F12="SP78 Primrose",1,"")</f>
        <v/>
      </c>
      <c r="ALZ5" t="str">
        <f>IF(Guillotine!F12="SP78 Ultra Silver",1,"")</f>
        <v/>
      </c>
      <c r="AMA5" t="str">
        <f>IF(Guillotine!F12="SP78 Woodland Grey(Green Tone)",1,"")</f>
        <v/>
      </c>
      <c r="AMB5" t="str">
        <f>IF(Guillotine!F12="SP78 Pearl White",1,"")</f>
        <v/>
      </c>
      <c r="AMC5" t="str">
        <f>IF(Guillotine!F12="SP78 Monument",1,"")</f>
        <v/>
      </c>
      <c r="AMD5" t="str">
        <f>IF(Guillotine!F12="SP78 Surfmist",1,"")</f>
        <v/>
      </c>
      <c r="AME5" t="str">
        <f>IF(Guillotine!F12="SP78 Dune",1,"")</f>
        <v/>
      </c>
      <c r="AMF5" t="str">
        <f>IF(Guillotine!F12="SP78 Powdercoat",1,"")</f>
        <v/>
      </c>
    </row>
    <row r="6" spans="4:1020" ht="13.2" customHeight="1">
      <c r="D6" t="str">
        <f>IF(Data!AV12="","",CONCATENATE(Data!BC$5,".",Data!BD$5))</f>
        <v>12201.A</v>
      </c>
      <c r="E6">
        <f>IF(D6="","",Data!AW12)</f>
        <v>2</v>
      </c>
      <c r="F6" t="str">
        <f>IF(D6="","",Data!AV12)</f>
        <v>4d1b647f-4e40-4c45-af4e-578354363f51</v>
      </c>
      <c r="G6" t="str">
        <f t="shared" si="1" ref="G6:G14">IF(D6="","","Doors")</f>
        <v>Doors</v>
      </c>
      <c r="H6" t="str">
        <f>IF(D6="","",Data!BF$5)</f>
        <v>Leurs, Nigel</v>
      </c>
      <c r="I6" t="str">
        <f>IF(D6="","",Data!AX$5)</f>
        <v>Barrier Doors </v>
      </c>
      <c r="J6" s="73" t="str">
        <f>IF(AND('Mitred Cutting'!C12="Standard",'Mitred Cutting'!D12="APO Grey"),(('Job Sheet'!BH12+'Job Sheet'!BI12)*2),"")</f>
        <v/>
      </c>
      <c r="K6" s="73" t="str">
        <f>IF(AND('Mitred Cutting'!C12="Standard",'Mitred Cutting'!D12="White Birch"),(('Job Sheet'!BH12+'Job Sheet'!BI12)*2),"")</f>
        <v/>
      </c>
      <c r="L6" s="73" t="str">
        <f>IF(AND('Mitred Cutting'!C12="Standard",'Mitred Cutting'!D12="Black"),(('Job Sheet'!BH12+'Job Sheet'!BI12)*2),"")</f>
        <v/>
      </c>
      <c r="M6" s="73" t="str">
        <f>IF(AND('Mitred Cutting'!C12="Standard",'Mitred Cutting'!D12="Brown"),(('Job Sheet'!BH12+'Job Sheet'!BI12)*2),"")</f>
        <v/>
      </c>
      <c r="N6" s="73" t="str">
        <f>IF(AND('Mitred Cutting'!C12="Standard",'Mitred Cutting'!D12="Deep Ocean"),(('Job Sheet'!BH12+'Job Sheet'!BI12)*2),"")</f>
        <v/>
      </c>
      <c r="O6" s="73" t="str">
        <f>IF(AND('Mitred Cutting'!C12="Standard",'Mitred Cutting'!D12="Jasper"),(('Job Sheet'!BH12+'Job Sheet'!BI12)*2),"")</f>
        <v/>
      </c>
      <c r="P6" s="73">
        <f>IF(AND('Mitred Cutting'!C12="Standard",'Mitred Cutting'!D12="Paperbark"),(('Job Sheet'!BH12+'Job Sheet'!BI12)*2),"")</f>
        <v>5706</v>
      </c>
      <c r="Q6" s="73" t="str">
        <f>IF(AND('Mitred Cutting'!C12="Standard",'Mitred Cutting'!D12="Mist Green"),(('Job Sheet'!BH12+'Job Sheet'!BI12)*2),"")</f>
        <v/>
      </c>
      <c r="R6" s="73" t="str">
        <f>IF(AND('Mitred Cutting'!C12="Standard",'Mitred Cutting'!D12="Primrose"),(('Job Sheet'!BH12+'Job Sheet'!BI12)*2),"")</f>
        <v/>
      </c>
      <c r="S6" s="73" t="str">
        <f>IF(AND('Mitred Cutting'!C12="Standard",'Mitred Cutting'!D12="Ultra Silver"),(('Job Sheet'!BH12+'Job Sheet'!BI12)*2),"")</f>
        <v/>
      </c>
      <c r="T6" s="73" t="str">
        <f>IF(AND('Mitred Cutting'!C12="Standard",'Mitred Cutting'!D12="Woodland Grey(Green Tone)"),(('Job Sheet'!BH12+'Job Sheet'!BI12)*2),"")</f>
        <v/>
      </c>
      <c r="U6" s="73" t="str">
        <f>IF(AND('Mitred Cutting'!C12="Standard",'Mitred Cutting'!D12="Pearl White"),(('Job Sheet'!BH12+'Job Sheet'!BI12)*2),"")</f>
        <v/>
      </c>
      <c r="V6" s="73" t="str">
        <f>IF(AND('Mitred Cutting'!C12="Standard",'Mitred Cutting'!D12="Monument"),(('Job Sheet'!BH12+'Job Sheet'!BI12)*2),"")</f>
        <v/>
      </c>
      <c r="W6" s="73" t="str">
        <f>IF(AND('Mitred Cutting'!C12="Standard",'Mitred Cutting'!D12="Surfmist"),(('Job Sheet'!BH12+'Job Sheet'!BI12)*2),"")</f>
        <v/>
      </c>
      <c r="X6" s="73" t="str">
        <f>IF(AND('Mitred Cutting'!C12="Standard",'Mitred Cutting'!D12="Dune"),(('Job Sheet'!BH12+'Job Sheet'!BI12)*2),"")</f>
        <v/>
      </c>
      <c r="Y6" s="73" t="str">
        <f>IF(AND('Mitred Cutting'!C12="Standard",'Job Sheet'!AA12="Woodland Grey (Dulux)"),(('Job Sheet'!BH12+'Job Sheet'!BI12)*2),"")</f>
        <v/>
      </c>
      <c r="Z6" s="73" t="str">
        <f>IF(AND('Mitred Cutting'!C12="Standard",Data!BP12="Powdercoat",'Job Sheet'!AA12&lt;&gt;"Woodland Grey (Dulux)"),(('Job Sheet'!BH12+'Job Sheet'!BI12)*2),"")</f>
        <v/>
      </c>
      <c r="AA6" s="73" t="str">
        <f>IF(AND('Mitred Cutting'!C12="Invisi-Gard",'Mitred Cutting'!D12="APO Grey"),(('Job Sheet'!BH12+'Job Sheet'!BI12)*2),"")</f>
        <v/>
      </c>
      <c r="AB6" s="73" t="str">
        <f>IF(AND('Mitred Cutting'!C12="Invisi-Gard",'Mitred Cutting'!D12="White Birch"),(('Job Sheet'!BH12+'Job Sheet'!BI12)*2),"")</f>
        <v/>
      </c>
      <c r="AC6" s="73" t="str">
        <f>IF(AND('Mitred Cutting'!C12="Invisi-Gard",'Mitred Cutting'!D12="Black"),(('Job Sheet'!BH12+'Job Sheet'!BI12)*2),"")</f>
        <v/>
      </c>
      <c r="AD6" s="73" t="str">
        <f>IF(AND('Mitred Cutting'!C12="Invisi-Gard",'Mitred Cutting'!D12="Brown"),(('Job Sheet'!BH12+'Job Sheet'!BI12)*2),"")</f>
        <v/>
      </c>
      <c r="AE6" s="73" t="str">
        <f>IF(AND('Mitred Cutting'!C12="Invisi-Gard",'Mitred Cutting'!D12="Deep Ocean"),(('Job Sheet'!BH12+'Job Sheet'!BI12)*2),"")</f>
        <v/>
      </c>
      <c r="AF6" s="73" t="str">
        <f>IF(AND('Mitred Cutting'!C12="Invisi-Gard",'Mitred Cutting'!D12="Jasper"),(('Job Sheet'!BH12+'Job Sheet'!BI12)*2),"")</f>
        <v/>
      </c>
      <c r="AG6" s="73" t="str">
        <f>IF(AND('Mitred Cutting'!C12="Invisi-Gard",'Mitred Cutting'!D12="Paperbark"),(('Job Sheet'!BH12+'Job Sheet'!BI12)*2),"")</f>
        <v/>
      </c>
      <c r="AH6" s="73" t="str">
        <f>IF(AND('Mitred Cutting'!C12="Invisi-Gard",'Mitred Cutting'!D12="Mist Green"),(('Job Sheet'!BH12+'Job Sheet'!BI12)*2),"")</f>
        <v/>
      </c>
      <c r="AI6" s="73" t="str">
        <f>IF(AND('Mitred Cutting'!C12="Invisi-Gard",'Mitred Cutting'!D12="Primrose"),(('Job Sheet'!BH12+'Job Sheet'!BI12)*2),"")</f>
        <v/>
      </c>
      <c r="AJ6" s="73" t="str">
        <f>IF(AND('Mitred Cutting'!C12="Invisi-Gard",'Mitred Cutting'!D12="Ultra Silver"),(('Job Sheet'!BH12+'Job Sheet'!BI12)*2),"")</f>
        <v/>
      </c>
      <c r="AK6" s="73" t="str">
        <f>IF(AND('Mitred Cutting'!C12="Invisi-Gard",'Mitred Cutting'!D12="Woodland Grey(Green Tone)"),(('Job Sheet'!BH12+'Job Sheet'!BI12)*2),"")</f>
        <v/>
      </c>
      <c r="AL6" s="73" t="str">
        <f>IF(AND('Mitred Cutting'!C12="Invisi-Gard",'Mitred Cutting'!D12="Pearl White"),(('Job Sheet'!BH12+'Job Sheet'!BI12)*2),"")</f>
        <v/>
      </c>
      <c r="AM6" s="73" t="str">
        <f>IF(AND('Mitred Cutting'!C12="Invisi-Gard",'Mitred Cutting'!D12="Monument"),(('Job Sheet'!BH12+'Job Sheet'!BI12)*2),"")</f>
        <v/>
      </c>
      <c r="AN6" s="73" t="str">
        <f>IF(AND('Mitred Cutting'!C12="Invisi-Gard",'Mitred Cutting'!D12="Surfmist"),(('Job Sheet'!BH12+'Job Sheet'!BI12)*2),"")</f>
        <v/>
      </c>
      <c r="AO6" s="73" t="str">
        <f>IF(AND('Mitred Cutting'!C12="Invisi-Gard",'Mitred Cutting'!D12="Dune"),(('Job Sheet'!BH12+'Job Sheet'!BI12)*2),"")</f>
        <v/>
      </c>
      <c r="AP6" s="73" t="str">
        <f>IF(AND('Mitred Cutting'!C12="Invisi-Gard",'Job Sheet'!AA12="Woodland Grey (Dulux)"),(('Job Sheet'!BH12+'Job Sheet'!BI12)*2),"")</f>
        <v/>
      </c>
      <c r="AQ6" s="73" t="str">
        <f>IF(AND('Mitred Cutting'!C12="Invisi-Gard",Data!BP12="Powdercoat",'Job Sheet'!AA12&lt;&gt;"Woodland Grey (Dulux)"),(('Job Sheet'!BH12+'Job Sheet'!BI12)*2),"")</f>
        <v/>
      </c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  <c r="CK6" s="73"/>
      <c r="CL6" s="73"/>
      <c r="CM6" s="73"/>
      <c r="CN6" s="73"/>
      <c r="CO6" s="73"/>
      <c r="CP6" s="73"/>
      <c r="CQ6" s="73" t="str">
        <f>IF(D6="","",IF(AND('Job Sheet'!AO12="Yes",'Mitred Cutting'!I12="Short Leg Left, Right and Top",'Mitred Cutting'!J12="APO Grey"),(('Job Sheet'!E12*2+60)+'Job Sheet'!AP12+60),IF(AND('Mitred Cutting'!I12="Short Leg 1 Side",'Mitred Cutting'!J12="APO Grey"),'Job Sheet'!E12+30,IF(AND('Mitred Cutting'!I12="Short Leg Left, Right and Top",'Mitred Cutting'!J12="APO Grey"),(('Job Sheet'!E12*2+60)+'Job Sheet'!D12+60),""))))</f>
        <v/>
      </c>
      <c r="CR6" s="73" t="str">
        <f>IF(D6="","",IF(AND('Job Sheet'!AO12="Yes",'Mitred Cutting'!I12="Short Leg Left, Right and Top",'Mitred Cutting'!J12="White Birch"),(('Job Sheet'!E12*2+60)+'Job Sheet'!AP12+60),IF(AND('Mitred Cutting'!I12="Short Leg 1 Side",'Mitred Cutting'!J12="White Birch"),'Job Sheet'!E12+30,IF(AND('Mitred Cutting'!I12="Short Leg Left, Right and Top",'Mitred Cutting'!J12="White Birch"),(('Job Sheet'!E12*2+60)+'Job Sheet'!D12+60),""))))</f>
        <v/>
      </c>
      <c r="CS6" s="73" t="str">
        <f>IF(D6="","",IF(AND('Job Sheet'!AO12="Yes",'Mitred Cutting'!I12="Short Leg Left, Right and Top",'Mitred Cutting'!J12="Black"),(('Job Sheet'!E12*2+60)+'Job Sheet'!AP12+60),IF(AND('Mitred Cutting'!I12="Short Leg 1 Side",'Mitred Cutting'!J12="Black"),'Job Sheet'!E12+30,IF(AND('Mitred Cutting'!I12="Short Leg Left, Right and Top",'Mitred Cutting'!J12="Black"),(('Job Sheet'!E12*2+60)+'Job Sheet'!D12+60),""))))</f>
        <v/>
      </c>
      <c r="CT6" s="73" t="str">
        <f>IF(D6="","",IF(AND('Job Sheet'!AO12="Yes",'Mitred Cutting'!I12="Short Leg Left, Right and Top",'Mitred Cutting'!J12="Brown"),(('Job Sheet'!E12*2+60)+'Job Sheet'!AP12+60),IF(AND('Mitred Cutting'!I12="Short Leg 1 Side",'Mitred Cutting'!J12="Brown"),'Job Sheet'!E12+30,IF(AND('Mitred Cutting'!I12="Short Leg Left, Right and Top",'Mitred Cutting'!J12="Brown"),(('Job Sheet'!E12*2+60)+'Job Sheet'!D12+60),""))))</f>
        <v/>
      </c>
      <c r="CU6" s="73" t="str">
        <f>IF(D6="","",IF(AND('Job Sheet'!AO12="Yes",'Mitred Cutting'!I12="Short Leg Left, Right and Top",'Mitred Cutting'!J12="Deep Ocean"),(('Job Sheet'!E12*2+60)+'Job Sheet'!AP12+60),IF(AND('Mitred Cutting'!I12="Short Leg 1 Side",'Mitred Cutting'!J12="Deep Ocean"),'Job Sheet'!E12+30,IF(AND('Mitred Cutting'!I12="Short Leg Left, Right and Top",'Mitred Cutting'!J12="Deep Ocean"),(('Job Sheet'!E12*2+60)+'Job Sheet'!D12+60),""))))</f>
        <v/>
      </c>
      <c r="CV6" s="73" t="str">
        <f>IF(D6="","",IF(AND('Job Sheet'!AO12="Yes",'Mitred Cutting'!I12="Short Leg Left, Right and Top",'Mitred Cutting'!J12="Jasper"),(('Job Sheet'!E12*2+60)+'Job Sheet'!AP12+60),IF(AND('Mitred Cutting'!I12="Short Leg 1 Side",'Mitred Cutting'!J12="Jasper"),'Job Sheet'!E12+30,IF(AND('Mitred Cutting'!I12="Short Leg Left, Right and Top",'Mitred Cutting'!J12="Jasper"),(('Job Sheet'!E12*2+60)+'Job Sheet'!D12+60),""))))</f>
        <v/>
      </c>
      <c r="CW6" s="73" t="str">
        <f>IF(D6="","",IF(AND('Job Sheet'!AO12="Yes",'Mitred Cutting'!I12="Short Leg Left, Right and Top",'Mitred Cutting'!J12="Paperbark"),(('Job Sheet'!E12*2+60)+'Job Sheet'!AP12+60),IF(AND('Mitred Cutting'!I12="Short Leg 1 Side",'Mitred Cutting'!J12="Paperbark"),'Job Sheet'!E12+30,IF(AND('Mitred Cutting'!I12="Short Leg Left, Right and Top",'Mitred Cutting'!J12="Paperbark"),(('Job Sheet'!E12*2+60)+'Job Sheet'!D12+60),""))))</f>
        <v/>
      </c>
      <c r="CX6" s="73" t="str">
        <f>IF(D6="","",IF(AND('Job Sheet'!AO12="Yes",'Mitred Cutting'!I12="Short Leg Left, Right and Top",'Mitred Cutting'!J12="Mist Green"),(('Job Sheet'!E12*2+60)+'Job Sheet'!AP12+60),IF(AND('Mitred Cutting'!I12="Short Leg 1 Side",'Mitred Cutting'!J12="Mist Green"),'Job Sheet'!E12+30,IF(AND('Mitred Cutting'!I12="Short Leg Left, Right and Top",'Mitred Cutting'!J12="Mist Green"),(('Job Sheet'!E12*2+60)+'Job Sheet'!D12+60),""))))</f>
        <v/>
      </c>
      <c r="CY6" s="73" t="str">
        <f>IF(D6="","",IF(AND('Job Sheet'!AO12="Yes",'Mitred Cutting'!I12="Short Leg Left, Right and Top",'Mitred Cutting'!J12="Primrose"),(('Job Sheet'!E12*2+60)+'Job Sheet'!AP12+60),IF(AND('Mitred Cutting'!I12="Short Leg 1 Side",'Mitred Cutting'!J12="Primrose"),'Job Sheet'!E12+30,IF(AND('Mitred Cutting'!I12="Short Leg Left, Right and Top",'Mitred Cutting'!J12="Primrose"),(('Job Sheet'!E12*2+60)+'Job Sheet'!D12+60),""))))</f>
        <v/>
      </c>
      <c r="CZ6" s="73" t="str">
        <f>IF(D6="","",IF(AND('Job Sheet'!AO12="Yes",'Mitred Cutting'!I12="Short Leg Left, Right and Top",'Mitred Cutting'!J12="Ultra Silver"),(('Job Sheet'!E12*2+60)+'Job Sheet'!AP12+60),IF(AND('Mitred Cutting'!I12="Short Leg 1 Side",'Mitred Cutting'!J12="Ultra Silver"),'Job Sheet'!E12+30,IF(AND('Mitred Cutting'!I12="Short Leg Left, Right and Top",'Mitred Cutting'!J12="Ultra Silver"),(('Job Sheet'!E12*2+60)+'Job Sheet'!D12+60),""))))</f>
        <v/>
      </c>
      <c r="DA6" s="73" t="str">
        <f>IF(D6="","",IF(AND('Job Sheet'!AO12="Yes",'Mitred Cutting'!I12="Short Leg Left, Right and Top",'Mitred Cutting'!J12="Woodland Grey(Green Tone)"),(('Job Sheet'!E12*2+60)+'Job Sheet'!AP12+60),IF(AND('Mitred Cutting'!I12="Short Leg 1 Side",'Mitred Cutting'!J12="Woodland Grey(Green Tone)"),'Job Sheet'!E12+30,IF(AND('Mitred Cutting'!I12="Short Leg Left, Right and Top",'Mitred Cutting'!J12="Woodland Grey(Green Tone)"),(('Job Sheet'!E12*2+60)+'Job Sheet'!D12+60),""))))</f>
        <v/>
      </c>
      <c r="DB6" s="73" t="str">
        <f>IF(D6="","",IF(AND('Job Sheet'!AO12="Yes",'Mitred Cutting'!I12="Short Leg Left, Right and Top",'Mitred Cutting'!J12="Pearl White"),(('Job Sheet'!E12*2+60)+'Job Sheet'!AP12+60),IF(AND('Mitred Cutting'!I12="Short Leg 1 Side",'Mitred Cutting'!J12="Pearl White"),'Job Sheet'!E12+30,IF(AND('Mitred Cutting'!I12="Short Leg Left, Right and Top",'Mitred Cutting'!J12="Pearl White"),(('Job Sheet'!E12*2+60)+'Job Sheet'!D12+60),""))))</f>
        <v/>
      </c>
      <c r="DC6" s="73" t="str">
        <f>IF(D6="","",IF(AND('Job Sheet'!AO12="Yes",'Mitred Cutting'!I12="Short Leg Left, Right and Top",'Mitred Cutting'!J12="Monument"),(('Job Sheet'!E12*2+60)+'Job Sheet'!AP12+60),IF(AND('Mitred Cutting'!I12="Short Leg 1 Side",'Mitred Cutting'!J12="Monument"),'Job Sheet'!E12+30,IF(AND('Mitred Cutting'!I12="Short Leg Left, Right and Top",'Mitred Cutting'!J12="Monument"),(('Job Sheet'!E12*2+60)+'Job Sheet'!D12+60),""))))</f>
        <v/>
      </c>
      <c r="DD6" s="73" t="str">
        <f>IF(D6="","",IF(AND('Job Sheet'!AO12="Yes",'Mitred Cutting'!I12="Short Leg Left, Right and Top",'Mitred Cutting'!J12="Surfmist"),(('Job Sheet'!E12*2+60)+'Job Sheet'!AP12+60),IF(AND('Mitred Cutting'!I12="Short Leg 1 Side",'Mitred Cutting'!J12="Surfmist"),'Job Sheet'!E12+30,IF(AND('Mitred Cutting'!I12="Short Leg Left, Right and Top",'Mitred Cutting'!J12="Surfmist"),(('Job Sheet'!E12*2+60)+'Job Sheet'!D12+60),""))))</f>
        <v/>
      </c>
      <c r="DE6" s="73" t="str">
        <f>IF(D6="","",IF(AND('Job Sheet'!AO12="Yes",'Mitred Cutting'!I12="Short Leg Left, Right and Top",'Mitred Cutting'!J12="Dune"),(('Job Sheet'!E12*2+60)+'Job Sheet'!AP12+60),IF(AND('Mitred Cutting'!I12="Short Leg 1 Side",'Mitred Cutting'!J12="Dune"),'Job Sheet'!E12+30,IF(AND('Mitred Cutting'!I12="Short Leg Left, Right and Top",'Mitred Cutting'!J12="Dune"),(('Job Sheet'!E12*2+60)+'Job Sheet'!D12+60),""))))</f>
        <v/>
      </c>
      <c r="DG6" s="73" t="str">
        <f>IF(D6="","",IF(AND('Job Sheet'!AO12="Yes",'Mitred Cutting'!I12="Short Leg Left, Right and Top",Data!BP12="Powdercoat"),(('Job Sheet'!E12*2+60)+'Job Sheet'!AP12+60),IF(AND('Mitred Cutting'!I12="Short Leg 1 Side",Data!BP12="Powdercoat"),'Job Sheet'!E12+30,IF(AND('Mitred Cutting'!I12="Short Leg Left, Right and Top",Data!BP12="Powdercoat"),(('Job Sheet'!E12*2+60)+'Job Sheet'!D12+60),""))))</f>
        <v/>
      </c>
      <c r="DH6" s="73" t="str">
        <f>IF(D6="","",IF(AND('Job Sheet'!AO12="Yes",'Mitred Cutting'!I12="Long Leg Left, Right and Top",'Mitred Cutting'!J12="APO Grey"),(('Job Sheet'!E12*2+60)+'Job Sheet'!AP12+60),IF(AND('Mitred Cutting'!I12="Long Leg 1 Side",'Mitred Cutting'!J12="APO Grey"),'Job Sheet'!E12+30,IF(AND('Mitred Cutting'!I12="Long Leg Left, Right and Top",'Mitred Cutting'!J12="APO Grey"),(('Job Sheet'!E12*2+60)+'Job Sheet'!D12+60),""))))</f>
        <v/>
      </c>
      <c r="DI6" s="73" t="str">
        <f>IF(D6="","",IF(AND('Job Sheet'!AO12="Yes",'Mitred Cutting'!I12="Long Leg Left, Right and Top",'Mitred Cutting'!J12="White Birch"),(('Job Sheet'!E12*2+60)+'Job Sheet'!AP12+60),IF(AND('Mitred Cutting'!I12="Long Leg 1 Side",'Mitred Cutting'!J12="White Birch"),'Job Sheet'!E12+30,IF(AND('Mitred Cutting'!I12="Long Leg Left, Right and Top",'Mitred Cutting'!J12="White Birch"),(('Job Sheet'!E12*2+60)+'Job Sheet'!D12+60),""))))</f>
        <v/>
      </c>
      <c r="DJ6" s="73" t="str">
        <f>IF(D6="","",IF(AND('Job Sheet'!AO12="Yes",'Mitred Cutting'!I12="Long Leg Left, Right and Top",'Mitred Cutting'!J12="Black"),(('Job Sheet'!E12*2+60)+'Job Sheet'!AP12+60),IF(AND('Mitred Cutting'!I12="Long Leg 1 Side",'Mitred Cutting'!J12="Black"),'Job Sheet'!E12+30,IF(AND('Mitred Cutting'!I12="Long Leg Left, Right and Top",'Mitred Cutting'!J12="Black"),(('Job Sheet'!E12*2+60)+'Job Sheet'!D12+60),""))))</f>
        <v/>
      </c>
      <c r="DK6" s="73" t="str">
        <f>IF(D6="","",IF(AND('Job Sheet'!AO12="Yes",'Mitred Cutting'!I12="Long Leg Left, Right and Top",'Mitred Cutting'!J12="Brown"),(('Job Sheet'!E12*2+60)+'Job Sheet'!AP12+60),IF(AND('Mitred Cutting'!I12="Long Leg 1 Side",'Mitred Cutting'!J12="Brown"),'Job Sheet'!E12+30,IF(AND('Mitred Cutting'!I12="Long Leg Left, Right and Top",'Mitred Cutting'!J12="Brown"),(('Job Sheet'!E12*2+60)+'Job Sheet'!D12+60),""))))</f>
        <v/>
      </c>
      <c r="DL6" s="73" t="str">
        <f>IF(D6="","",IF(AND('Job Sheet'!AO12="Yes",'Mitred Cutting'!I12="Long Leg Left, Right and Top",'Mitred Cutting'!J12="Deep Ocean"),(('Job Sheet'!E12*2+60)+'Job Sheet'!AP12+60),IF(AND('Mitred Cutting'!I12="Long Leg 1 Side",'Mitred Cutting'!J12="Deep Ocean"),'Job Sheet'!E12+30,IF(AND('Mitred Cutting'!I12="Long Leg Left, Right and Top",'Mitred Cutting'!J12="Deep Ocean"),(('Job Sheet'!E12*2+60)+'Job Sheet'!D12+60),""))))</f>
        <v/>
      </c>
      <c r="DM6" s="73" t="str">
        <f>IF(D6="","",IF(AND('Job Sheet'!AO12="Yes",'Mitred Cutting'!I12="Long Leg Left, Right and Top",'Mitred Cutting'!J12="Jasper"),(('Job Sheet'!E12*2+60)+'Job Sheet'!AP12+60),IF(AND('Mitred Cutting'!I12="Long Leg 1 Side",'Mitred Cutting'!J12="Jasper"),'Job Sheet'!E12+30,IF(AND('Mitred Cutting'!I12="Long Leg Left, Right and Top",'Mitred Cutting'!J12="Jasper"),(('Job Sheet'!E12*2+60)+'Job Sheet'!D12+60),""))))</f>
        <v/>
      </c>
      <c r="DN6" s="73" t="str">
        <f>IF(D6="","",IF(AND('Job Sheet'!AO12="Yes",'Mitred Cutting'!I12="Long Leg Left, Right and Top",'Mitred Cutting'!J12="Paperbark"),(('Job Sheet'!E12*2+60)+'Job Sheet'!AP12+60),IF(AND('Mitred Cutting'!I12="Long Leg 1 Side",'Mitred Cutting'!J12="Paperbark"),'Job Sheet'!E12+30,IF(AND('Mitred Cutting'!I12="Long Leg Left, Right and Top",'Mitred Cutting'!J12="Paperbark"),(('Job Sheet'!E12*2+60)+'Job Sheet'!D12+60),""))))</f>
        <v/>
      </c>
      <c r="DO6" s="73" t="str">
        <f>IF(D6="","",IF(AND('Job Sheet'!AO12="Yes",'Mitred Cutting'!I12="Long Leg Left, Right and Top",'Mitred Cutting'!J12="Mist Green"),(('Job Sheet'!E12*2+60)+'Job Sheet'!AP12+60),IF(AND('Mitred Cutting'!I12="Long Leg 1 Side",'Mitred Cutting'!J12="Mist Green"),'Job Sheet'!E12+30,IF(AND('Mitred Cutting'!I12="Long Leg Left, Right and Top",'Mitred Cutting'!J12="Mist Green"),(('Job Sheet'!E12*2+60)+'Job Sheet'!D12+60),""))))</f>
        <v/>
      </c>
      <c r="DP6" s="73" t="str">
        <f>IF(D6="","",IF(AND('Job Sheet'!AO12="Yes",'Mitred Cutting'!I12="Long Leg Left, Right and Top",'Mitred Cutting'!J12="Primrose"),(('Job Sheet'!E12*2+60)+'Job Sheet'!AP12+60),IF(AND('Mitred Cutting'!I12="Long Leg 1 Side",'Mitred Cutting'!J12="Primrose"),'Job Sheet'!E12+30,IF(AND('Mitred Cutting'!I12="Long Leg Left, Right and Top",'Mitred Cutting'!J12="Primrose"),(('Job Sheet'!E12*2+60)+'Job Sheet'!D12+60),""))))</f>
        <v/>
      </c>
      <c r="DQ6" s="73" t="str">
        <f>IF(D6="","",IF(AND('Job Sheet'!AO12="Yes",'Mitred Cutting'!I12="Long Leg Left, Right and Top",'Mitred Cutting'!J12="Ultra Silver"),(('Job Sheet'!E12*2+60)+'Job Sheet'!AP12+60),IF(AND('Mitred Cutting'!I12="Long Leg 1 Side",'Mitred Cutting'!J12="Ultra Silver"),'Job Sheet'!E12+30,IF(AND('Mitred Cutting'!I12="Long Leg Left, Right and Top",'Mitred Cutting'!J12="Ultra Silver"),(('Job Sheet'!E12*2+60)+'Job Sheet'!D12+60),""))))</f>
        <v/>
      </c>
      <c r="DR6" s="73" t="str">
        <f>IF(D6="","",IF(AND('Job Sheet'!AO12="Yes",'Mitred Cutting'!I12="Long Leg Left, Right and Top",'Mitred Cutting'!J12="Woodland Grey(Green Tone)"),(('Job Sheet'!E12*2+60)+'Job Sheet'!AP12+60),IF(AND('Mitred Cutting'!I12="Long Leg 1 Side",'Mitred Cutting'!J12="Woodland Grey(Green Tone)"),'Job Sheet'!E12+30,IF(AND('Mitred Cutting'!I12="Long Leg Left, Right and Top",'Mitred Cutting'!J12="Woodland Grey(Green Tone)"),(('Job Sheet'!E12*2+60)+'Job Sheet'!D12+60),""))))</f>
        <v/>
      </c>
      <c r="DS6" s="73" t="str">
        <f>IF(D6="","",IF(AND('Job Sheet'!AO12="Yes",'Mitred Cutting'!I12="Long Leg Left, Right and Top",'Mitred Cutting'!J12="Pearl White"),(('Job Sheet'!E12*2+60)+'Job Sheet'!AP12+60),IF(AND('Mitred Cutting'!I12="Long Leg 1 Side",'Mitred Cutting'!J12="Pearl White"),'Job Sheet'!E12+30,IF(AND('Mitred Cutting'!I12="Long Leg Left, Right and Top",'Mitred Cutting'!J12="Pearl White"),(('Job Sheet'!E12*2+60)+'Job Sheet'!D12+60),""))))</f>
        <v/>
      </c>
      <c r="DT6" s="73" t="str">
        <f>IF(D6="","",IF(AND('Job Sheet'!AO12="Yes",'Mitred Cutting'!I12="Long Leg Left, Right and Top",'Mitred Cutting'!J12="Monument"),(('Job Sheet'!E12*2+60)+'Job Sheet'!AP12+60),IF(AND('Mitred Cutting'!I12="Long Leg 1 Side",'Mitred Cutting'!J12="Monument"),'Job Sheet'!E12+30,IF(AND('Mitred Cutting'!I12="Long Leg Left, Right and Top",'Mitred Cutting'!J12="Monument"),(('Job Sheet'!E12*2+60)+'Job Sheet'!D12+60),""))))</f>
        <v/>
      </c>
      <c r="DU6" s="73" t="str">
        <f>IF(D6="","",IF(AND('Job Sheet'!AO12="Yes",'Mitred Cutting'!I12="Long Leg Left, Right and Top",'Mitred Cutting'!J12="Surfmist"),(('Job Sheet'!E12*2+60)+'Job Sheet'!AP12+60),IF(AND('Mitred Cutting'!I12="Long Leg 1 Side",'Mitred Cutting'!J12="Surfmist"),'Job Sheet'!E12+30,IF(AND('Mitred Cutting'!I12="Long Leg Left, Right and Top",'Mitred Cutting'!J12="Surfmist"),(('Job Sheet'!E12*2+60)+'Job Sheet'!D12+60),""))))</f>
        <v/>
      </c>
      <c r="DV6" s="73" t="str">
        <f>IF(D6="","",IF(AND('Job Sheet'!AO12="Yes",'Mitred Cutting'!I12="Long Leg Left, Right and Top",'Mitred Cutting'!J12="Dune"),(('Job Sheet'!E12*2+60)+'Job Sheet'!AP12+60),IF(AND('Mitred Cutting'!I12="Long Leg 1 Side",'Mitred Cutting'!J12="Dune"),'Job Sheet'!E12+30,IF(AND('Mitred Cutting'!I12="Long Leg Left, Right and Top",'Mitred Cutting'!J12="Dune"),(('Job Sheet'!E12*2+60)+'Job Sheet'!D12+60),""))))</f>
        <v/>
      </c>
      <c r="DX6" s="73" t="str">
        <f>IF(D6="","",IF(AND('Job Sheet'!AO12="Yes",'Mitred Cutting'!I12="Long Leg Left, Right and Top",Data!BP12="Powdercoat"),(('Job Sheet'!E12*2+60)+'Job Sheet'!AP12+60),IF(AND('Mitred Cutting'!I12="Long Leg 1 Side",Data!BP12="Powdercoat"),'Job Sheet'!E12+30,IF(AND('Mitred Cutting'!I12="Long Leg Left, Right and Top",Data!BP12="Powdercoat"),(('Job Sheet'!E12*2+60)+'Job Sheet'!D12+60),""))))</f>
        <v/>
      </c>
      <c r="EA6" s="73" t="str">
        <f>IF(Data!AV12="","",IF('Job Sheet'!AV12="Yes",VLOOKUP(CONCATENATE('Job Sheet'!AW12,'Job Sheet'!AY12),DogDoor,4,FALSE),""))</f>
        <v/>
      </c>
      <c r="FE6" s="73" t="str">
        <f>IF(AND('Straight Cutting'!F12&lt;&gt;"",'Mitred Cutting'!D12="APO Grey"),'Straight Cutting'!F12,"")</f>
        <v/>
      </c>
      <c r="FF6" s="73" t="str">
        <f>IF(AND('Straight Cutting'!F12&lt;&gt;"",'Mitred Cutting'!D12="White Birch"),'Straight Cutting'!F12,"")</f>
        <v/>
      </c>
      <c r="FG6" s="73" t="str">
        <f>IF(AND('Straight Cutting'!F12&lt;&gt;"",'Mitred Cutting'!D12="Black"),'Straight Cutting'!F12,"")</f>
        <v/>
      </c>
      <c r="FH6" s="73" t="str">
        <f>IF(AND('Straight Cutting'!F12&lt;&gt;"",'Mitred Cutting'!D12="Brown"),'Straight Cutting'!F12,"")</f>
        <v/>
      </c>
      <c r="FI6" s="73" t="str">
        <f>IF(AND('Straight Cutting'!F12&lt;&gt;"",'Mitred Cutting'!D12="Deep Ocean"),'Straight Cutting'!F12,"")</f>
        <v/>
      </c>
      <c r="FJ6" s="73" t="str">
        <f>IF(AND('Straight Cutting'!F12&lt;&gt;"",'Mitred Cutting'!D12="Jasper"),'Straight Cutting'!F12,"")</f>
        <v/>
      </c>
      <c r="FK6" s="73" t="str">
        <f>IF(AND('Straight Cutting'!F12&lt;&gt;"",'Mitred Cutting'!D12="Paperbark"),'Straight Cutting'!F12,"")</f>
        <v/>
      </c>
      <c r="FL6" s="73" t="str">
        <f>IF(AND('Straight Cutting'!F12&lt;&gt;"",'Mitred Cutting'!D12="Mist Green"),'Straight Cutting'!F12,"")</f>
        <v/>
      </c>
      <c r="FM6" s="73" t="str">
        <f>IF(AND('Straight Cutting'!F12&lt;&gt;"",'Mitred Cutting'!D12="Primrose"),'Straight Cutting'!F12,"")</f>
        <v/>
      </c>
      <c r="FN6" s="73" t="str">
        <f>IF(AND('Straight Cutting'!F12&lt;&gt;"",'Mitred Cutting'!D12="Ultra Silver"),'Straight Cutting'!F12,"")</f>
        <v/>
      </c>
      <c r="FO6" s="73" t="str">
        <f>IF(AND('Straight Cutting'!F12&lt;&gt;"",'Mitred Cutting'!D12="Woodland Grey(Green Tone)"),'Straight Cutting'!F12,"")</f>
        <v/>
      </c>
      <c r="FP6" s="73" t="str">
        <f>IF(AND('Straight Cutting'!F12&lt;&gt;"",'Mitred Cutting'!D12="Pearl White"),'Straight Cutting'!F12,"")</f>
        <v/>
      </c>
      <c r="FQ6" s="73" t="str">
        <f>IF(AND('Straight Cutting'!F12&lt;&gt;"",'Mitred Cutting'!D12="Monument"),'Straight Cutting'!F12,"")</f>
        <v/>
      </c>
      <c r="FR6" s="73" t="str">
        <f>IF(AND('Straight Cutting'!F12&lt;&gt;"",'Mitred Cutting'!D12="Surfmist"),'Straight Cutting'!F12,"")</f>
        <v/>
      </c>
      <c r="FS6" s="73" t="str">
        <f>IF(AND('Straight Cutting'!F12&lt;&gt;"",'Mitred Cutting'!D12="Dune"),'Straight Cutting'!F12,"")</f>
        <v/>
      </c>
      <c r="FU6" s="73" t="str">
        <f>IF(AND('Straight Cutting'!F12&lt;&gt;"",Data!BP12="Powdercoat",'Job Sheet'!AA12&lt;&gt;"Woodland Grey (Dulux)"),'Straight Cutting'!F12,"")</f>
        <v/>
      </c>
      <c r="FV6" s="73" t="str">
        <f>IF(AND('Straight Cutting'!E12="F &amp; Z Frames",'Mitred Cutting'!D12="APO Grey"),'Straight Cutting'!G12,"")</f>
        <v/>
      </c>
      <c r="FW6" s="73" t="str">
        <f>IF(AND('Straight Cutting'!E12="F &amp; Z Frames",'Mitred Cutting'!D12="White Birch"),'Straight Cutting'!G12,"")</f>
        <v/>
      </c>
      <c r="FX6" s="73" t="str">
        <f>IF(AND('Straight Cutting'!E12="F &amp; Z Frames",'Mitred Cutting'!D12="Black"),'Straight Cutting'!G12,"")</f>
        <v/>
      </c>
      <c r="FY6" s="73" t="str">
        <f>IF(AND('Straight Cutting'!E12="F &amp; Z Frames",'Mitred Cutting'!D12="Brown"),'Straight Cutting'!G12,"")</f>
        <v/>
      </c>
      <c r="FZ6" s="73" t="str">
        <f>IF(AND('Straight Cutting'!E12="F &amp; Z Frames",'Mitred Cutting'!D12="Deep Ocean"),'Straight Cutting'!G12,"")</f>
        <v/>
      </c>
      <c r="GA6" s="73" t="str">
        <f>IF(AND('Straight Cutting'!E12="F &amp; Z Frames",'Mitred Cutting'!D12="Jasper"),'Straight Cutting'!G12,"")</f>
        <v/>
      </c>
      <c r="GB6" s="73" t="str">
        <f>IF(AND('Straight Cutting'!E12="F &amp; Z Frames",'Mitred Cutting'!D12="Paperbark"),'Straight Cutting'!G12,"")</f>
        <v/>
      </c>
      <c r="GC6" s="73" t="str">
        <f>IF(AND('Straight Cutting'!E12="F &amp; Z Frames",'Mitred Cutting'!D12="Mist Green"),'Straight Cutting'!G12,"")</f>
        <v/>
      </c>
      <c r="GD6" s="73" t="str">
        <f>IF(AND('Straight Cutting'!E12="F &amp; Z Frames",'Mitred Cutting'!D12="Primrose"),'Straight Cutting'!G12,"")</f>
        <v/>
      </c>
      <c r="GE6" s="73" t="str">
        <f>IF(AND('Straight Cutting'!E12="F &amp; Z Frames",'Mitred Cutting'!D12="Ultra Silver"),'Straight Cutting'!G12,"")</f>
        <v/>
      </c>
      <c r="GF6" s="73" t="str">
        <f>IF(AND('Straight Cutting'!E12="F &amp; Z Frames",'Mitred Cutting'!D12="Woodland Grey(Green Tone)"),'Straight Cutting'!G12,"")</f>
        <v/>
      </c>
      <c r="GG6" s="73" t="str">
        <f>IF(AND('Straight Cutting'!E12="F &amp; Z Frames",'Mitred Cutting'!D12="Pearl White"),'Straight Cutting'!G12,"")</f>
        <v/>
      </c>
      <c r="GH6" s="73" t="str">
        <f>IF(AND('Straight Cutting'!E12="F &amp; Z Frames",'Mitred Cutting'!D12="Monument"),'Straight Cutting'!G12,"")</f>
        <v/>
      </c>
      <c r="GI6" s="73" t="str">
        <f>IF(AND('Straight Cutting'!E12="F &amp; Z Frames",'Mitred Cutting'!D12="Surfmist"),'Straight Cutting'!G12,"")</f>
        <v/>
      </c>
      <c r="GJ6" s="73" t="str">
        <f>IF(AND('Straight Cutting'!E12="F &amp; Z Frames",'Mitred Cutting'!D12="Dune"),'Straight Cutting'!G12,"")</f>
        <v/>
      </c>
      <c r="GK6" s="73" t="str">
        <f>IF(AND('Straight Cutting'!E12="F &amp; Z Frames",Data!BP12="Powdercoat"),'Straight Cutting'!G12,"")</f>
        <v/>
      </c>
      <c r="GL6" s="73" t="str">
        <f>IF(AND('Straight Cutting'!E12="F &amp; High Step Z Frame",'Mitred Cutting'!D12="APO Grey"),'Straight Cutting'!G12,"")</f>
        <v/>
      </c>
      <c r="GM6" s="73" t="str">
        <f>IF(AND('Straight Cutting'!E12="F &amp; High Step Z Frame",'Mitred Cutting'!D12="White Birch"),'Straight Cutting'!G12,"")</f>
        <v/>
      </c>
      <c r="GN6" s="73" t="str">
        <f>IF(AND('Straight Cutting'!E12="F &amp; High Step Z Frame",'Mitred Cutting'!D12="Black"),'Straight Cutting'!G12,"")</f>
        <v/>
      </c>
      <c r="GO6" s="73" t="str">
        <f>IF(AND('Straight Cutting'!E12="F &amp; High Step Z Frame",'Mitred Cutting'!D12="Brown"),'Straight Cutting'!G12,"")</f>
        <v/>
      </c>
      <c r="GP6" s="73" t="str">
        <f>IF(AND('Straight Cutting'!E12="F &amp; High Step Z Frame",'Mitred Cutting'!D12="Deep Ocean"),'Straight Cutting'!G12,"")</f>
        <v/>
      </c>
      <c r="GQ6" s="73" t="str">
        <f>IF(AND('Straight Cutting'!E12="F &amp; High Step Z Frame",'Mitred Cutting'!D12="Jasper"),'Straight Cutting'!G12,"")</f>
        <v/>
      </c>
      <c r="GR6" s="73" t="str">
        <f>IF(AND('Straight Cutting'!E12="F &amp; High Step Z Frame",'Mitred Cutting'!D12="Paperbark"),'Straight Cutting'!G12,"")</f>
        <v/>
      </c>
      <c r="GS6" s="73" t="str">
        <f>IF(AND('Straight Cutting'!E12="F &amp; High Step Z Frame",'Mitred Cutting'!D12="Mist Green"),'Straight Cutting'!G12,"")</f>
        <v/>
      </c>
      <c r="GT6" s="73" t="str">
        <f>IF(AND('Straight Cutting'!E12="F &amp; High Step Z Frame",'Mitred Cutting'!D12="Primrose"),'Straight Cutting'!G12,"")</f>
        <v/>
      </c>
      <c r="GU6" s="73" t="str">
        <f>IF(AND('Straight Cutting'!E12="F &amp; High Step Z Frame",'Mitred Cutting'!D12="Ultra Silver"),'Straight Cutting'!G12,"")</f>
        <v/>
      </c>
      <c r="GV6" s="73" t="str">
        <f>IF(AND('Straight Cutting'!E12="F &amp; High Step Z Frame",'Mitred Cutting'!D12="Woodland Grey(Green Tone)"),'Straight Cutting'!G12,"")</f>
        <v/>
      </c>
      <c r="GW6" s="73" t="str">
        <f>IF(AND('Straight Cutting'!E12="F &amp; High Step Z Frame",'Mitred Cutting'!D12="Pearl White"),'Straight Cutting'!G12,"")</f>
        <v/>
      </c>
      <c r="GX6" s="73" t="str">
        <f>IF(AND('Straight Cutting'!E12="F &amp; High Step Z Frame",'Mitred Cutting'!D12="Monument"),'Straight Cutting'!G12,"")</f>
        <v/>
      </c>
      <c r="GY6" s="73" t="str">
        <f>IF(AND('Straight Cutting'!E12="F &amp; High Step Z Frame",'Mitred Cutting'!D12="Surfmist"),'Straight Cutting'!G12,"")</f>
        <v/>
      </c>
      <c r="GZ6" s="73" t="str">
        <f>IF(AND('Straight Cutting'!E12="F &amp; High Step Z Frame",'Mitred Cutting'!D12="Dune"),'Straight Cutting'!G12,"")</f>
        <v/>
      </c>
      <c r="HA6" s="73" t="str">
        <f>IF(AND('Straight Cutting'!E12="F &amp; High Step Z Frame",Data!BP12="Powdercoat"),'Straight Cutting'!G12,"")</f>
        <v/>
      </c>
      <c r="HB6" s="73" t="str">
        <f>IF(AND('Straight Cutting'!I12&lt;&gt;"",'Mitred Cutting'!D12="APO Grey"),'Straight Cutting'!I12,"")</f>
        <v/>
      </c>
      <c r="HC6" s="73" t="str">
        <f>IF(AND('Straight Cutting'!I12&lt;&gt;"",'Mitred Cutting'!D12="White Birch"),'Straight Cutting'!I12,"")</f>
        <v/>
      </c>
      <c r="HD6" s="73" t="str">
        <f>IF(AND('Straight Cutting'!I12&lt;&gt;"",'Mitred Cutting'!D12="Black"),'Straight Cutting'!I12,"")</f>
        <v/>
      </c>
      <c r="HE6" s="73" t="str">
        <f>IF(AND('Straight Cutting'!I12&lt;&gt;"",'Mitred Cutting'!D12="Brown"),'Straight Cutting'!I12,"")</f>
        <v/>
      </c>
      <c r="HF6" s="73" t="str">
        <f>IF(AND('Straight Cutting'!I12&lt;&gt;"",'Mitred Cutting'!D12="Deep Ocean"),'Straight Cutting'!I12,"")</f>
        <v/>
      </c>
      <c r="HG6" s="73" t="str">
        <f>IF(AND('Straight Cutting'!I12&lt;&gt;"",'Mitred Cutting'!D12="Jasper"),'Straight Cutting'!I12,"")</f>
        <v/>
      </c>
      <c r="HH6" s="73" t="str">
        <f>IF(AND('Straight Cutting'!I12&lt;&gt;"",'Mitred Cutting'!D12="Paperbark"),'Straight Cutting'!I12,"")</f>
        <v/>
      </c>
      <c r="HI6" s="73" t="str">
        <f>IF(AND('Straight Cutting'!I12&lt;&gt;"",'Mitred Cutting'!D12="Mist Green"),'Straight Cutting'!I12,"")</f>
        <v/>
      </c>
      <c r="HJ6" s="73" t="str">
        <f>IF(AND('Straight Cutting'!I12&lt;&gt;"",'Mitred Cutting'!D12="Primrose"),'Straight Cutting'!I12,"")</f>
        <v/>
      </c>
      <c r="HK6" s="73" t="str">
        <f>IF(AND('Straight Cutting'!I12&lt;&gt;"",'Mitred Cutting'!D12="Ultra Silver"),'Straight Cutting'!I12,"")</f>
        <v/>
      </c>
      <c r="HL6" s="73" t="str">
        <f>IF(AND('Straight Cutting'!I12&lt;&gt;"",'Mitred Cutting'!D12="Woodland Grey(Green Tone)"),'Straight Cutting'!I12,"")</f>
        <v/>
      </c>
      <c r="HM6" s="73" t="str">
        <f>IF(AND('Straight Cutting'!I12&lt;&gt;"",'Mitred Cutting'!D12="Pearl White"),'Straight Cutting'!I12,"")</f>
        <v/>
      </c>
      <c r="HN6" s="73" t="str">
        <f>IF(AND('Straight Cutting'!I12&lt;&gt;"",'Mitred Cutting'!D12="Monument"),'Straight Cutting'!I12,"")</f>
        <v/>
      </c>
      <c r="HO6" s="73" t="str">
        <f>IF(AND('Straight Cutting'!I12&lt;&gt;"",'Mitred Cutting'!D12="Surfmist"),'Straight Cutting'!I12,"")</f>
        <v/>
      </c>
      <c r="HP6" s="73" t="str">
        <f>IF(AND('Straight Cutting'!I12&lt;&gt;"",'Mitred Cutting'!D12="Dune"),'Straight Cutting'!I12,"")</f>
        <v/>
      </c>
      <c r="HR6" s="73" t="str">
        <f>IF(AND('Straight Cutting'!I12&lt;&gt;"",'Mitred Cutting'!D12="Powdercoat"),'Straight Cutting'!I12,"")</f>
        <v/>
      </c>
      <c r="HS6" s="73" t="str">
        <f>IF(AND('Mitred Cutting'!D12="APO Grey",'Job Sheet'!AQ12="T Mullion with Cutouts and 2 Lock Bolts"),'Straight Cutting'!J12,"")</f>
        <v/>
      </c>
      <c r="HT6" s="73" t="str">
        <f>IF(AND('Mitred Cutting'!D12="White Birch",'Job Sheet'!AQ12="T Mullion with Cutouts and 2 Lock Bolts"),'Straight Cutting'!J12,"")</f>
        <v/>
      </c>
      <c r="HU6" s="73" t="str">
        <f>IF(AND('Mitred Cutting'!D12="Black",'Job Sheet'!AQ12="T Mullion with Cutouts and 2 Lock Bolts"),'Straight Cutting'!J12,"")</f>
        <v/>
      </c>
      <c r="HV6" s="73" t="str">
        <f>IF(AND('Mitred Cutting'!D12="Brown",'Job Sheet'!AQ12="T Mullion with Cutouts and 2 Lock Bolts"),'Straight Cutting'!J12,"")</f>
        <v/>
      </c>
      <c r="HW6" s="73" t="str">
        <f>IF(AND('Mitred Cutting'!D12="Deep Ocean",'Job Sheet'!AQ12="T Mullion with Cutouts and 2 Lock Bolts"),'Straight Cutting'!J12,"")</f>
        <v/>
      </c>
      <c r="HX6" s="73" t="str">
        <f>IF(AND('Mitred Cutting'!D12="Jasper",'Job Sheet'!AQ12="T Mullion with Cutouts and 2 Lock Bolts"),'Straight Cutting'!J12,"")</f>
        <v/>
      </c>
      <c r="HY6" s="73" t="str">
        <f>IF(AND('Mitred Cutting'!D12="Paperbark",'Job Sheet'!AQ12="T Mullion with Cutouts and 2 Lock Bolts"),'Straight Cutting'!J12,"")</f>
        <v/>
      </c>
      <c r="HZ6" s="73" t="str">
        <f>IF(AND('Mitred Cutting'!D12="Mist Green",'Job Sheet'!AQ12="T Mullion with Cutouts and 2 Lock Bolts"),'Straight Cutting'!J12,"")</f>
        <v/>
      </c>
      <c r="IA6" s="73" t="str">
        <f>IF(AND('Mitred Cutting'!D12="Primrose",'Job Sheet'!AQ12="T Mullion with Cutouts and 2 Lock Bolts"),'Straight Cutting'!J12,"")</f>
        <v/>
      </c>
      <c r="IB6" s="73" t="str">
        <f>IF(AND('Mitred Cutting'!D12="Ultra Silver",'Job Sheet'!AQ12="T Mullion with Cutouts and 2 Lock Bolts"),'Straight Cutting'!J12,"")</f>
        <v/>
      </c>
      <c r="IC6" s="73" t="str">
        <f>IF(AND('Mitred Cutting'!D12="Woodland Grey(Green Tone)",'Job Sheet'!AQ12="T Mullion with Cutouts and 2 Lock Bolts"),'Straight Cutting'!J12,"")</f>
        <v/>
      </c>
      <c r="ID6" s="73" t="str">
        <f>IF(AND('Mitred Cutting'!D12="Pearl White",'Job Sheet'!AQ12="T Mullion with Cutouts and 2 Lock Bolts"),'Straight Cutting'!J12,"")</f>
        <v/>
      </c>
      <c r="IE6" s="73" t="str">
        <f>IF(AND('Mitred Cutting'!D12="Monument",'Job Sheet'!AQ12="T Mullion with Cutouts and 2 Lock Bolts"),'Straight Cutting'!J12,"")</f>
        <v/>
      </c>
      <c r="IF6" s="73" t="str">
        <f>IF(AND('Mitred Cutting'!D12="Surfmist",'Job Sheet'!AQ12="T Mullion with Cutouts and 2 Lock Bolts"),'Straight Cutting'!J12,"")</f>
        <v/>
      </c>
      <c r="IG6" s="73" t="str">
        <f>IF(AND('Mitred Cutting'!D12="Dune",'Job Sheet'!AQ12="T Mullion with Cutouts and 2 Lock Bolts"),'Straight Cutting'!J12,"")</f>
        <v/>
      </c>
      <c r="IH6" s="73" t="str">
        <f>IF(AND('Job Sheet'!Z12="Custom Powdercoat",'Job Sheet'!AQ12="T Mullion with Cutouts and 2 Lock Bolts"),'Straight Cutting'!J12,"")</f>
        <v/>
      </c>
      <c r="II6" s="73" t="str">
        <f>IF(AND('Mitred Cutting'!D12="Apo Grey",'Straight Cutting'!E12="Bug Strip Frame"),'Job Sheet'!BH12-2+'Job Sheet'!BI12-50,IF(AND('Mitred Cutting'!D12="Apo Grey",'Straight Cutting'!E12&lt;&gt;"Bug Strip Frame"),'Straight Cutting'!D12,""))</f>
        <v/>
      </c>
      <c r="IJ6" s="73" t="str">
        <f>IF(AND('Mitred Cutting'!D12="White Birch",'Straight Cutting'!E12="Bug Strip Frame"),'Job Sheet'!BH12-2+'Job Sheet'!BI12-50,IF(AND('Mitred Cutting'!D12="White Birch",'Straight Cutting'!E12&lt;&gt;"Bug Strip Frame"),'Straight Cutting'!D12,""))</f>
        <v/>
      </c>
      <c r="IK6" s="73" t="str">
        <f>IF(AND('Mitred Cutting'!D12="Black",'Straight Cutting'!E12="Bug Strip Frame"),'Job Sheet'!BH12-2+'Job Sheet'!BI12-50,IF(AND('Mitred Cutting'!D12="Black",'Straight Cutting'!E12&lt;&gt;"Bug Strip Frame"),'Straight Cutting'!D12,""))</f>
        <v/>
      </c>
      <c r="IL6" s="73" t="str">
        <f>IF(AND('Mitred Cutting'!D12="Brown",'Straight Cutting'!E12="Bug Strip Frame"),'Job Sheet'!BH12-2+'Job Sheet'!BI12-50,IF(AND('Mitred Cutting'!D12="Brown",'Straight Cutting'!E12&lt;&gt;"Bug Strip Frame"),'Straight Cutting'!D12,""))</f>
        <v/>
      </c>
      <c r="IM6" s="73" t="str">
        <f>IF(AND('Mitred Cutting'!D12="Deep Ocean",'Straight Cutting'!E12="Bug Strip Frame"),'Job Sheet'!BH12-2+'Job Sheet'!BI12-50,IF(AND('Mitred Cutting'!D12="Deep Ocean",'Straight Cutting'!E12&lt;&gt;"Bug Strip Frame"),'Straight Cutting'!D12,""))</f>
        <v/>
      </c>
      <c r="IN6" s="73" t="str">
        <f>IF(AND('Mitred Cutting'!D12="Jasper",'Straight Cutting'!E12="Bug Strip Frame"),'Job Sheet'!BH12-2+'Job Sheet'!BI12-50,IF(AND('Mitred Cutting'!D12="Jasper",'Straight Cutting'!E12&lt;&gt;"Bug Strip Frame"),'Straight Cutting'!D12,""))</f>
        <v/>
      </c>
      <c r="IO6" s="73">
        <f>IF(AND('Mitred Cutting'!D12="Paperbark",'Straight Cutting'!E12="Bug Strip Frame"),'Job Sheet'!BH12-2+'Job Sheet'!BI12-50,IF(AND('Mitred Cutting'!D12="Paperbark",'Straight Cutting'!E12&lt;&gt;"Bug Strip Frame"),'Straight Cutting'!D12,""))</f>
        <v>812</v>
      </c>
      <c r="IP6" s="73" t="str">
        <f>IF(AND('Mitred Cutting'!D12="Mist Green",'Straight Cutting'!E12="Bug Strip Frame"),'Job Sheet'!BH12-2+'Job Sheet'!BI12-50,IF(AND('Mitred Cutting'!D12="Mist Green",'Straight Cutting'!E12&lt;&gt;"Bug Strip Frame"),'Straight Cutting'!D12,""))</f>
        <v/>
      </c>
      <c r="IQ6" s="73" t="str">
        <f>IF(AND('Mitred Cutting'!D12="Primrose",'Straight Cutting'!E12="Bug Strip Frame"),'Job Sheet'!BH12-2+'Job Sheet'!BI12-50,IF(AND('Mitred Cutting'!D12="Primrose",'Straight Cutting'!E12&lt;&gt;"Bug Strip Frame"),'Straight Cutting'!D12,""))</f>
        <v/>
      </c>
      <c r="IR6" s="73" t="str">
        <f>IF(AND('Mitred Cutting'!D12="Ultra Silver",'Straight Cutting'!E12="Bug Strip Frame"),'Job Sheet'!BH12-2+'Job Sheet'!BI12-50,IF(AND('Mitred Cutting'!D12="Ultra Silver",'Straight Cutting'!E12&lt;&gt;"Bug Strip Frame"),'Straight Cutting'!D12,""))</f>
        <v/>
      </c>
      <c r="IS6" s="73" t="str">
        <f>IF(AND('Mitred Cutting'!D12="Woodland Grey(Green Tone)",'Straight Cutting'!E12="Bug Strip Frame"),'Job Sheet'!BH12-2+'Job Sheet'!BI12-50,IF(AND('Mitred Cutting'!D12="Woodland Grey(Green Tone)",'Straight Cutting'!E12&lt;&gt;"Bug Strip Frame"),'Straight Cutting'!D12,""))</f>
        <v/>
      </c>
      <c r="IT6" s="73" t="str">
        <f>IF(AND('Mitred Cutting'!D12="Pearl White",'Straight Cutting'!E12="Bug Strip Frame"),'Job Sheet'!BH12-2+'Job Sheet'!BI12-50,IF(AND('Mitred Cutting'!D12="Pearl White",'Straight Cutting'!E12&lt;&gt;"Bug Strip Frame"),'Straight Cutting'!D12,""))</f>
        <v/>
      </c>
      <c r="IU6" s="73" t="str">
        <f>IF(AND('Mitred Cutting'!D12="Monument",'Straight Cutting'!E12="Bug Strip Frame"),'Job Sheet'!BH12-2+'Job Sheet'!BI12-50,IF(AND('Mitred Cutting'!D12="Monument",'Straight Cutting'!E12&lt;&gt;"Bug Strip Frame"),'Straight Cutting'!D12,""))</f>
        <v/>
      </c>
      <c r="IV6" s="73" t="str">
        <f>IF(AND('Mitred Cutting'!D12="Surfmist",'Straight Cutting'!E12="Bug Strip Frame"),'Job Sheet'!BH12-2+'Job Sheet'!BI12-50,IF(AND('Mitred Cutting'!D12="Surfmist",'Straight Cutting'!E12&lt;&gt;"Bug Strip Frame"),'Straight Cutting'!D12,""))</f>
        <v/>
      </c>
      <c r="IW6" s="73" t="str">
        <f>IF(AND('Mitred Cutting'!D12="Dune",'Straight Cutting'!E12="Bug Strip Frame"),'Job Sheet'!BH12-2+'Job Sheet'!BI12-50,IF(AND('Mitred Cutting'!D12="Dune",'Straight Cutting'!E12&lt;&gt;"Bug Strip Frame"),'Straight Cutting'!D12,""))</f>
        <v/>
      </c>
      <c r="IX6" s="73" t="str">
        <f>IF(AND('Job Sheet'!AA12="Woodland Grey (Dulux)",'Straight Cutting'!E12="Bug Strip Frame"),'Job Sheet'!BH12-2+'Job Sheet'!BI12-50,IF(AND('Job Sheet'!AA12="Woodland Grey (Dulux)",'Straight Cutting'!E12&lt;&gt;"Bug Strip Frame"),'Straight Cutting'!D12,""))</f>
        <v/>
      </c>
      <c r="IY6" s="73" t="str">
        <f>IF(AND('Job Sheet'!Z12="Custom Powdercoat",'Job Sheet'!AA12&lt;&gt;"Woodland Grey (Dulux)",'Straight Cutting'!E12="Bug Strip Frame"),'Job Sheet'!BH12-2+'Job Sheet'!BI12-50,IF(AND('Job Sheet'!Z12="Custom Powdercoat",'Job Sheet'!AA12&lt;&gt;"Woodland Grey (Dulux)",'Straight Cutting'!E12&lt;&gt;"Bug Strip Frame"),'Straight Cutting'!D12,""))</f>
        <v/>
      </c>
      <c r="IZ6" s="73" t="str">
        <f>IF(AND('Straight Cutting'!L12="U Channel",'Mitred Cutting'!D12="APO Grey"),'Straight Cutting'!L12,"")</f>
        <v/>
      </c>
      <c r="JA6" s="73" t="str">
        <f>IF(AND('Straight Cutting'!K12="U Channel",'Mitred Cutting'!D12="White Birch"),'Straight Cutting'!L12,"")</f>
        <v/>
      </c>
      <c r="JB6" s="73" t="str">
        <f>IF(AND('Straight Cutting'!K12="U Channel",'Mitred Cutting'!D12="Black"),'Straight Cutting'!L12,"")</f>
        <v/>
      </c>
      <c r="JC6" s="73" t="str">
        <f>IF(AND('Straight Cutting'!K12="U Channel",'Mitred Cutting'!D12="Brown"),'Straight Cutting'!L12,"")</f>
        <v/>
      </c>
      <c r="JD6" s="73" t="str">
        <f>IF(AND('Straight Cutting'!K12="U Channel",'Mitred Cutting'!D12="Deep Ocean"),'Straight Cutting'!L12,"")</f>
        <v/>
      </c>
      <c r="JE6" s="73" t="str">
        <f>IF(AND('Straight Cutting'!K12="U Channel",'Mitred Cutting'!D12="Jasper"),'Straight Cutting'!L12,"")</f>
        <v/>
      </c>
      <c r="JF6" s="73" t="str">
        <f>IF(AND('Straight Cutting'!K12="U Channel",'Mitred Cutting'!D12="Paperbark"),'Straight Cutting'!L12,"")</f>
        <v/>
      </c>
      <c r="JG6" s="73" t="str">
        <f>IF(AND('Straight Cutting'!K12="U Channel",'Mitred Cutting'!D12="Mist Green"),'Straight Cutting'!L12,"")</f>
        <v/>
      </c>
      <c r="JH6" s="73" t="str">
        <f>IF(AND('Straight Cutting'!K12="U Channel",'Mitred Cutting'!D12="Primrose"),'Straight Cutting'!L12,"")</f>
        <v/>
      </c>
      <c r="JI6" s="73" t="str">
        <f>IF(AND('Straight Cutting'!K12="U Channel",'Mitred Cutting'!D12="Ultra Silver"),'Straight Cutting'!L12,"")</f>
        <v/>
      </c>
      <c r="JJ6" s="73" t="str">
        <f>IF(AND('Straight Cutting'!K12="U Channel",'Mitred Cutting'!D12="Woodland Grey(Green Tone)"),'Straight Cutting'!L12,"")</f>
        <v/>
      </c>
      <c r="JK6" s="73" t="str">
        <f>IF(AND('Straight Cutting'!K12="U Channel",'Mitred Cutting'!D12="Pearl White"),'Straight Cutting'!L12,"")</f>
        <v/>
      </c>
      <c r="JL6" s="73" t="str">
        <f>IF(AND('Straight Cutting'!K12="U Channel",'Mitred Cutting'!D12="Monument"),'Straight Cutting'!L12,"")</f>
        <v/>
      </c>
      <c r="JM6" s="73" t="str">
        <f>IF(AND('Straight Cutting'!K12="U Channel",'Mitred Cutting'!D12="Surfmist"),'Straight Cutting'!L12,"")</f>
        <v/>
      </c>
      <c r="JN6" s="73" t="str">
        <f>IF(AND('Straight Cutting'!K12="U Channel",'Mitred Cutting'!D12="Dune"),'Straight Cutting'!L12,"")</f>
        <v/>
      </c>
      <c r="JO6" s="73" t="str">
        <f>IF(AND('Straight Cutting'!K12="U Channel",'Job Sheet'!Z12="Custom Powdercoat"),'Straight Cutting'!L12,"")</f>
        <v/>
      </c>
      <c r="JP6" s="73" t="str">
        <f>IF(AND('Straight Cutting'!K12="U Channel with Pip",'Mitred Cutting'!D12="APO Grey"),'Straight Cutting'!L12,"")</f>
        <v/>
      </c>
      <c r="JQ6" s="73" t="str">
        <f>IF(AND('Straight Cutting'!K12="U Channel with Pip",'Mitred Cutting'!D12="White Birch"),'Straight Cutting'!L12,"")</f>
        <v/>
      </c>
      <c r="JR6" s="73" t="str">
        <f>IF(AND('Straight Cutting'!K12="U Channel with Pip",'Mitred Cutting'!D12="Black"),'Straight Cutting'!L12,"")</f>
        <v/>
      </c>
      <c r="JS6" s="73" t="str">
        <f>IF(AND('Straight Cutting'!K12="U Channel with Pip",'Mitred Cutting'!D12="Brown"),'Straight Cutting'!L12,"")</f>
        <v/>
      </c>
      <c r="JT6" s="73" t="str">
        <f>IF(AND('Straight Cutting'!K12="U Channel with Pip",'Mitred Cutting'!D12="Deep Ocean"),'Straight Cutting'!L12,"")</f>
        <v/>
      </c>
      <c r="JU6" s="73" t="str">
        <f>IF(AND('Straight Cutting'!K12="U Channel with Pip",'Mitred Cutting'!D12="Jasper"),'Straight Cutting'!L12,"")</f>
        <v/>
      </c>
      <c r="JV6" s="73" t="str">
        <f>IF(AND('Straight Cutting'!K12="U Channel with Pip",'Mitred Cutting'!D12="Paperbark"),'Straight Cutting'!L12,"")</f>
        <v/>
      </c>
      <c r="JW6" s="73" t="str">
        <f>IF(AND('Straight Cutting'!K12="U Channel with Pip",'Mitred Cutting'!D12="Mist Green"),'Straight Cutting'!L12,"")</f>
        <v/>
      </c>
      <c r="JX6" s="73" t="str">
        <f>IF(AND('Straight Cutting'!K12="U Channel with Pip",'Mitred Cutting'!D12="Primrose"),'Straight Cutting'!L12,"")</f>
        <v/>
      </c>
      <c r="JY6" s="73" t="str">
        <f>IF(AND('Straight Cutting'!K12="U Channel with Pip",'Mitred Cutting'!D12="Ultra Silver"),'Straight Cutting'!L12,"")</f>
        <v/>
      </c>
      <c r="JZ6" s="73" t="str">
        <f>IF(AND('Straight Cutting'!K12="U Channel with Pip",'Mitred Cutting'!D12="Woodland Grey(Green Tone)"),'Straight Cutting'!L12,"")</f>
        <v/>
      </c>
      <c r="KA6" s="73" t="str">
        <f>IF(AND('Straight Cutting'!K12="U Channel with Pip",'Mitred Cutting'!D12="Pearl White"),'Straight Cutting'!L12,"")</f>
        <v/>
      </c>
      <c r="KB6" s="73" t="str">
        <f>IF(AND('Straight Cutting'!K12="U Channel with Pip",'Mitred Cutting'!D12="Monument"),'Straight Cutting'!L12,"")</f>
        <v/>
      </c>
      <c r="KC6" s="73" t="str">
        <f>IF(AND('Straight Cutting'!K12="U Channel with Pip",'Mitred Cutting'!D12="Surfmist"),'Straight Cutting'!L12,"")</f>
        <v/>
      </c>
      <c r="KD6" s="73" t="str">
        <f>IF(AND('Straight Cutting'!K12="U Channel with Pip",'Mitred Cutting'!D12="Dune"),'Straight Cutting'!L12,"")</f>
        <v/>
      </c>
      <c r="KE6" s="73" t="str">
        <f>IF(AND('Straight Cutting'!K12="U Channel with Pip",'Job Sheet'!Z12="Custom Powdercoat"),'Straight Cutting'!L12,"")</f>
        <v/>
      </c>
      <c r="KF6" s="73" t="str">
        <f>IF(AND('Mitred Cutting'!D12="APO Grey",(OR('Straight Cutting'!M12="Bottom Fix Bottom Track",'Straight Cutting'!M12="U Channel &amp; Bottom Fix Bottom Track"))),'Straight Cutting'!N12,"")</f>
        <v/>
      </c>
      <c r="KG6" s="73" t="str">
        <f>IF(AND('Mitred Cutting'!D12="White Birch",(OR('Straight Cutting'!M12="Bottom Fix Bottom Track",'Straight Cutting'!M12="U Channel &amp; Bottom Fix Bottom Track"))),'Straight Cutting'!N12,"")</f>
        <v/>
      </c>
      <c r="KH6" s="73" t="str">
        <f>IF(AND('Mitred Cutting'!D12="Black",(OR('Straight Cutting'!M12="Bottom Fix Bottom Track",'Straight Cutting'!M12="U Channel &amp; Bottom Fix Bottom Track"))),'Straight Cutting'!N12,"")</f>
        <v/>
      </c>
      <c r="KI6" s="73" t="str">
        <f>IF(AND('Mitred Cutting'!D12="Brown",(OR('Straight Cutting'!M12="Bottom Fix Bottom Track",'Straight Cutting'!M12="U Channel &amp; Bottom Fix Bottom Track"))),'Straight Cutting'!N12,"")</f>
        <v/>
      </c>
      <c r="KJ6" s="73" t="str">
        <f>IF(AND('Mitred Cutting'!D12="Deep Ocean",(OR('Straight Cutting'!M12="Bottom Fix Bottom Track",'Straight Cutting'!M12="U Channel &amp; Bottom Fix Bottom Track"))),'Straight Cutting'!N12,"")</f>
        <v/>
      </c>
      <c r="KK6" s="73" t="str">
        <f>IF(AND('Mitred Cutting'!D12="Jasper",(OR('Straight Cutting'!M12="Bottom Fix Bottom Track",'Straight Cutting'!M12="U Channel &amp; Bottom Fix Bottom Track"))),'Straight Cutting'!N12,"")</f>
        <v/>
      </c>
      <c r="KL6" s="73" t="str">
        <f>IF(AND('Mitred Cutting'!D12="Paperbark",(OR('Straight Cutting'!M12="Bottom Fix Bottom Track",'Straight Cutting'!M12="U Channel &amp; Bottom Fix Bottom Track"))),'Straight Cutting'!N12,"")</f>
        <v/>
      </c>
      <c r="KM6" s="73" t="str">
        <f>IF(AND('Mitred Cutting'!D12="Mist Green",(OR('Straight Cutting'!M12="Bottom Fix Bottom Track",'Straight Cutting'!M12="U Channel &amp; Bottom Fix Bottom Track"))),'Straight Cutting'!N12,"")</f>
        <v/>
      </c>
      <c r="KN6" s="73" t="str">
        <f>IF(AND('Mitred Cutting'!D12="Primrose",(OR('Straight Cutting'!M12="Bottom Fix Bottom Track",'Straight Cutting'!M12="U Channel &amp; Bottom Fix Bottom Track"))),'Straight Cutting'!N12,"")</f>
        <v/>
      </c>
      <c r="KO6" s="73" t="str">
        <f>IF(AND('Mitred Cutting'!D12="Ultra Silver",(OR('Straight Cutting'!M12="Bottom Fix Bottom Track",'Straight Cutting'!M12="U Channel &amp; Bottom Fix Bottom Track"))),'Straight Cutting'!N12,"")</f>
        <v/>
      </c>
      <c r="KP6" s="73" t="str">
        <f>IF(AND('Mitred Cutting'!D12="Woodland Grey(Green Tone)",(OR('Straight Cutting'!M12="Bottom Fix Bottom Track",'Straight Cutting'!M12="U Channel &amp; Bottom Fix Bottom Track"))),'Straight Cutting'!N12,"")</f>
        <v/>
      </c>
      <c r="KQ6" s="73" t="str">
        <f>IF(AND('Mitred Cutting'!D12="Pearl White",(OR('Straight Cutting'!M12="Bottom Fix Bottom Track",'Straight Cutting'!M12="U Channel &amp; Bottom Fix Bottom Track"))),'Straight Cutting'!N12,"")</f>
        <v/>
      </c>
      <c r="KR6" s="73" t="str">
        <f>IF(AND('Mitred Cutting'!D12="Monument",(OR('Straight Cutting'!M12="Bottom Fix Bottom Track",'Straight Cutting'!M12="U Channel &amp; Bottom Fix Bottom Track"))),'Straight Cutting'!N12,"")</f>
        <v/>
      </c>
      <c r="KS6" s="73" t="str">
        <f>IF(AND('Mitred Cutting'!D12="Surfmist",(OR('Straight Cutting'!M12="Bottom Fix Bottom Track",'Straight Cutting'!M12="U Channel &amp; Bottom Fix Bottom Track"))),'Straight Cutting'!N12,"")</f>
        <v/>
      </c>
      <c r="KT6" s="73" t="str">
        <f>IF(AND('Mitred Cutting'!D12="Dune",(OR('Straight Cutting'!M12="Bottom Fix Bottom Track",'Straight Cutting'!M12="U Channel &amp; Bottom Fix Bottom Track"))),'Straight Cutting'!N12,"")</f>
        <v/>
      </c>
      <c r="KU6" s="73" t="str">
        <f>IF(AND('Job Sheet'!Z12="Custom Powdercoat",(OR('Straight Cutting'!M12="Bottom Fix Bottom Track",'Straight Cutting'!M12="U Channel &amp; Bottom Fix Bottom Track"))),'Straight Cutting'!N12,"")</f>
        <v/>
      </c>
      <c r="KV6" s="73" t="str">
        <f>IF(AND('Mitred Cutting'!D12="APO Grey",(OR('Straight Cutting'!M12="Face Fix Bottom Track",'Straight Cutting'!M12="U Channel &amp; Face Fix Bottom Track"))),'Straight Cutting'!N12,"")</f>
        <v/>
      </c>
      <c r="KW6" s="73" t="str">
        <f>IF(AND('Mitred Cutting'!D12="White Birch",(OR('Straight Cutting'!M12="Face Fix Bottom Track",'Straight Cutting'!M12="U Channel &amp; Face Fix Bottom Track"))),'Straight Cutting'!N12,"")</f>
        <v/>
      </c>
      <c r="KX6" s="73" t="str">
        <f>IF(AND('Mitred Cutting'!D12="Black",(OR('Straight Cutting'!M12="Face Fix Bottom Track",'Straight Cutting'!M12="U Channel &amp; Face Fix Bottom Track"))),'Straight Cutting'!N12,"")</f>
        <v/>
      </c>
      <c r="KY6" s="73" t="str">
        <f>IF(AND('Mitred Cutting'!D12="Brown",(OR('Straight Cutting'!M12="Face Fix Bottom Track",'Straight Cutting'!M12="U Channel &amp; Face Fix Bottom Track"))),'Straight Cutting'!N12,"")</f>
        <v/>
      </c>
      <c r="KZ6" s="73" t="str">
        <f>IF(AND('Mitred Cutting'!D12="Deep Ocean",(OR('Straight Cutting'!M12="Face Fix Bottom Track",'Straight Cutting'!M12="U Channel &amp; Face Fix Bottom Track"))),'Straight Cutting'!N12,"")</f>
        <v/>
      </c>
      <c r="LA6" s="73" t="str">
        <f>IF(AND('Mitred Cutting'!D12="Jasper",(OR('Straight Cutting'!M12="Face Fix Bottom Track",'Straight Cutting'!M12="U Channel &amp; Face Fix Bottom Track"))),'Straight Cutting'!N12,"")</f>
        <v/>
      </c>
      <c r="LB6" s="73" t="str">
        <f>IF(AND('Mitred Cutting'!D12="Paperbark",(OR('Straight Cutting'!M12="Face Fix Bottom Track",'Straight Cutting'!M12="U Channel &amp; Face Fix Bottom Track"))),'Straight Cutting'!N12,"")</f>
        <v/>
      </c>
      <c r="LC6" s="73" t="str">
        <f>IF(AND('Mitred Cutting'!D12="Mist Green",(OR('Straight Cutting'!M12="Face Fix Bottom Track",'Straight Cutting'!M12="U Channel &amp; Face Fix Bottom Track"))),'Straight Cutting'!N12,"")</f>
        <v/>
      </c>
      <c r="LD6" s="73" t="str">
        <f>IF(AND('Mitred Cutting'!D12="Primrose",(OR('Straight Cutting'!M12="Face Fix Bottom Track",'Straight Cutting'!M12="U Channel &amp; Face Fix Bottom Track"))),'Straight Cutting'!N12,"")</f>
        <v/>
      </c>
      <c r="LE6" s="73" t="str">
        <f>IF(AND('Mitred Cutting'!D12="Ultra Silver",(OR('Straight Cutting'!M12="Face Fix Bottom Track",'Straight Cutting'!M12="U Channel &amp; Face Fix Bottom Track"))),'Straight Cutting'!N12,"")</f>
        <v/>
      </c>
      <c r="LF6" s="73" t="str">
        <f>IF(AND('Mitred Cutting'!D12="Woodland Grey(Green Tone)",(OR('Straight Cutting'!M12="Face Fix Bottom Track",'Straight Cutting'!M12="U Channel &amp; Face Fix Bottom Track"))),'Straight Cutting'!N12,"")</f>
        <v/>
      </c>
      <c r="LG6" s="73" t="str">
        <f>IF(AND('Mitred Cutting'!D12="Pearl White",(OR('Straight Cutting'!M12="Face Fix Bottom Track",'Straight Cutting'!M12="U Channel &amp; Face Fix Bottom Track"))),'Straight Cutting'!N12,"")</f>
        <v/>
      </c>
      <c r="LH6" s="73" t="str">
        <f>IF(AND('Mitred Cutting'!D12="Monument",(OR('Straight Cutting'!M12="Face Fix Bottom Track",'Straight Cutting'!M12="U Channel &amp; Face Fix Bottom Track"))),'Straight Cutting'!N12,"")</f>
        <v/>
      </c>
      <c r="LI6" s="73" t="str">
        <f>IF(AND('Mitred Cutting'!D12="Surfmist",(OR('Straight Cutting'!M12="Face Fix Bottom Track",'Straight Cutting'!M12="U Channel &amp; Face Fix Bottom Track"))),'Straight Cutting'!N12,"")</f>
        <v/>
      </c>
      <c r="LJ6" s="73" t="str">
        <f>IF(AND('Mitred Cutting'!D12="Dune",(OR('Straight Cutting'!M12="Face Fix Bottom Track",'Straight Cutting'!M12="U Channel &amp; Face Fix Bottom Track"))),'Straight Cutting'!N12,"")</f>
        <v/>
      </c>
      <c r="LK6" s="73" t="str">
        <f>IF(AND('Job Sheet'!Z12="Custom Powdercoat",(OR('Straight Cutting'!M12="Face Fix Bottom Track",'Straight Cutting'!M12="U Channel &amp; Face Fix Bottom Track"))),'Straight Cutting'!N12,"")</f>
        <v/>
      </c>
      <c r="LL6" s="73" t="str">
        <f>IF(AND('Straight Cutting'!H12&lt;&gt;"",'Mitred Cutting'!D12="APO Grey"),'Straight Cutting'!H12/4300,"")</f>
        <v/>
      </c>
      <c r="LM6" s="73" t="str">
        <f>IF(AND('Straight Cutting'!H12&lt;&gt;"",'Mitred Cutting'!D12="White Birch"),'Straight Cutting'!H12,"")</f>
        <v/>
      </c>
      <c r="LN6" s="73" t="str">
        <f>IF(AND('Straight Cutting'!H12&lt;&gt;"",'Mitred Cutting'!D12="Black"),'Straight Cutting'!H12,"")</f>
        <v/>
      </c>
      <c r="LO6" s="73" t="str">
        <f>IF(AND('Straight Cutting'!H12&lt;&gt;"",'Mitred Cutting'!D12="Brown"),'Straight Cutting'!H12,"")</f>
        <v/>
      </c>
      <c r="LP6" s="73" t="str">
        <f>IF(AND('Straight Cutting'!H12&lt;&gt;"",'Mitred Cutting'!D12="Deep Ocean"),'Straight Cutting'!H12,"")</f>
        <v/>
      </c>
      <c r="LQ6" s="73" t="str">
        <f>IF(AND('Straight Cutting'!H12&lt;&gt;"",'Mitred Cutting'!D12="Jasper"),'Straight Cutting'!H12,"")</f>
        <v/>
      </c>
      <c r="LR6" s="73" t="str">
        <f>IF(AND('Straight Cutting'!H12&lt;&gt;"",'Mitred Cutting'!D12="Paperbark"),'Straight Cutting'!H12,"")</f>
        <v/>
      </c>
      <c r="LS6" s="73" t="str">
        <f>IF(AND('Straight Cutting'!H12&lt;&gt;"",'Mitred Cutting'!D12="Mist Green"),'Straight Cutting'!H12,"")</f>
        <v/>
      </c>
      <c r="LT6" s="73" t="str">
        <f>IF(AND('Straight Cutting'!H12&lt;&gt;"",'Mitred Cutting'!D12="Primrose"),'Straight Cutting'!H12,"")</f>
        <v/>
      </c>
      <c r="LU6" s="73" t="str">
        <f>IF(AND('Straight Cutting'!H12&lt;&gt;"",'Mitred Cutting'!D12="Ultra Silver"),'Straight Cutting'!H12,"")</f>
        <v/>
      </c>
      <c r="LV6" s="73" t="str">
        <f>IF(AND('Straight Cutting'!H12&lt;&gt;"",'Mitred Cutting'!D12="Woodland Grey(Green Tone)"),'Straight Cutting'!H12,"")</f>
        <v/>
      </c>
      <c r="LW6" s="73" t="str">
        <f>IF(AND('Straight Cutting'!H12&lt;&gt;"",'Mitred Cutting'!D12="Pearl White"),'Straight Cutting'!H12,"")</f>
        <v/>
      </c>
      <c r="LX6" s="73" t="str">
        <f>IF(AND('Straight Cutting'!H12&lt;&gt;"",'Mitred Cutting'!D12="Monument"),'Straight Cutting'!H12,"")</f>
        <v/>
      </c>
      <c r="LY6" s="73" t="str">
        <f>IF(AND('Straight Cutting'!H12&lt;&gt;"",'Mitred Cutting'!D12="Surfmist"),'Straight Cutting'!H12,"")</f>
        <v/>
      </c>
      <c r="LZ6" s="73" t="str">
        <f>IF(AND('Straight Cutting'!H12&lt;&gt;"",'Mitred Cutting'!D12="Dune"),'Straight Cutting'!H12,"")</f>
        <v/>
      </c>
      <c r="MA6" s="73" t="str">
        <f>IF(AND('Straight Cutting'!H12&lt;&gt;"",'Job Sheet'!Z12="Custom Powdercoat"),'Straight Cutting'!H12,"")</f>
        <v/>
      </c>
      <c r="MB6" s="73" t="str">
        <f>IF(AND('Mitred Cutting'!D12="APO Grey",OR('Straight Cutting'!M12="H Shaped Bottom Track",'Straight Cutting'!M12="U Channel &amp; H Shaped Bottom Track")),'Straight Cutting'!N12,"")</f>
        <v/>
      </c>
      <c r="MC6" s="73" t="str">
        <f>IF(AND('Mitred Cutting'!D12="Birch White",OR('Straight Cutting'!M12="H Shaped Bottom Track",'Straight Cutting'!M12="U Channel &amp; H Shaped Bottom Track")),'Straight Cutting'!N12,"")</f>
        <v/>
      </c>
      <c r="MD6" s="73" t="str">
        <f>IF(AND('Mitred Cutting'!D12="Black",OR('Straight Cutting'!M12="H Shaped Bottom Track",'Straight Cutting'!M12="U Channel &amp; H Shaped Bottom Track")),'Straight Cutting'!N12,"")</f>
        <v/>
      </c>
      <c r="ME6" s="73" t="str">
        <f>IF(AND('Mitred Cutting'!D12="Brown",OR('Straight Cutting'!M12="H Shaped Bottom Track",'Straight Cutting'!M12="U Channel &amp; H Shaped Bottom Track")),'Straight Cutting'!N12,"")</f>
        <v/>
      </c>
      <c r="MF6" s="73" t="str">
        <f>IF(AND('Mitred Cutting'!D12="Deep Ocean",OR('Straight Cutting'!M12="H Shaped Bottom Track",'Straight Cutting'!M12="U Channel &amp; H Shaped Bottom Track")),'Straight Cutting'!N12,"")</f>
        <v/>
      </c>
      <c r="MG6" s="73" t="str">
        <f>IF(AND('Mitred Cutting'!D12="Jasper",OR('Straight Cutting'!M12="H Shaped Bottom Track",'Straight Cutting'!M12="U Channel &amp; H Shaped Bottom Track")),'Straight Cutting'!N12,"")</f>
        <v/>
      </c>
      <c r="MH6" s="73" t="str">
        <f>IF(AND('Mitred Cutting'!D12="Paperbark",OR('Straight Cutting'!M12="H Shaped Bottom Track",'Straight Cutting'!M12="U Channel &amp; H Shaped Bottom Track")),'Straight Cutting'!N12,"")</f>
        <v/>
      </c>
      <c r="MI6" s="73" t="str">
        <f>IF(AND('Mitred Cutting'!D12="Mist Green",OR('Straight Cutting'!M12="H Shaped Bottom Track",'Straight Cutting'!M12="U Channel &amp; H Shaped Bottom Track")),'Straight Cutting'!N12,"")</f>
        <v/>
      </c>
      <c r="MJ6" s="73" t="str">
        <f>IF(AND('Mitred Cutting'!D12="Primrose",OR('Straight Cutting'!M12="H Shaped Bottom Track",'Straight Cutting'!M12="U Channel &amp; H Shaped Bottom Track")),'Straight Cutting'!N12,"")</f>
        <v/>
      </c>
      <c r="MK6" s="73" t="str">
        <f>IF(AND('Mitred Cutting'!D12="Ultra Silver",OR('Straight Cutting'!M12="H Shaped Bottom Track",'Straight Cutting'!M12="U Channel &amp; H Shaped Bottom Track")),'Straight Cutting'!N12,"")</f>
        <v/>
      </c>
      <c r="ML6" s="73" t="str">
        <f>IF(AND('Mitred Cutting'!D12="Woodland Grey(Green Tone)",OR('Straight Cutting'!M12="H Shaped Bottom Track",'Straight Cutting'!M12="U Channel &amp; H Shaped Bottom Track")),'Straight Cutting'!N12,"")</f>
        <v/>
      </c>
      <c r="MM6" s="73" t="str">
        <f>IF(AND('Mitred Cutting'!D12="Pearl White",OR('Straight Cutting'!M12="H Shaped Bottom Track",'Straight Cutting'!M12="U Channel &amp; H Shaped Bottom Track")),'Straight Cutting'!N12,"")</f>
        <v/>
      </c>
      <c r="MN6" s="73" t="str">
        <f>IF(AND('Mitred Cutting'!D12="Monument",OR('Straight Cutting'!M12="H Shaped Bottom Track",'Straight Cutting'!M12="U Channel &amp; H Shaped Bottom Track")),'Straight Cutting'!N12,"")</f>
        <v/>
      </c>
      <c r="MO6" s="73" t="str">
        <f>IF(AND('Mitred Cutting'!D12="Surfmist",OR('Straight Cutting'!M12="H Shaped Bottom Track",'Straight Cutting'!M12="U Channel &amp; H Shaped Bottom Track")),'Straight Cutting'!N12,"")</f>
        <v/>
      </c>
      <c r="MP6" s="73" t="str">
        <f>IF(AND('Mitred Cutting'!D12="Dune",OR('Straight Cutting'!M12="H Shaped Bottom Track",'Straight Cutting'!M12="U Channel &amp; H Shaped Bottom Track")),'Straight Cutting'!N12,"")</f>
        <v/>
      </c>
      <c r="MQ6" s="73" t="str">
        <f>IF(AND('Job Sheet'!Z12="Custom Powdercoat",OR('Straight Cutting'!M12="H Shaped Bottom Track",'Straight Cutting'!M12="U Channel &amp; H Shaped Bottom Track")),'Straight Cutting'!N12,"")</f>
        <v/>
      </c>
      <c r="MR6" s="73" t="str">
        <f>IF(AND('Straight Cutting'!P12="APO Grey",(OR('Job Sheet'!AI12="Yes",'Job Sheet'!AI12="Yes - Centre"))),'Straight Cutting'!Q12,"")</f>
        <v/>
      </c>
      <c r="MS6" s="73" t="str">
        <f>IF(AND('Straight Cutting'!P12="White Birch",(OR('Job Sheet'!AI12="Yes",'Job Sheet'!AI12="Yes - Centre"))),'Straight Cutting'!Q12,"")</f>
        <v/>
      </c>
      <c r="MT6" s="73" t="str">
        <f>IF(AND('Straight Cutting'!P12="Black",(OR('Job Sheet'!AI12="Yes",'Job Sheet'!AI12="Yes - Centre"))),'Straight Cutting'!Q12,"")</f>
        <v/>
      </c>
      <c r="MU6" s="73" t="str">
        <f>IF(AND('Straight Cutting'!P12="Brown",(OR('Job Sheet'!AI12="Yes",'Job Sheet'!AI12="Yes - Centre"))),'Straight Cutting'!Q12,"")</f>
        <v/>
      </c>
      <c r="MV6" s="73" t="str">
        <f>IF(AND('Straight Cutting'!P12="Deep Ocean",(OR('Job Sheet'!AI12="Yes",'Job Sheet'!AI12="Yes - Centre"))),'Straight Cutting'!Q12,"")</f>
        <v/>
      </c>
      <c r="MW6" s="73" t="str">
        <f>IF(AND('Straight Cutting'!P12="Jasper",(OR('Job Sheet'!AI12="Yes",'Job Sheet'!AI12="Yes - Centre"))),'Straight Cutting'!Q12,"")</f>
        <v/>
      </c>
      <c r="MX6" s="73" t="str">
        <f>IF(AND('Straight Cutting'!P12="Paperbark",(OR('Job Sheet'!AI12="Yes",'Job Sheet'!AI12="Yes - Centre"))),'Straight Cutting'!Q12,"")</f>
        <v/>
      </c>
      <c r="MY6" s="73" t="str">
        <f>IF(AND('Straight Cutting'!P12="Mist Green",(OR('Job Sheet'!AI12="Yes",'Job Sheet'!AI12="Yes - Centre"))),'Straight Cutting'!Q12,"")</f>
        <v/>
      </c>
      <c r="MZ6" s="73" t="str">
        <f>IF(AND('Straight Cutting'!P12="Primrose",(OR('Job Sheet'!AI12="Yes",'Job Sheet'!AI12="Yes - Centre"))),'Straight Cutting'!Q12,"")</f>
        <v/>
      </c>
      <c r="NA6" s="73" t="str">
        <f>IF(AND('Straight Cutting'!P12="Ultra Silver",(OR('Job Sheet'!AI12="Yes",'Job Sheet'!AI12="Yes - Centre"))),'Straight Cutting'!Q12,"")</f>
        <v/>
      </c>
      <c r="NB6" s="73" t="str">
        <f>IF(AND('Straight Cutting'!P12="Woodland Grey(Green Tone)",(OR('Job Sheet'!AI12="Yes",'Job Sheet'!AI12="Yes - Centre"))),'Straight Cutting'!Q12,"")</f>
        <v/>
      </c>
      <c r="NC6" s="73" t="str">
        <f>IF(AND('Straight Cutting'!P12="Pearl White",(OR('Job Sheet'!AI12="Yes",'Job Sheet'!AI12="Yes - Centre"))),'Straight Cutting'!Q12,"")</f>
        <v/>
      </c>
      <c r="ND6" s="73" t="str">
        <f>IF(AND('Straight Cutting'!P12="Monument",(OR('Job Sheet'!AI12="Yes",'Job Sheet'!AI12="Yes - Centre"))),'Straight Cutting'!Q12,"")</f>
        <v/>
      </c>
      <c r="NE6" s="73" t="str">
        <f>IF(AND('Straight Cutting'!P12="Surfmist",(OR('Job Sheet'!AI12="Yes",'Job Sheet'!AI12="Yes - Centre"))),'Straight Cutting'!Q12,"")</f>
        <v/>
      </c>
      <c r="NF6" s="73" t="str">
        <f>IF(AND('Straight Cutting'!P12="Dune",(OR('Job Sheet'!AI12="Yes",'Job Sheet'!AI12="Yes - Centre"))),'Straight Cutting'!Q12,"")</f>
        <v/>
      </c>
      <c r="NH6" s="73" t="str">
        <f>IF(AND('Straight Cutting'!P12="APO Grey",(OR('Job Sheet'!AI12="Yes",'Job Sheet'!AI12="Yes - Centre"))),'Straight Cutting'!R12,"")</f>
        <v/>
      </c>
      <c r="NI6" s="73" t="str">
        <f>IF(AND('Straight Cutting'!P12="White Birch",(OR('Job Sheet'!AI12="Yes",'Job Sheet'!AI12="Yes - Centre"))),'Straight Cutting'!R12,"")</f>
        <v/>
      </c>
      <c r="NJ6" s="73" t="str">
        <f>IF(AND('Straight Cutting'!P12="Black",(OR('Job Sheet'!AI12="Yes",'Job Sheet'!AI12="Yes - Centre"))),'Straight Cutting'!R12,"")</f>
        <v/>
      </c>
      <c r="NK6" s="73" t="str">
        <f>IF(AND('Straight Cutting'!P12="Brown",(OR('Job Sheet'!AI12="Yes",'Job Sheet'!AI12="Yes - Centre"))),'Straight Cutting'!R12,"")</f>
        <v/>
      </c>
      <c r="NL6" s="73" t="str">
        <f>IF(AND('Straight Cutting'!P12="Deep Ocean",(OR('Job Sheet'!AI12="Yes",'Job Sheet'!AI12="Yes - Centre"))),'Straight Cutting'!R12,"")</f>
        <v/>
      </c>
      <c r="NM6" s="73" t="str">
        <f>IF(AND('Straight Cutting'!P12="Jasper",(OR('Job Sheet'!AI12="Yes",'Job Sheet'!AI12="Yes - Centre"))),'Straight Cutting'!R12,"")</f>
        <v/>
      </c>
      <c r="NN6" s="73" t="str">
        <f>IF(AND('Straight Cutting'!P12="Paperbark",(OR('Job Sheet'!AI12="Yes",'Job Sheet'!AI12="Yes - Centre"))),'Straight Cutting'!R12,"")</f>
        <v/>
      </c>
      <c r="NO6" s="73" t="str">
        <f>IF(AND('Straight Cutting'!P12="Mist Green",(OR('Job Sheet'!AI12="Yes",'Job Sheet'!AI12="Yes - Centre"))),'Straight Cutting'!R12,"")</f>
        <v/>
      </c>
      <c r="NP6" s="73" t="str">
        <f>IF(AND('Straight Cutting'!P12="Primrose",(OR('Job Sheet'!AI12="Yes",'Job Sheet'!AI12="Yes - Centre"))),'Straight Cutting'!R12,"")</f>
        <v/>
      </c>
      <c r="NQ6" s="73" t="str">
        <f>IF(AND('Straight Cutting'!P12="Ultra Silver",(OR('Job Sheet'!AI12="Yes",'Job Sheet'!AI12="Yes - Centre"))),'Straight Cutting'!R12,"")</f>
        <v/>
      </c>
      <c r="NR6" s="73" t="str">
        <f>IF(AND('Straight Cutting'!P12="Woodland Grey(Green Tone)",(OR('Job Sheet'!AI12="Yes",'Job Sheet'!AI12="Yes - Centre"))),'Straight Cutting'!R12,"")</f>
        <v/>
      </c>
      <c r="NS6" s="73" t="str">
        <f>IF(AND('Straight Cutting'!P12="Pearl White",(OR('Job Sheet'!AI12="Yes",'Job Sheet'!AI12="Yes - Centre"))),'Straight Cutting'!R12,"")</f>
        <v/>
      </c>
      <c r="NT6" s="73" t="str">
        <f>IF(AND('Straight Cutting'!P12="Monument",(OR('Job Sheet'!AI12="Yes",'Job Sheet'!AI12="Yes - Centre"))),'Straight Cutting'!R12,"")</f>
        <v/>
      </c>
      <c r="NU6" s="73" t="str">
        <f>IF(AND('Straight Cutting'!P12="Surfmist",(OR('Job Sheet'!AI12="Yes",'Job Sheet'!AI12="Yes - Centre"))),'Straight Cutting'!R12,"")</f>
        <v/>
      </c>
      <c r="NV6" s="73" t="str">
        <f>IF(AND('Straight Cutting'!P12="Dune",(OR('Job Sheet'!AI12="Yes",'Job Sheet'!AI12="Yes - Centre"))),'Straight Cutting'!R12,"")</f>
        <v/>
      </c>
      <c r="ON6" s="73">
        <f>IF(Data!AW12="","",IF(VLOOKUP(CONCATENATE(Data!BO12,'Job Sheet'!AE12),DoorType,4,FALSE)="Yes",(('Job Sheet'!BH12-98)*2+('Job Sheet'!BI12-96)*2)/2700,""))</f>
        <v>1.96962962962963</v>
      </c>
      <c r="OO6" s="73">
        <f>IF(Data!AW12="","",IF('Mitred Cutting'!F12="1.6mm",(('Job Sheet'!BH12-114)*2+('Job Sheet'!BI12-114)*2)/3100,""))</f>
        <v>1.69354838709677</v>
      </c>
      <c r="OP6" s="73" t="str">
        <f>IF(Data!AW12="","",IF('Mitred Cutting'!F12="2mm",(('Job Sheet'!BH12-114)*2+('Job Sheet'!BI12-114)*2)/3100,""))</f>
        <v/>
      </c>
      <c r="OQ6" s="48" t="str">
        <f>IF(Data!AW12="","",IF('Straight Cutting'!R12&lt;&gt;"",(('Job Sheet'!BO12*4)+('Job Sheet'!BQ12*2)+('Job Sheet'!BP12*2))/4000,IF('Mitred Cutting'!C12="Invisi-Gard",(('Job Sheet'!BO12+'Job Sheet'!BP12)*2)/4000,"")))</f>
        <v/>
      </c>
      <c r="OR6" s="48" t="str">
        <f t="shared" si="2" ref="OR6:OR14">IF(OQ6="","",OQ6/25)</f>
        <v/>
      </c>
      <c r="OS6" s="48" t="str">
        <f t="shared" si="3" ref="OS6:OS14">OR6</f>
        <v/>
      </c>
      <c r="OT6" s="73">
        <f>IF(D6="","",'Job Sheet'!BH12-2)</f>
        <v>812</v>
      </c>
      <c r="OU6" s="73" t="str">
        <f>IF(OR('Job Sheet'!AE12="Fibreglass Mesh",'Job Sheet'!AE12="Tuff Mesh",'Job Sheet'!AE12="Pet Mesh",'Job Sheet'!AE12="Aluminium Mesh"),'Job Sheet'!BH12*2+'Job Sheet'!BI12*2-200,"")</f>
        <v/>
      </c>
      <c r="OV6" s="73" t="str">
        <f>IF('Job Sheet'!M12="Not Required","",IF(Punching!K12="Hinged High",1,""))</f>
        <v/>
      </c>
      <c r="OW6" s="73" t="str">
        <f>IF('Job Sheet'!M12="Not Required","",IF(Punching!K12="Hinged Low",1,""))</f>
        <v/>
      </c>
      <c r="OX6" s="73" t="str">
        <f>IF('Job Sheet'!M12="Not Required","",IF(Punching!K12="Hinged Pool",1,""))</f>
        <v/>
      </c>
      <c r="OY6" s="73" t="str">
        <f>IF('Job Sheet'!M12="Not Required","",IF(Punching!K12="Hinged Adjustable",1,""))</f>
        <v/>
      </c>
      <c r="OZ6" s="73" t="str">
        <f>IF('Job Sheet'!M12="Not Required","",IF(Punching!K12="Sliding High",1,""))</f>
        <v/>
      </c>
      <c r="PA6" s="73" t="str">
        <f>IF('Job Sheet'!M12="Not Required","",IF(Punching!K12="Sliding Low",1,""))</f>
        <v/>
      </c>
      <c r="PB6" s="73" t="str">
        <f>IF('Job Sheet'!M12="Not Required","",IF(Punching!K12="Sliding Pool",1,""))</f>
        <v/>
      </c>
      <c r="PC6" s="73" t="str">
        <f>IF('Job Sheet'!M12="Not Required","",IF(Punching!K12="Sliding Adjustable",1,""))</f>
        <v/>
      </c>
      <c r="PD6" s="73">
        <f t="shared" si="0"/>
        <v>4</v>
      </c>
      <c r="PH6" s="73" t="str">
        <f>IF('Job Sheet'!AV12&lt;&gt;"Yes","",IF(OR('Job Sheet'!AY12="Left",'Job Sheet'!AY12="Right"),"1","2"))</f>
        <v/>
      </c>
      <c r="PO6" s="73" t="str">
        <f>IF('Job Sheet'!M12="Bass Latch",1,"")</f>
        <v/>
      </c>
      <c r="PP6" s="73" t="str">
        <f>IF('Job Sheet'!AU12="Yes","2","")</f>
        <v/>
      </c>
      <c r="PQ6" s="73" t="str">
        <f>IF('Job Sheet'!U12="Black",1,"")</f>
        <v/>
      </c>
      <c r="PR6" s="73" t="str">
        <f>IF('Job Sheet'!U12="Dune",1,"")</f>
        <v/>
      </c>
      <c r="PS6" s="73" t="str">
        <f>IF('Job Sheet'!U12="Jasper",1,"")</f>
        <v/>
      </c>
      <c r="PT6" s="73" t="str">
        <f>IF('Job Sheet'!U12="Monument",1,"")</f>
        <v/>
      </c>
      <c r="PU6" s="73">
        <f>IF('Job Sheet'!U12="Paperbark",1,"")</f>
        <v>1</v>
      </c>
      <c r="PV6" s="73" t="str">
        <f>IF('Job Sheet'!U12="Primrose",1,"")</f>
        <v/>
      </c>
      <c r="PW6" s="73" t="str">
        <f>IF('Job Sheet'!U12="Surfmist",1,"")</f>
        <v/>
      </c>
      <c r="PX6" s="73" t="str">
        <f>IF('Job Sheet'!U12="White",1,"")</f>
        <v/>
      </c>
      <c r="PY6" s="73" t="str">
        <f>IF('Job Sheet'!U12="Woodland Grey(Green Tone)",1,"")</f>
        <v/>
      </c>
      <c r="PZ6" s="73" t="str">
        <f>IF(AND(OR('Job Sheet'!M12="Single Lock",'Job Sheet'!M12="Triple Lock"),'Job Sheet'!J12="Hinged",'Job Sheet'!Q12="Black"),1,"")</f>
        <v/>
      </c>
      <c r="QA6" s="73" t="str">
        <f>IF(AND(OR('Job Sheet'!M12="Single Lock",'Job Sheet'!M12="Triple Lock"),'Job Sheet'!J12="Hinged",'Job Sheet'!Q12="Dune"),1,"")</f>
        <v/>
      </c>
      <c r="QB6" s="73" t="str">
        <f>IF(AND(OR('Job Sheet'!M12="Single Lock",'Job Sheet'!M12="Triple Lock"),'Job Sheet'!J12="Hinged",'Job Sheet'!Q12="Jasper"),1,"")</f>
        <v/>
      </c>
      <c r="QC6" s="73" t="str">
        <f>IF(AND(OR('Job Sheet'!M12="Single Lock",'Job Sheet'!M12="Triple Lock"),'Job Sheet'!J12="Hinged",'Job Sheet'!Q12="Monument"),1,"")</f>
        <v/>
      </c>
      <c r="QD6" s="73">
        <f>IF(AND(OR('Job Sheet'!M12="Single Lock",'Job Sheet'!M12="Triple Lock"),'Job Sheet'!J12="Hinged",'Job Sheet'!Q12="Paperbark"),1,"")</f>
        <v>1</v>
      </c>
      <c r="QE6" s="73" t="str">
        <f>IF(AND(OR('Job Sheet'!M12="Single Lock",'Job Sheet'!M12="Triple Lock"),'Job Sheet'!J12="Hinged",'Job Sheet'!Q12="Primrose"),1,"")</f>
        <v/>
      </c>
      <c r="QF6" s="73" t="str">
        <f>IF(AND(OR('Job Sheet'!M12="Single Lock",'Job Sheet'!M12="Triple Lock"),'Job Sheet'!J12="Hinged",'Job Sheet'!Q12="Surfmist"),1,"")</f>
        <v/>
      </c>
      <c r="QG6" s="73" t="str">
        <f>IF(AND(OR('Job Sheet'!M12="Single Lock",'Job Sheet'!M12="Triple Lock"),'Job Sheet'!J12="Hinged",'Job Sheet'!Q12="White"),1,"")</f>
        <v/>
      </c>
      <c r="QH6" s="73" t="str">
        <f>IF(AND(OR('Job Sheet'!M12="Single Lock",'Job Sheet'!M12="Triple Lock"),'Job Sheet'!J12="Hinged",'Job Sheet'!Q12="Woodland Grey(Green Tone)"),1,"")</f>
        <v/>
      </c>
      <c r="QI6" s="73" t="str">
        <f>IF(AND(OR('Job Sheet'!M12="Push 2 Go Single Lock",'Job Sheet'!M12="Push 2 Go Triple Lock"),'Job Sheet'!J12="Hinged",'Job Sheet'!Q12="Black"),1,"")</f>
        <v/>
      </c>
      <c r="QJ6" s="73" t="str">
        <f>IF(AND(OR('Job Sheet'!M12="Push 2 Go Single Lock",'Job Sheet'!M12="Push 2 Go Triple Lock"),'Job Sheet'!J12="Hinged",'Job Sheet'!Q12="Dune"),1,"")</f>
        <v/>
      </c>
      <c r="QK6" s="73" t="str">
        <f>IF(AND(OR('Job Sheet'!M12="Push 2 Go Single Lock",'Job Sheet'!M12="Push 2 Go Triple Lock"),'Job Sheet'!J12="Hinged",'Job Sheet'!Q12="Jasper"),1,"")</f>
        <v/>
      </c>
      <c r="QL6" s="73" t="str">
        <f>IF(AND(OR('Job Sheet'!M12="Push 2 Go Single Lock",'Job Sheet'!M12="Push 2 Go Triple Lock"),'Job Sheet'!J12="Hinged",'Job Sheet'!Q12="Monument"),1,"")</f>
        <v/>
      </c>
      <c r="QM6" s="73" t="str">
        <f>IF(AND(OR('Job Sheet'!M12="Push 2 Go Single Lock",'Job Sheet'!M12="Push 2 Go Triple Lock"),'Job Sheet'!J12="Hinged",'Job Sheet'!Q12="Paperbark"),1,"")</f>
        <v/>
      </c>
      <c r="QN6" s="73" t="str">
        <f>IF(AND(OR('Job Sheet'!M12="Push 2 Go Single Lock",'Job Sheet'!M12="Push 2 Go Triple Lock"),'Job Sheet'!J12="Hinged",'Job Sheet'!Q12="Primrose"),1,"")</f>
        <v/>
      </c>
      <c r="QO6" s="73" t="str">
        <f>IF(AND(OR('Job Sheet'!M12="Push 2 Go Single Lock",'Job Sheet'!M12="Push 2 Go Triple Lock"),'Job Sheet'!J12="Hinged",'Job Sheet'!Q12="Surfmist"),1,"")</f>
        <v/>
      </c>
      <c r="QP6" s="73" t="str">
        <f>IF(AND(OR('Job Sheet'!M12="Push 2 Go Single Lock",'Job Sheet'!M12="Push 2 Go Triple Lock"),'Job Sheet'!J12="Hinged",'Job Sheet'!Q12="White"),1,"")</f>
        <v/>
      </c>
      <c r="QQ6" s="73" t="str">
        <f>IF(AND(OR('Job Sheet'!M12="Push 2 Go Single Lock",'Job Sheet'!M12="Push 2 Go Triple Lock"),'Job Sheet'!J12="Hinged",'Job Sheet'!Q12="Woodland Grey(Green Tone)"),1,"")</f>
        <v/>
      </c>
      <c r="QR6" s="73" t="str">
        <f>IF('Job Sheet'!M12="Bass Latch","",IF(AND(OR('Job Sheet'!J12="Sliding",'Job Sheet'!J12="Stacker"),'Job Sheet'!Q12="Black"),1,""))</f>
        <v/>
      </c>
      <c r="QS6" s="73" t="str">
        <f>IF('Job Sheet'!M12="Bass Latch","",IF(AND(OR('Job Sheet'!J12="Sliding",'Job Sheet'!J12="Stacker"),'Job Sheet'!Q12="Dune"),1,""))</f>
        <v/>
      </c>
      <c r="QT6" s="73" t="str">
        <f>IF('Job Sheet'!M12="Bass Latch","",IF(AND(OR('Job Sheet'!J12="Sliding",'Job Sheet'!J12="Stacker"),'Job Sheet'!Q12="Jasper"),1,""))</f>
        <v/>
      </c>
      <c r="QU6" s="73" t="str">
        <f>IF('Job Sheet'!M12="Bass Latch","",IF(AND(OR('Job Sheet'!J12="Sliding",'Job Sheet'!J12="Stacker"),'Job Sheet'!Q12="Monument"),1,""))</f>
        <v/>
      </c>
      <c r="QV6" s="73" t="str">
        <f>IF('Job Sheet'!M12="Bass Latch","",IF(AND(OR('Job Sheet'!J12="Sliding",'Job Sheet'!J12="Stacker"),'Job Sheet'!Q12="Paperbark"),1,""))</f>
        <v/>
      </c>
      <c r="QW6" s="73" t="str">
        <f>IF('Job Sheet'!M12="Bass Latch","",IF(AND(OR('Job Sheet'!J12="Sliding",'Job Sheet'!J12="Stacker"),'Job Sheet'!Q12="Primrose"),1,""))</f>
        <v/>
      </c>
      <c r="QX6" s="73" t="str">
        <f>IF('Job Sheet'!M12="Bass Latch","",IF(AND(OR('Job Sheet'!J12="Sliding",'Job Sheet'!J12="Stacker"),'Job Sheet'!Q12="Surfmist"),1,""))</f>
        <v/>
      </c>
      <c r="QY6" s="73" t="str">
        <f>IF('Job Sheet'!M12="Bass Latch","",IF(AND('Job Sheet'!J12="Sliding",'Job Sheet'!Q12="White"),1,""))</f>
        <v/>
      </c>
      <c r="QZ6" s="73" t="str">
        <f>IF('Job Sheet'!M12="Bass Latch","",IF(AND(OR('Job Sheet'!J12="Sliding",'Job Sheet'!J12="Stacker"),'Job Sheet'!Q12="Woodland Grey(Green Tone)"),1,""))</f>
        <v/>
      </c>
      <c r="RA6" s="73">
        <f>IF(OR('Job Sheet'!M12="Single Lock",'Job Sheet'!M12="Triple Lock"),1,"")</f>
        <v>1</v>
      </c>
      <c r="RB6" s="73" t="str">
        <f>IF('Job Sheet'!R12="Extended",1,"")</f>
        <v/>
      </c>
      <c r="RC6" s="73" t="str">
        <f>IF(OR('Job Sheet'!J12="Sliding",'Job Sheet'!J12="Stacker"),4,"")</f>
        <v/>
      </c>
      <c r="RD6" s="73">
        <f>IF('Job Sheet'!J12="Hinged",3,"")</f>
        <v>3</v>
      </c>
      <c r="RF6" s="73" t="str">
        <f>IF(AND('Job Sheet'!AW12="Small 190mm x 240mm",'Job Sheet'!AX12="Black"),1,"")</f>
        <v/>
      </c>
      <c r="RG6" s="73" t="str">
        <f>IF(AND('Job Sheet'!AW12="Medium 225mm x 305mm",'Job Sheet'!AX12="Black"),1,"")</f>
        <v/>
      </c>
      <c r="RH6" s="73" t="str">
        <f>IF(AND('Job Sheet'!AW12="Large 260mm x 400mm",'Job Sheet'!AX12="Black"),1,"")</f>
        <v/>
      </c>
      <c r="RI6" s="73" t="str">
        <f>IF(AND('Job Sheet'!AW12="Small 190mm x 240mm",'Job Sheet'!AX12="White"),1,"")</f>
        <v/>
      </c>
      <c r="RJ6" s="73" t="str">
        <f>IF(AND('Job Sheet'!AW12="Medium 225mm x 305mm",'Job Sheet'!AX12="White"),1,"")</f>
        <v/>
      </c>
      <c r="RK6" s="73" t="str">
        <f>IF(AND('Job Sheet'!AW12="Large 260mm x 400mm",'Job Sheet'!AX12="White"),1,"")</f>
        <v/>
      </c>
      <c r="RL6" s="73" t="str">
        <f>IF('Job Sheet'!AQ12="T Mullion with Cutouts and 2 Lock Bolts",2,"")</f>
        <v/>
      </c>
      <c r="RM6" s="73" t="str">
        <f>IF('Job Sheet'!U12="Water Closer",1,"")</f>
        <v/>
      </c>
      <c r="RN6" s="73" t="str">
        <f>IF('Job Sheet'!AO12="Yes, Included in other Door","",IF(OR('Mitred Cutting'!I12="Long Leg Left, Right and Top",'Mitred Cutting'!I12="Short Leg Left, Right and Top"),2,""))</f>
        <v/>
      </c>
      <c r="RO6" s="73" t="str">
        <f>IF(AND('Mitred Cutting'!C12="Invisi-Gard",(OR('Job Sheet'!AI12="Yes",'Job Sheet'!AI12="Yes - Centre"))),2,"")</f>
        <v/>
      </c>
      <c r="RQ6" s="73" t="str">
        <f>IF('Job Sheet'!M12="Ultra Secua Digital Triple Lock",1,"")</f>
        <v/>
      </c>
      <c r="RT6" s="73" t="str">
        <f>IF(AND('Job Sheet'!BL12="750 x 2000",(OR('Job Sheet'!BK12="Woven Stainless Steel",'Job Sheet'!BK12="Invisi-Gard Woven Stainless Steel"))),1,"")</f>
        <v/>
      </c>
      <c r="RU6" s="73" t="str">
        <f>IF(AND('Job Sheet'!BL12="750 x 2400",(OR('Job Sheet'!BK12="Woven Stainless Steel",'Job Sheet'!BK12="Invisi-Gard Woven Stainless Steel"))),1,"")</f>
        <v/>
      </c>
      <c r="RV6" s="73" t="str">
        <f>IF(AND('Job Sheet'!BL12="750 x 3000",(OR('Job Sheet'!BK12="Woven Stainless Steel",'Job Sheet'!BK12="Invisi-Gard Woven Stainless Steel"))),1,"")</f>
        <v/>
      </c>
      <c r="RW6" s="73" t="str">
        <f>IF(AND('Job Sheet'!BL12="900 x 2000",(OR('Job Sheet'!BK12="Woven Stainless Steel",'Job Sheet'!BK12="Invisi-Gard Woven Stainless Steel"))),1,"")</f>
        <v/>
      </c>
      <c r="RX6" s="73" t="str">
        <f>IF(AND('Job Sheet'!BL12="900 x 2400",(OR('Job Sheet'!BK12="Woven Stainless Steel",'Job Sheet'!BK12="Invisi-Gard Woven Stainless Steel"))),1,"")</f>
        <v/>
      </c>
      <c r="RY6" s="73" t="str">
        <f>IF(AND('Job Sheet'!BL12="900 x 3000",(OR('Job Sheet'!BK12="Woven Stainless Steel",'Job Sheet'!BK12="Invisi-Gard Woven Stainless Steel"))),1,"")</f>
        <v/>
      </c>
      <c r="RZ6" s="73" t="str">
        <f>IF(AND('Job Sheet'!BL12="1200 x 2000",(OR('Job Sheet'!BK12="Woven Stainless Steel",'Job Sheet'!BK12="Invisi-Gard Woven Stainless Steel"))),1,"")</f>
        <v/>
      </c>
      <c r="SA6" s="73" t="str">
        <f>IF(AND('Job Sheet'!BL12="1200 x 2400",(OR('Job Sheet'!BK12="Woven Stainless Steel",'Job Sheet'!BK12="Invisi-Gard Woven Stainless Steel"))),1,"")</f>
        <v/>
      </c>
      <c r="SB6" s="73" t="str">
        <f>IF(AND('Job Sheet'!BL12="1200 x 3000",(OR('Job Sheet'!BK12="Woven Stainless Steel",'Job Sheet'!BK12="Invisi-Gard Woven Stainless Steel"))),1,"")</f>
        <v/>
      </c>
      <c r="SC6" s="73" t="str">
        <f>IF(AND('Job Sheet'!BL12="1500 x 2000",(OR('Job Sheet'!BK12="Woven Stainless Steel",'Job Sheet'!BK12="Invisi-Gard Woven Stainless Steel"))),1,"")</f>
        <v/>
      </c>
      <c r="SD6" s="73" t="str">
        <f>IF(AND('Job Sheet'!BL12="1500 x 2400",(OR('Job Sheet'!BK12="Woven Stainless Steel",'Job Sheet'!BK12="Invisi-Gard Woven Stainless Steel"))),1,"")</f>
        <v/>
      </c>
      <c r="SE6" s="73" t="str">
        <f>IF(AND('Job Sheet'!BL12="1500 x 3000",(OR('Job Sheet'!BK12="Woven Stainless Steel",'Job Sheet'!BK12="Invisi-Gard Woven Stainless Steel"))),1,"")</f>
        <v/>
      </c>
      <c r="SF6" s="73">
        <f>IF(AND('Job Sheet'!BK12="Alu-Gard Perforated Aluminium",'Job Sheet'!BL12="750 x 2000"),1,"")</f>
        <v>1</v>
      </c>
      <c r="SG6" s="73" t="str">
        <f>IF(AND('Job Sheet'!BK12="Alu-Gard Perforated Aluminium",'Job Sheet'!BL12="750 x 2400"),1,"")</f>
        <v/>
      </c>
      <c r="SH6" s="73" t="str">
        <f>IF(AND('Job Sheet'!BK12="Alu-Gard Perforated Aluminium",'Job Sheet'!BL12="750 x 3000"),1,"")</f>
        <v/>
      </c>
      <c r="SI6" s="73" t="str">
        <f>IF(AND('Job Sheet'!BK12="Alu-Gard Perforated Aluminium",'Job Sheet'!BL12="900 x 2000"),1,"")</f>
        <v/>
      </c>
      <c r="SJ6" s="73" t="str">
        <f>IF(AND('Job Sheet'!BK12="Alu-Gard Perforated Aluminium",'Job Sheet'!BL12="900 x 2400"),1,"")</f>
        <v/>
      </c>
      <c r="SK6" s="73" t="str">
        <f>IF(AND('Job Sheet'!BK12="Alu-Gard Perforated Aluminium",'Job Sheet'!BL12="900 x 3000"),1,"")</f>
        <v/>
      </c>
      <c r="SL6" s="73" t="str">
        <f>IF(AND('Job Sheet'!BK12="Alu-Gard Perforated Aluminium",'Job Sheet'!BL12="1200 x 2000"),1,"")</f>
        <v/>
      </c>
      <c r="SM6" s="73" t="str">
        <f>IF(AND('Job Sheet'!BK12="Alu-Gard Perforated Aluminium",'Job Sheet'!BL12="1200 x 2400"),1,"")</f>
        <v/>
      </c>
      <c r="SN6" s="73" t="str">
        <f>IF(AND('Job Sheet'!BK12="Alu-Gard Perforated Aluminium",'Job Sheet'!BL12="1200 x 3000"),1,"")</f>
        <v/>
      </c>
      <c r="SO6" s="73" t="str">
        <f>IF(AND('Job Sheet'!BK12="Alu-Gard Perforated Aluminium",'Job Sheet'!BL12="1500 x 2000"),1,"")</f>
        <v/>
      </c>
      <c r="SP6" s="73" t="str">
        <f>IF(AND('Job Sheet'!BK12="Alu-Gard Perforated Aluminium",'Job Sheet'!BL12="1500 x 2400"),1,"")</f>
        <v/>
      </c>
      <c r="SQ6" s="73" t="str">
        <f>IF(AND('Job Sheet'!BK12="Alu-Gard Perforated Aluminium",'Job Sheet'!BL12="1500 x 3000"),1,"")</f>
        <v/>
      </c>
      <c r="SR6" s="73" t="str">
        <f>IF(AND('Job Sheet'!BK12="Privacy-Gard",'Job Sheet'!BL12="750 x 2000"),1,"")</f>
        <v/>
      </c>
      <c r="SS6" s="73" t="str">
        <f>IF(AND('Job Sheet'!BK12="Privacy-Gard",'Job Sheet'!BL12="750 x 2400"),1,"")</f>
        <v/>
      </c>
      <c r="ST6" s="73" t="str">
        <f>IF(AND('Job Sheet'!BK12="Privacy-Gard",'Job Sheet'!BL12="900 x 2000"),1,"")</f>
        <v/>
      </c>
      <c r="SU6" s="73" t="str">
        <f>IF(AND('Job Sheet'!BK12="Privacy-Gard",'Job Sheet'!BL12="900 x 2400"),1,"")</f>
        <v/>
      </c>
      <c r="SV6" s="73" t="str">
        <f>IF(AND('Job Sheet'!BK12="Privacy-Gard",'Job Sheet'!BL12="1200 x 2000"),1,"")</f>
        <v/>
      </c>
      <c r="SW6" s="73" t="str">
        <f>IF(AND('Job Sheet'!BK12="Privacy-Gard",'Job Sheet'!BL12="1200 x 2400"),1,"")</f>
        <v/>
      </c>
      <c r="SX6" s="73" t="str">
        <f>IF(AND('Job Sheet'!BK12="Standard Diamond",'Job Sheet'!BL12="750 x 2050",'Job Sheet'!AB12="APO Grey"),1,"")</f>
        <v/>
      </c>
      <c r="SY6" s="73" t="str">
        <f>IF(AND('Job Sheet'!BK12="Standard Diamond",'Job Sheet'!BL12="750 x 2050",'Job Sheet'!AB12="White Birch"),1,"")</f>
        <v/>
      </c>
      <c r="SZ6" s="73" t="str">
        <f>IF(AND('Job Sheet'!BK12="Standard Diamond",'Job Sheet'!BL12="750 x 2050",'Job Sheet'!AB12="Black"),1,"")</f>
        <v/>
      </c>
      <c r="TA6" s="73" t="str">
        <f>IF(AND('Job Sheet'!BK12="Standard Diamond",'Job Sheet'!BL12="750 x 2050",'Job Sheet'!AB12="Brown"),1,"")</f>
        <v/>
      </c>
      <c r="TB6" s="73" t="str">
        <f>IF(AND('Job Sheet'!BK12="Standard Diamond",'Job Sheet'!BL12="750 x 2050",'Job Sheet'!AB12="Deep Ocean"),1,"")</f>
        <v/>
      </c>
      <c r="TC6" s="73" t="str">
        <f>IF(AND('Job Sheet'!BK12="Standard Diamond",'Job Sheet'!BL12="750 x 2050",'Job Sheet'!AB12="Jasper"),1,"")</f>
        <v/>
      </c>
      <c r="TD6" s="73" t="str">
        <f>IF(AND('Job Sheet'!BK12="Standard Diamond",'Job Sheet'!BL12="750 x 2050",'Job Sheet'!AB12="Paperbark"),1,"")</f>
        <v/>
      </c>
      <c r="TE6" s="73" t="str">
        <f>IF(AND('Job Sheet'!BK12="Standard Diamond",'Job Sheet'!BL12="750 x 2050",'Job Sheet'!AB12="Mist Green"),1,"")</f>
        <v/>
      </c>
      <c r="TF6" s="73" t="str">
        <f>IF(AND('Job Sheet'!BK12="Standard Diamond",'Job Sheet'!BL12="750 x 2050",'Job Sheet'!AB12="Primrose"),1,"")</f>
        <v/>
      </c>
      <c r="TG6" s="73" t="str">
        <f>IF(AND('Job Sheet'!BK12="Standard Diamond",'Job Sheet'!BL12="750 x 2050",'Job Sheet'!AB12="Ultra Silver"),1,"")</f>
        <v/>
      </c>
      <c r="TH6" s="73" t="str">
        <f>IF(AND('Job Sheet'!BK12="Standard Diamond",'Job Sheet'!BL12="750 x 2050",'Job Sheet'!AB12="Woodland Grey(Green Tone)"),1,"")</f>
        <v/>
      </c>
      <c r="TI6" s="73" t="str">
        <f>IF(AND('Job Sheet'!BK12="Standard Diamond",'Job Sheet'!BL12="750 x 2050",'Job Sheet'!AB12="Pearl White"),1,"")</f>
        <v/>
      </c>
      <c r="TJ6" s="73" t="str">
        <f>IF(AND('Job Sheet'!BK12="Standard Diamond",'Job Sheet'!BL12="750 x 2050",'Job Sheet'!AB12="Monument"),1,"")</f>
        <v/>
      </c>
      <c r="TK6" s="73" t="str">
        <f>IF(AND('Job Sheet'!BK12="Standard Diamond",'Job Sheet'!BL12="750 x 2050",'Job Sheet'!AB12="Surfmist"),1,"")</f>
        <v/>
      </c>
      <c r="TL6" s="73" t="str">
        <f>IF(AND('Job Sheet'!BK12="Standard Diamond",'Job Sheet'!BL12="750 x 2050",'Job Sheet'!AB12="Dune"),1,"")</f>
        <v/>
      </c>
      <c r="TM6" s="73" t="str">
        <f>IF(AND('Job Sheet'!BK12="Standard Diamond",'Job Sheet'!BL12="750 x 2050",'Job Sheet'!AB12="Custom Powdercoat"),1,"")</f>
        <v/>
      </c>
      <c r="TN6" s="73" t="str">
        <f>IF(AND('Job Sheet'!BK12="Standard Diamond",'Job Sheet'!BL12="835 x 2050",'Job Sheet'!AB12="APO Grey"),1,"")</f>
        <v/>
      </c>
      <c r="TO6" s="73" t="str">
        <f>IF(AND('Job Sheet'!BK12="Standard Diamond",'Job Sheet'!BL12="835 x 2050",'Job Sheet'!AB12="White Birch"),1,"")</f>
        <v/>
      </c>
      <c r="TP6" s="73" t="str">
        <f>IF(AND('Job Sheet'!BK12="Standard Diamond",'Job Sheet'!BL12="835 x 2050",'Job Sheet'!AB12="Black"),1,"")</f>
        <v/>
      </c>
      <c r="TQ6" s="73" t="str">
        <f>IF(AND('Job Sheet'!BK12="Standard Diamond",'Job Sheet'!BL12="835 x 2050",'Job Sheet'!AB12="Brown"),1,"")</f>
        <v/>
      </c>
      <c r="TR6" s="73" t="str">
        <f>IF(AND('Job Sheet'!BK12="Standard Diamond",'Job Sheet'!BL12="835 x 2050",'Job Sheet'!AB12="Deep Ocean"),1,"")</f>
        <v/>
      </c>
      <c r="TS6" s="73" t="str">
        <f>IF(AND('Job Sheet'!BK12="Standard Diamond",'Job Sheet'!BL12="835 x 2050",'Job Sheet'!AB12="Jasper"),1,"")</f>
        <v/>
      </c>
      <c r="TT6" s="73" t="str">
        <f>IF(AND('Job Sheet'!BK12="Standard Diamond",'Job Sheet'!BL12="835 x 2050",'Job Sheet'!AB12="Paperbark"),1,"")</f>
        <v/>
      </c>
      <c r="TU6" s="73" t="str">
        <f>IF(AND('Job Sheet'!BK12="Standard Diamond",'Job Sheet'!BL12="835 x 2050",'Job Sheet'!AB12="Mist Green"),1,"")</f>
        <v/>
      </c>
      <c r="TV6" s="73" t="str">
        <f>IF(AND('Job Sheet'!BK12="Standard Diamond",'Job Sheet'!BL12="835 x 2050",'Job Sheet'!AB12="Primrose"),1,"")</f>
        <v/>
      </c>
      <c r="TW6" s="73" t="str">
        <f>IF(AND('Job Sheet'!BK12="Standard Diamond",'Job Sheet'!BL12="835 x 2050",'Job Sheet'!AB12="Ultra Silver"),1,"")</f>
        <v/>
      </c>
      <c r="TX6" s="73" t="str">
        <f>IF(AND('Job Sheet'!BK12="Standard Diamond",'Job Sheet'!BL12="835 x 2050",'Job Sheet'!AB12="Woodland Grey(Green Tone)"),1,"")</f>
        <v/>
      </c>
      <c r="TY6" s="73" t="str">
        <f>IF(AND('Job Sheet'!BK12="Standard Diamond",'Job Sheet'!BL12="835 x 2050",'Job Sheet'!AB12="Pearl White"),1,"")</f>
        <v/>
      </c>
      <c r="TZ6" s="73" t="str">
        <f>IF(AND('Job Sheet'!BK12="Standard Diamond",'Job Sheet'!BL12="835 x 2050",'Job Sheet'!AB12="Monument"),1,"")</f>
        <v/>
      </c>
      <c r="UA6" s="73" t="str">
        <f>IF(AND('Job Sheet'!BK12="Standard Diamond",'Job Sheet'!BL12="835 x 2050",'Job Sheet'!AB12="Surfmist"),1,"")</f>
        <v/>
      </c>
      <c r="UB6" s="73" t="str">
        <f>IF(AND('Job Sheet'!BK12="Standard Diamond",'Job Sheet'!BL12="835 x 2050",'Job Sheet'!AB12="Dune"),1,"")</f>
        <v/>
      </c>
      <c r="UC6" s="73" t="str">
        <f>IF(AND('Job Sheet'!BK12="Standard Diamond",'Job Sheet'!BL12="835 x 2050",'Job Sheet'!AB12="Custom Powdercoat"),1,"")</f>
        <v/>
      </c>
      <c r="UD6" s="73" t="str">
        <f>IF(AND('Job Sheet'!BK12="Standard Diamond",'Job Sheet'!BL12="920 x 2050",'Job Sheet'!AB12="APO Grey"),1,"")</f>
        <v/>
      </c>
      <c r="UE6" s="73" t="str">
        <f>IF(AND('Job Sheet'!BK12="Standard Diamond",'Job Sheet'!BL12="920 x 2050",'Job Sheet'!AB12="White Birch"),1,"")</f>
        <v/>
      </c>
      <c r="UF6" s="73" t="str">
        <f>IF(AND('Job Sheet'!BK12="Standard Diamond",'Job Sheet'!BL12="920 x 2050",'Job Sheet'!AB12="Black"),1,"")</f>
        <v/>
      </c>
      <c r="UG6" s="73" t="str">
        <f>IF(AND('Job Sheet'!BK12="Standard Diamond",'Job Sheet'!BL12="920 x 2050",'Job Sheet'!AB12="Brown"),1,"")</f>
        <v/>
      </c>
      <c r="UH6" s="73" t="str">
        <f>IF(AND('Job Sheet'!BK12="Standard Diamond",'Job Sheet'!BL12="920 x 2050",'Job Sheet'!AB12="Deep Ocean"),1,"")</f>
        <v/>
      </c>
      <c r="UI6" s="73" t="str">
        <f>IF(AND('Job Sheet'!BK12="Standard Diamond",'Job Sheet'!BL12="920 x 2050",'Job Sheet'!AB12="Jasper"),1,"")</f>
        <v/>
      </c>
      <c r="UJ6" s="73" t="str">
        <f>IF(AND('Job Sheet'!BK12="Standard Diamond",'Job Sheet'!BL12="920 x 2050",'Job Sheet'!AB12="Paperbark"),1,"")</f>
        <v/>
      </c>
      <c r="UK6" s="73" t="str">
        <f>IF(AND('Job Sheet'!BK12="Standard Diamond",'Job Sheet'!BL12="920 x 2050",'Job Sheet'!AB12="Mist Green"),1,"")</f>
        <v/>
      </c>
      <c r="UL6" s="73" t="str">
        <f>IF(AND('Job Sheet'!BK12="Standard Diamond",'Job Sheet'!BL12="920 x 2050",'Job Sheet'!AB12="Primrose"),1,"")</f>
        <v/>
      </c>
      <c r="UM6" s="73" t="str">
        <f>IF(AND('Job Sheet'!BK12="Standard Diamond",'Job Sheet'!BL12="920 x 2050",'Job Sheet'!AB12="Ultra Silver"),1,"")</f>
        <v/>
      </c>
      <c r="UN6" s="73" t="str">
        <f>IF(AND('Job Sheet'!BK12="Standard Diamond",'Job Sheet'!BL12="920 x 2050",'Job Sheet'!AB12="Woodland Grey(Green Tone)"),1,"")</f>
        <v/>
      </c>
      <c r="UO6" s="73" t="str">
        <f>IF(AND('Job Sheet'!BK12="Standard Diamond",'Job Sheet'!BL12="920 x 2050",'Job Sheet'!AB12="Pearl White"),1,"")</f>
        <v/>
      </c>
      <c r="UP6" s="73" t="str">
        <f>IF(AND('Job Sheet'!BK12="Standard Diamond",'Job Sheet'!BL12="920 x 2050",'Job Sheet'!AB12="Monument"),1,"")</f>
        <v/>
      </c>
      <c r="UQ6" s="73" t="str">
        <f>IF(AND('Job Sheet'!BK12="Standard Diamond",'Job Sheet'!BL12="920 x 2050",'Job Sheet'!AB12="Surfmist"),1,"")</f>
        <v/>
      </c>
      <c r="UR6" s="73" t="str">
        <f>IF(AND('Job Sheet'!BK12="Standard Diamond",'Job Sheet'!BL12="920 x 2050",'Job Sheet'!AB12="Dune"),1,"")</f>
        <v/>
      </c>
      <c r="US6" s="73" t="str">
        <f>IF(AND('Job Sheet'!BK12="Standard Diamond",'Job Sheet'!BL12="920 x 2050",'Job Sheet'!AB12="Custom Powdercoat"),1,"")</f>
        <v/>
      </c>
      <c r="UT6" s="73" t="str">
        <f>IF(AND('Job Sheet'!BK12="Standard Diamond",'Job Sheet'!BL12="1200 x 2050",'Job Sheet'!AB12="APO Grey"),1,"")</f>
        <v/>
      </c>
      <c r="UU6" s="73" t="str">
        <f>IF(AND('Job Sheet'!BK12="Standard Diamond",'Job Sheet'!BL12="1200 x 2050",'Job Sheet'!AB12="White Birch"),1,"")</f>
        <v/>
      </c>
      <c r="UV6" s="73" t="str">
        <f>IF(AND('Job Sheet'!BK12="Standard Diamond",'Job Sheet'!BL12="1200 x 2050",'Job Sheet'!AB12="Black"),1,"")</f>
        <v/>
      </c>
      <c r="UW6" s="73" t="str">
        <f>IF(AND('Job Sheet'!BK12="Standard Diamond",'Job Sheet'!BL12="1200 x 2050",'Job Sheet'!AB12="Brown"),1,"")</f>
        <v/>
      </c>
      <c r="UX6" s="73" t="str">
        <f>IF(AND('Job Sheet'!BK12="Standard Diamond",'Job Sheet'!BL12="1200 x 2050",'Job Sheet'!AB12="Deep Ocean"),1,"")</f>
        <v/>
      </c>
      <c r="UY6" s="73" t="str">
        <f>IF(AND('Job Sheet'!BK12="Standard Diamond",'Job Sheet'!BL12="1200 x 2050",'Job Sheet'!AB12="Jasper"),1,"")</f>
        <v/>
      </c>
      <c r="UZ6" s="73" t="str">
        <f>IF(AND('Job Sheet'!BK12="Standard Diamond",'Job Sheet'!BL12="1200 x 2050",'Job Sheet'!AB12="Paperbark"),1,"")</f>
        <v/>
      </c>
      <c r="VA6" s="73" t="str">
        <f>IF(AND('Job Sheet'!BK12="Standard Diamond",'Job Sheet'!BL12="1200 x 2050",'Job Sheet'!AB12="Mist Green"),1,"")</f>
        <v/>
      </c>
      <c r="VB6" s="73" t="str">
        <f>IF(AND('Job Sheet'!BK12="Standard Diamond",'Job Sheet'!BL12="1200 x 2050",'Job Sheet'!AB12="Primrose"),1,"")</f>
        <v/>
      </c>
      <c r="VC6" s="73" t="str">
        <f>IF(AND('Job Sheet'!BK12="Standard Diamond",'Job Sheet'!BL12="1200 x 2050",'Job Sheet'!AB12="Ultra Silver"),1,"")</f>
        <v/>
      </c>
      <c r="VD6" s="73" t="str">
        <f>IF(AND('Job Sheet'!BK12="Standard Diamond",'Job Sheet'!BL12="1200 x 2050",'Job Sheet'!AB12="Woodland Grey(Green Tone)"),1,"")</f>
        <v/>
      </c>
      <c r="VE6" s="73" t="str">
        <f>IF(AND('Job Sheet'!BK12="Standard Diamond",'Job Sheet'!BL12="1200 x 2050",'Job Sheet'!AB12="Pearl White"),1,"")</f>
        <v/>
      </c>
      <c r="VF6" s="73" t="str">
        <f>IF(AND('Job Sheet'!BK12="Standard Diamond",'Job Sheet'!BL12="1200 x 2050",'Job Sheet'!AB12="Monument"),1,"")</f>
        <v/>
      </c>
      <c r="VG6" s="73" t="str">
        <f>IF(AND('Job Sheet'!BK12="Standard Diamond",'Job Sheet'!BL12="1200 x 2050",'Job Sheet'!AB12="Surfmist"),1,"")</f>
        <v/>
      </c>
      <c r="VH6" s="73" t="str">
        <f>IF(AND('Job Sheet'!BK12="Standard Diamond",'Job Sheet'!BL12="1200 x 2050",'Job Sheet'!AB12="Dune"),1,"")</f>
        <v/>
      </c>
      <c r="VI6" s="73" t="str">
        <f>IF(AND('Job Sheet'!BK12="Standard Diamond",'Job Sheet'!BL12="1200 x 2050",'Job Sheet'!AB12="Custom Powdercoat"),1,"")</f>
        <v/>
      </c>
      <c r="VJ6" s="73" t="str">
        <f>IF(AND('Job Sheet'!BK12="Standard Diamond",'Job Sheet'!BL12="920 x 2450",'Job Sheet'!AB12="APO Grey"),1,"")</f>
        <v/>
      </c>
      <c r="VK6" s="73" t="str">
        <f>IF(AND('Job Sheet'!BK12="Standard Diamond",'Job Sheet'!BL12="920 x 2450",'Job Sheet'!AB12="White Birch"),1,"")</f>
        <v/>
      </c>
      <c r="VL6" s="73" t="str">
        <f>IF(AND('Job Sheet'!BK12="Standard Diamond",'Job Sheet'!BL12="920 x 2450",'Job Sheet'!AB12="Black"),1,"")</f>
        <v/>
      </c>
      <c r="VM6" s="73" t="str">
        <f>IF(AND('Job Sheet'!BK12="Standard Diamond",'Job Sheet'!BL12="920 x 2450",'Job Sheet'!AB12="Brown"),1,"")</f>
        <v/>
      </c>
      <c r="VN6" s="73" t="str">
        <f>IF(AND('Job Sheet'!BK12="Standard Diamond",'Job Sheet'!BL12="920 x 2450",'Job Sheet'!AB12="Deep Ocean"),1,"")</f>
        <v/>
      </c>
      <c r="VO6" s="73" t="str">
        <f>IF(AND('Job Sheet'!BK12="Standard Diamond",'Job Sheet'!BL12="920 x 2450",'Job Sheet'!AB12="Jasper"),1,"")</f>
        <v/>
      </c>
      <c r="VP6" s="73" t="str">
        <f>IF(AND('Job Sheet'!BK12="Standard Diamond",'Job Sheet'!BL12="920 x 2450",'Job Sheet'!AB12="Paperbark"),1,"")</f>
        <v/>
      </c>
      <c r="VQ6" s="73" t="str">
        <f>IF(AND('Job Sheet'!BK12="Standard Diamond",'Job Sheet'!BL12="920 x 2450",'Job Sheet'!AB12="Mist Green"),1,"")</f>
        <v/>
      </c>
      <c r="VR6" s="73" t="str">
        <f>IF(AND('Job Sheet'!BK12="Standard Diamond",'Job Sheet'!BL12="920 x 2450",'Job Sheet'!AB12="Primrose"),1,"")</f>
        <v/>
      </c>
      <c r="VS6" s="73" t="str">
        <f>IF(AND('Job Sheet'!BK12="Standard Diamond",'Job Sheet'!BL12="920 x 2450",'Job Sheet'!AB12="Ultra Silver"),1,"")</f>
        <v/>
      </c>
      <c r="VT6" s="73" t="str">
        <f>IF(AND('Job Sheet'!BK12="Standard Diamond",'Job Sheet'!BL12="920 x 2450",'Job Sheet'!AB12="Woodland Grey(Green Tone)"),1,"")</f>
        <v/>
      </c>
      <c r="VU6" s="73" t="str">
        <f>IF(AND('Job Sheet'!BK12="Standard Diamond",'Job Sheet'!BL12="920 x 2450",'Job Sheet'!AB12="Pearl White"),1,"")</f>
        <v/>
      </c>
      <c r="VV6" s="73" t="str">
        <f>IF(AND('Job Sheet'!BK12="Standard Diamond",'Job Sheet'!BL12="920 x 2450",'Job Sheet'!AB12="Monument"),1,"")</f>
        <v/>
      </c>
      <c r="VW6" s="73" t="str">
        <f>IF(AND('Job Sheet'!BK12="Standard Diamond",'Job Sheet'!BL12="920 x 2450",'Job Sheet'!AB12="Surfmist"),1,"")</f>
        <v/>
      </c>
      <c r="VX6" s="73" t="str">
        <f>IF(AND('Job Sheet'!BK12="Standard Diamond",'Job Sheet'!BL12="920 x 2450",'Job Sheet'!AB12="Dune"),1,"")</f>
        <v/>
      </c>
      <c r="VY6" s="73" t="str">
        <f>IF(AND('Job Sheet'!BK12="Standard Diamond",'Job Sheet'!BL12="920 x 2450",'Job Sheet'!AB12="Custom Powdercoat"),1,"")</f>
        <v/>
      </c>
      <c r="VZ6" s="73" t="str">
        <f>IF(AND('Job Sheet'!BK12="Standard Diamond",'Job Sheet'!BL12="1200 x 2450",'Job Sheet'!AB12="APO Grey"),1,"")</f>
        <v/>
      </c>
      <c r="WA6" s="73" t="str">
        <f>IF(AND('Job Sheet'!BK12="Standard Diamond",'Job Sheet'!BL12="1200 x 2450",'Job Sheet'!AB12="White Birch"),1,"")</f>
        <v/>
      </c>
      <c r="WB6" s="73" t="str">
        <f>IF(AND('Job Sheet'!BK12="Standard Diamond",'Job Sheet'!BL12="1200 x 2450",'Job Sheet'!AB12="Black"),1,"")</f>
        <v/>
      </c>
      <c r="WC6" s="73" t="str">
        <f>IF(AND('Job Sheet'!BK12="Standard Diamond",'Job Sheet'!BL12="1200 x 2450",'Job Sheet'!AB12="Brown"),1,"")</f>
        <v/>
      </c>
      <c r="WD6" s="73" t="str">
        <f>IF(AND('Job Sheet'!BK12="Standard Diamond",'Job Sheet'!BL12="1200 x 2450",'Job Sheet'!AB12="Deep Ocean"),1,"")</f>
        <v/>
      </c>
      <c r="WE6" s="73" t="str">
        <f>IF(AND('Job Sheet'!BK12="Standard Diamond",'Job Sheet'!BL12="1200 x 2450",'Job Sheet'!AB12="Jasper"),1,"")</f>
        <v/>
      </c>
      <c r="WF6" s="73" t="str">
        <f>IF(AND('Job Sheet'!BK12="Standard Diamond",'Job Sheet'!BL12="1200 x 2450",'Job Sheet'!AB12="Paperbark"),1,"")</f>
        <v/>
      </c>
      <c r="WG6" s="73" t="str">
        <f>IF(AND('Job Sheet'!BK12="Standard Diamond",'Job Sheet'!BL12="1200 x 2450",'Job Sheet'!AB12="Mist Green"),1,"")</f>
        <v/>
      </c>
      <c r="WH6" s="73" t="str">
        <f>IF(AND('Job Sheet'!BK12="Standard Diamond",'Job Sheet'!BL12="1200 x 2450",'Job Sheet'!AB12="Primrose"),1,"")</f>
        <v/>
      </c>
      <c r="WI6" s="73" t="str">
        <f>IF(AND('Job Sheet'!BK12="Standard Diamond",'Job Sheet'!BL12="1200 x 2450",'Job Sheet'!AB12="Ultra Silver"),1,"")</f>
        <v/>
      </c>
      <c r="WJ6" s="73" t="str">
        <f>IF(AND('Job Sheet'!BK12="Standard Diamond",'Job Sheet'!BL12="1200 x 2450",'Job Sheet'!AB12="Woodland Grey(Green Tone)"),1,"")</f>
        <v/>
      </c>
      <c r="WK6" s="73" t="str">
        <f>IF(AND('Job Sheet'!BK12="Standard Diamond",'Job Sheet'!BL12="1200 x 2450",'Job Sheet'!AB12="Pearl White"),1,"")</f>
        <v/>
      </c>
      <c r="WL6" s="73" t="str">
        <f>IF(AND('Job Sheet'!BK12="Standard Diamond",'Job Sheet'!BL12="1200 x 2450",'Job Sheet'!AB12="Monument"),1,"")</f>
        <v/>
      </c>
      <c r="WM6" s="73" t="str">
        <f>IF(AND('Job Sheet'!BK12="Standard Diamond",'Job Sheet'!BL12="1200 x 2450",'Job Sheet'!AB12="Surfmist"),1,"")</f>
        <v/>
      </c>
      <c r="WN6" s="73" t="str">
        <f>IF(AND('Job Sheet'!BK12="Standard Diamond",'Job Sheet'!BL12="1200 x 2450",'Mitred Cutting'!D12="Dune"),1,"")</f>
        <v/>
      </c>
      <c r="WO6" s="73" t="str">
        <f>IF(AND('Job Sheet'!BK12="Standard Diamond",'Job Sheet'!BL12="1200 x 2450",'Job Sheet'!AB12="Custom Powdercoat"),1,"")</f>
        <v/>
      </c>
      <c r="WP6" s="73" t="str">
        <f>IF(AND('Job Sheet'!BK12="Decorative Diamond",'Job Sheet'!BL12="770 x 2050",'Job Sheet'!AB12="APO Grey"),1,"")</f>
        <v/>
      </c>
      <c r="WQ6" s="73" t="str">
        <f>IF(AND('Job Sheet'!BK12="Decorative Diamond",'Job Sheet'!BL12="770 x 2050",'Job Sheet'!AB12="White Birch"),1,"")</f>
        <v/>
      </c>
      <c r="WR6" s="73" t="str">
        <f>IF(AND('Job Sheet'!BK12="Decorative Diamond",'Job Sheet'!BL12="770 x 2050",'Job Sheet'!AB12="Black"),1,"")</f>
        <v/>
      </c>
      <c r="WS6" s="73" t="str">
        <f>IF(AND('Job Sheet'!BK12="Decorative Diamond",'Job Sheet'!BL12="770 x 2050",'Job Sheet'!AB12="Brown"),1,"")</f>
        <v/>
      </c>
      <c r="WT6" s="73" t="str">
        <f>IF(AND('Job Sheet'!BK12="Decorative Diamond",'Job Sheet'!BL12="770 x 2050",'Job Sheet'!AB12="Deep Ocean"),1,"")</f>
        <v/>
      </c>
      <c r="WU6" s="73" t="str">
        <f>IF(AND('Job Sheet'!BK12="Decorative Diamond",'Job Sheet'!BL12="770 x 2050",'Job Sheet'!AB12="Jasper"),1,"")</f>
        <v/>
      </c>
      <c r="WV6" s="73" t="str">
        <f>IF(AND('Job Sheet'!BK12="Decorative Diamond",'Job Sheet'!BL12="770 x 2050",'Job Sheet'!AB12="Paperbark"),1,"")</f>
        <v/>
      </c>
      <c r="WW6" s="73" t="str">
        <f>IF(AND('Job Sheet'!BK12="Decorative Diamond",'Job Sheet'!BL12="770 x 2050",'Job Sheet'!AB12="Mist Green"),1,"")</f>
        <v/>
      </c>
      <c r="WX6" s="73" t="str">
        <f>IF(AND('Job Sheet'!BK12="Decorative Diamond",'Job Sheet'!BL12="770 x 2050",'Job Sheet'!AB12="Primrose"),1,"")</f>
        <v/>
      </c>
      <c r="WY6" s="73" t="str">
        <f>IF(AND('Job Sheet'!BK12="Decorative Diamond",'Job Sheet'!BL12="770 x 2050",'Job Sheet'!AB12="Ultra Silver"),1,"")</f>
        <v/>
      </c>
      <c r="WZ6" s="73" t="str">
        <f>IF(AND('Job Sheet'!BK12="Decorative Diamond",'Job Sheet'!BL12="770 x 2050",'Job Sheet'!AB12="Woodland Grey(Green Tone)"),1,"")</f>
        <v/>
      </c>
      <c r="XA6" s="73" t="str">
        <f>IF(AND('Job Sheet'!BK12="Decorative Diamond",'Job Sheet'!BL12="770 x 2050",'Job Sheet'!AB12="Pearl White"),1,"")</f>
        <v/>
      </c>
      <c r="XB6" s="73" t="str">
        <f>IF(AND('Job Sheet'!BK12="Decorative Diamond",'Job Sheet'!BL12="770 x 2050",'Job Sheet'!AB12="Monument"),1,"")</f>
        <v/>
      </c>
      <c r="XC6" s="73" t="str">
        <f>IF(AND('Job Sheet'!BK12="Decorative Diamond",'Job Sheet'!BL12="770 x 2050",'Job Sheet'!AB12="Surfmist"),1,"")</f>
        <v/>
      </c>
      <c r="XD6" s="73" t="str">
        <f>IF(AND('Job Sheet'!BK12="Decorative Diamond",'Job Sheet'!BL12="770 x 2050",'Job Sheet'!AB12="Dune"),1,"")</f>
        <v/>
      </c>
      <c r="XE6" s="73" t="str">
        <f>IF(AND('Job Sheet'!BK12="Decorative Diamond",'Job Sheet'!BL12="770 x 2050",'Job Sheet'!AB12="Custom Powdercoat"),1,"")</f>
        <v/>
      </c>
      <c r="XF6" s="73" t="str">
        <f>IF(AND('Job Sheet'!BK12="Decorative Diamond",'Job Sheet'!BL12="900 x 2050",'Job Sheet'!AB12="APO Grey"),1,"")</f>
        <v/>
      </c>
      <c r="XG6" s="73" t="str">
        <f>IF(AND('Job Sheet'!BK12="Decorative Diamond",'Job Sheet'!BL12="900 x 2050",'Job Sheet'!AB12="White Birch"),1,"")</f>
        <v/>
      </c>
      <c r="XH6" s="73" t="str">
        <f>IF(AND('Job Sheet'!BK12="Decorative Diamond",'Job Sheet'!BL12="900 x 2050",'Job Sheet'!AB12="Black"),1,"")</f>
        <v/>
      </c>
      <c r="XI6" s="73" t="str">
        <f>IF(AND('Job Sheet'!BK12="Decorative Diamond",'Job Sheet'!BL12="900 x 2050",'Job Sheet'!AB12="Brown"),1,"")</f>
        <v/>
      </c>
      <c r="XJ6" s="73" t="str">
        <f>IF(AND('Job Sheet'!BK12="Decorative Diamond",'Job Sheet'!BL12="900 x 2050",'Job Sheet'!AB12="Deep Ocean"),1,"")</f>
        <v/>
      </c>
      <c r="XK6" s="73" t="str">
        <f>IF(AND('Job Sheet'!BK12="Decorative Diamond",'Job Sheet'!BL12="900 x 2050",'Job Sheet'!AB12="Jasper"),1,"")</f>
        <v/>
      </c>
      <c r="XL6" s="73" t="str">
        <f>IF(AND('Job Sheet'!BK12="Decorative Diamond",'Job Sheet'!BL12="900 x 2050",'Job Sheet'!AB12="Paperbark"),1,"")</f>
        <v/>
      </c>
      <c r="XM6" s="73" t="str">
        <f>IF(AND('Job Sheet'!BK12="Decorative Diamond",'Job Sheet'!BL12="900 x 2050",'Job Sheet'!AB12="Mist Green"),1,"")</f>
        <v/>
      </c>
      <c r="XN6" s="73" t="str">
        <f>IF(AND('Job Sheet'!BK12="Decorative Diamond",'Job Sheet'!BL12="900 x 2050",'Job Sheet'!AB12="Primrose"),1,"")</f>
        <v/>
      </c>
      <c r="XO6" s="73" t="str">
        <f>IF(AND('Job Sheet'!BK12="Decorative Diamond",'Job Sheet'!BL12="900 x 2050",'Job Sheet'!AB12="Ultra Silver"),1,"")</f>
        <v/>
      </c>
      <c r="XP6" s="73" t="str">
        <f>IF(AND('Job Sheet'!BK12="Decorative Diamond",'Job Sheet'!BL12="900 x 2050",'Job Sheet'!AB12="Woodland Grey(Green Tone)"),1,"")</f>
        <v/>
      </c>
      <c r="XQ6" s="73" t="str">
        <f>IF(AND('Job Sheet'!BK12="Decorative Diamond",'Job Sheet'!BL12="900 x 2050",'Job Sheet'!AB12="Pearl White"),1,"")</f>
        <v/>
      </c>
      <c r="XR6" s="73" t="str">
        <f>IF(AND('Job Sheet'!BK12="Decorative Diamond",'Job Sheet'!BL12="900 x 2050",'Job Sheet'!AB12="Monument"),1,"")</f>
        <v/>
      </c>
      <c r="XS6" s="73" t="str">
        <f>IF(AND('Job Sheet'!BK12="Decorative Diamond",'Job Sheet'!BL12="900 x 2050",'Job Sheet'!AB12="Surfmist"),1,"")</f>
        <v/>
      </c>
      <c r="XT6" s="73" t="str">
        <f>IF(AND('Job Sheet'!BK12="Decorative Diamond",'Job Sheet'!BL12="900 x 2050",'Job Sheet'!AB12="Dune"),1,"")</f>
        <v/>
      </c>
      <c r="XU6" s="73" t="str">
        <f>IF(AND('Job Sheet'!BK12="Decorative Diamond",'Job Sheet'!BL12="900 x 2050",'Job Sheet'!AB12="Custom Powdercoat"),1,"")</f>
        <v/>
      </c>
      <c r="XV6" s="73" t="str">
        <f>IF(AND('Job Sheet'!BK12="Decorative Diamond",'Job Sheet'!BL12="1150 x 2050",'Job Sheet'!AB12="APO Grey"),1,"")</f>
        <v/>
      </c>
      <c r="XW6" s="73" t="str">
        <f>IF(AND('Job Sheet'!BK12="Decorative Diamond",'Job Sheet'!BL12="1150 x 2050",'Job Sheet'!AB12="White Birch"),1,"")</f>
        <v/>
      </c>
      <c r="XX6" s="73" t="str">
        <f>IF(AND('Job Sheet'!BK12="Decorative Diamond",'Job Sheet'!BL12="1150 x 2050",'Job Sheet'!AB12="Black"),1,"")</f>
        <v/>
      </c>
      <c r="XY6" s="73" t="str">
        <f>IF(AND('Job Sheet'!BK12="Decorative Diamond",'Job Sheet'!BL12="1150 x 2050",'Job Sheet'!AB12="Brown"),1,"")</f>
        <v/>
      </c>
      <c r="XZ6" s="73" t="str">
        <f>IF(AND('Job Sheet'!BK12="Decorative Diamond",'Job Sheet'!BL12="1150 x 2050",'Job Sheet'!AB12="Deep Ocean"),1,"")</f>
        <v/>
      </c>
      <c r="YA6" s="73" t="str">
        <f>IF(AND('Job Sheet'!BK12="Decorative Diamond",'Job Sheet'!BL12="1150 x 2050",'Job Sheet'!AB12="Jasper"),1,"")</f>
        <v/>
      </c>
      <c r="YB6" s="73" t="str">
        <f>IF(AND('Job Sheet'!BK12="Decorative Diamond",'Job Sheet'!BL12="1150 x 2050",'Job Sheet'!AB12="Paperbark"),1,"")</f>
        <v/>
      </c>
      <c r="YC6" s="73" t="str">
        <f>IF(AND('Job Sheet'!BK12="Decorative Diamond",'Job Sheet'!BL12="1150 x 2050",'Job Sheet'!AB12="Mist Green"),1,"")</f>
        <v/>
      </c>
      <c r="YD6" s="73" t="str">
        <f>IF(AND('Job Sheet'!BK12="Decorative Diamond",'Job Sheet'!BL12="1150 x 2050",'Job Sheet'!AB12="Primrose"),1,"")</f>
        <v/>
      </c>
      <c r="YE6" s="73" t="str">
        <f>IF(AND('Job Sheet'!BK12="Decorative Diamond",'Job Sheet'!BL12="1150 x 2050",'Job Sheet'!AB12="Ultra Silver"),1,"")</f>
        <v/>
      </c>
      <c r="YF6" s="73" t="str">
        <f>IF(AND('Job Sheet'!BK12="Decorative Diamond",'Job Sheet'!BL12="1150 x 2050",'Job Sheet'!AB12="Woodland Grey(Green Tone)"),1,"")</f>
        <v/>
      </c>
      <c r="YG6" s="73" t="str">
        <f>IF(AND('Job Sheet'!BK12="Decorative Diamond",'Job Sheet'!BL12="1150 x 2050",'Job Sheet'!AB12="Pearl White"),1,"")</f>
        <v/>
      </c>
      <c r="YH6" s="73" t="str">
        <f>IF(AND('Job Sheet'!BK12="Decorative Diamond",'Job Sheet'!BL12="1150 x 2050",'Job Sheet'!AB12="Monument"),1,"")</f>
        <v/>
      </c>
      <c r="YI6" s="73" t="str">
        <f>IF(AND('Job Sheet'!BK12="Decorative Diamond",'Job Sheet'!BL12="1150 x 2050",'Job Sheet'!AB12="Surfmist"),1,"")</f>
        <v/>
      </c>
      <c r="YJ6" s="73" t="str">
        <f>IF(AND('Job Sheet'!BK12="Decorative Diamond",'Job Sheet'!BL12="1150 x 2050",'Job Sheet'!AB12="Dune"),1,"")</f>
        <v/>
      </c>
      <c r="YK6" s="73" t="str">
        <f>IF(AND('Job Sheet'!BK12="Decorative Diamond",'Job Sheet'!BL12="1150 x 2050",'Job Sheet'!AB12="Custom Powdercoat"),1,"")</f>
        <v/>
      </c>
      <c r="YL6" s="73" t="str">
        <f>IF(AND('Job Sheet'!AE12="DVA Mesh",'Job Sheet'!BR12="750 x 2000",'Job Sheet'!AF12="Apo Grey"),1,"")</f>
        <v/>
      </c>
      <c r="YM6" s="73" t="str">
        <f>IF(AND('Job Sheet'!AE12="DVA Mesh",'Job Sheet'!BR12="750 x 2000",'Job Sheet'!AF12="Birch White"),1,"")</f>
        <v/>
      </c>
      <c r="YN6" s="73" t="str">
        <f>IF(AND('Job Sheet'!AE12="DVA Mesh",'Job Sheet'!BR12="750 x 2000",'Job Sheet'!AF12="Black"),1,"")</f>
        <v/>
      </c>
      <c r="YO6" s="73" t="str">
        <f>IF(AND('Job Sheet'!AE12="DVA Mesh",'Job Sheet'!BR12="750 x 2000",'Job Sheet'!AF12="Brown"),1,"")</f>
        <v/>
      </c>
      <c r="YP6" s="73" t="str">
        <f>IF(AND('Job Sheet'!AE12="DVA Mesh",'Job Sheet'!BR12="750 x 2000",'Job Sheet'!AF12="Deep Ocean"),1,"")</f>
        <v/>
      </c>
      <c r="YQ6" s="73" t="str">
        <f>IF(AND('Job Sheet'!AE12="DVA Mesh",'Job Sheet'!BR12="750 x 2000",'Job Sheet'!AF12="Jasper"),1,"")</f>
        <v/>
      </c>
      <c r="YR6" s="73" t="str">
        <f>IF(AND('Job Sheet'!AE12="DVA Mesh",'Job Sheet'!BR12="750 x 2000",'Job Sheet'!AF12="Paperbark"),1,"")</f>
        <v/>
      </c>
      <c r="YS6" s="73" t="str">
        <f>IF(AND('Job Sheet'!AE12="DVA Mesh",'Job Sheet'!BR12="750 x 2000",'Job Sheet'!AF12="Mist Green"),1,"")</f>
        <v/>
      </c>
      <c r="YT6" s="73" t="str">
        <f>IF(AND('Job Sheet'!AE12="DVA Mesh",'Job Sheet'!BR12="750 x 2000",'Job Sheet'!AF12="Primrose"),1,"")</f>
        <v/>
      </c>
      <c r="YU6" s="73" t="str">
        <f>IF(AND('Job Sheet'!AE12="DVA Mesh",'Job Sheet'!BR12="750 x 2000",'Job Sheet'!AF12="Ultra Silver"),1,"")</f>
        <v/>
      </c>
      <c r="YV6" s="73" t="str">
        <f>IF(AND('Job Sheet'!AE12="DVA Mesh",'Job Sheet'!BR12="750 x 2000",'Job Sheet'!AF12="Woodland Grey(Green Tone)"),1,"")</f>
        <v/>
      </c>
      <c r="YW6" s="73" t="str">
        <f>IF(AND('Job Sheet'!AE12="DVA Mesh",'Job Sheet'!BR12="750 x 2000",'Job Sheet'!AF12="Pearl White"),1,"")</f>
        <v/>
      </c>
      <c r="YX6" s="73" t="str">
        <f>IF(AND('Job Sheet'!AE12="DVA Mesh",'Job Sheet'!BR12="750 x 2000",'Job Sheet'!AF12="Monument"),1,"")</f>
        <v/>
      </c>
      <c r="YY6" s="73" t="str">
        <f>IF(AND('Job Sheet'!AE12="DVA Mesh",'Job Sheet'!BR12="750 x 2000",'Job Sheet'!AF12="Surfmist"),1,"")</f>
        <v/>
      </c>
      <c r="YZ6" s="73" t="str">
        <f>IF(AND('Job Sheet'!AE12="DVA Mesh",'Job Sheet'!BR12="750 x 2000",'Job Sheet'!AF12="Dune"),1,"")</f>
        <v/>
      </c>
      <c r="ZA6" s="73" t="str">
        <f>IF(AND('Job Sheet'!AE12="DVA Mesh",'Job Sheet'!BR12="750 x 2000",'Job Sheet'!AF12="Custom Powdercoat"),1,"")</f>
        <v/>
      </c>
      <c r="ZB6" s="73" t="str">
        <f>IF(AND('Job Sheet'!AE12="DVA Mesh",'Job Sheet'!BR12="825 x 2000",'Job Sheet'!AF12="Apo Grey"),1,"")</f>
        <v/>
      </c>
      <c r="ZC6" s="73" t="str">
        <f>IF(AND('Job Sheet'!AE12="DVA Mesh",'Job Sheet'!BR12="825 x 2000",'Job Sheet'!AF12="Birch White"),1,"")</f>
        <v/>
      </c>
      <c r="ZD6" s="73" t="str">
        <f>IF(AND('Job Sheet'!AE12="DVA Mesh",'Job Sheet'!BR12="825 x 2000",'Job Sheet'!AF12="Black"),1,"")</f>
        <v/>
      </c>
      <c r="ZE6" s="73" t="str">
        <f>IF(AND('Job Sheet'!AE12="DVA Mesh",'Job Sheet'!BR12="825 x 2000",'Job Sheet'!AF12="Brown"),1,"")</f>
        <v/>
      </c>
      <c r="ZF6" s="73" t="str">
        <f>IF(AND('Job Sheet'!AE12="DVA Mesh",'Job Sheet'!BR12="825 x 2000",'Job Sheet'!AF12="Deep Ocean"),1,"")</f>
        <v/>
      </c>
      <c r="ZG6" s="73" t="str">
        <f>IF(AND('Job Sheet'!AE12="DVA Mesh",'Job Sheet'!BR12="825 x 2000",'Job Sheet'!AF12="Jasper"),1,"")</f>
        <v/>
      </c>
      <c r="ZH6" s="73" t="str">
        <f>IF(AND('Job Sheet'!AE12="DVA Mesh",'Job Sheet'!BR12="825 x 2000",'Job Sheet'!AF12="Paperbark"),1,"")</f>
        <v/>
      </c>
      <c r="ZI6" s="73" t="str">
        <f>IF(AND('Job Sheet'!AE12="DVA Mesh",'Job Sheet'!BR12="825 x 2000",'Job Sheet'!AF12="Mist Green"),1,"")</f>
        <v/>
      </c>
      <c r="ZJ6" s="73" t="str">
        <f>IF(AND('Job Sheet'!AE12="DVA Mesh",'Job Sheet'!BR12="825 x 2000",'Job Sheet'!AF12="Primrose"),1,"")</f>
        <v/>
      </c>
      <c r="ZK6" s="73" t="str">
        <f>IF(AND('Job Sheet'!AE12="DVA Mesh",'Job Sheet'!BR12="825 x 2000",'Job Sheet'!AF12="Ultra Silver"),1,"")</f>
        <v/>
      </c>
      <c r="ZL6" s="73" t="str">
        <f>IF(AND('Job Sheet'!AE12="DVA Mesh",'Job Sheet'!BR12="825 x 2000",'Job Sheet'!AF12="Woodland Grey(Green Tone)"),1,"")</f>
        <v/>
      </c>
      <c r="ZM6" s="73" t="str">
        <f>IF(AND('Job Sheet'!AE12="DVA Mesh",'Job Sheet'!BR12="825 x 2000",'Job Sheet'!AF12="Pearl White"),1,"")</f>
        <v/>
      </c>
      <c r="ZN6" s="73" t="str">
        <f>IF(AND('Job Sheet'!AE12="DVA Mesh",'Job Sheet'!BR12="825 x 2000",'Job Sheet'!AF12="Monument"),1,"")</f>
        <v/>
      </c>
      <c r="ZO6" s="73" t="str">
        <f>IF(AND('Job Sheet'!AE12="DVA Mesh",'Job Sheet'!BR12="825 x 2000",'Job Sheet'!AF12="Surfmist"),1,"")</f>
        <v/>
      </c>
      <c r="ZP6" s="73" t="str">
        <f>IF(AND('Job Sheet'!AE12="DVA Mesh",'Job Sheet'!BR12="825 x 2000",'Job Sheet'!AF12="Dune"),1,"")</f>
        <v/>
      </c>
      <c r="ZQ6" s="73" t="str">
        <f>IF(AND('Job Sheet'!AE12="DVA Mesh",'Job Sheet'!BR12="825 x 2000",'Job Sheet'!AF12="Custom Powdercoat"),1,"")</f>
        <v/>
      </c>
      <c r="ZR6" s="73" t="str">
        <f>IF(AND('Job Sheet'!AE12="DVA Mesh",'Job Sheet'!BR12="900 x 2200",'Job Sheet'!AF12="Apo Grey"),1,"")</f>
        <v/>
      </c>
      <c r="ZS6" s="73" t="str">
        <f>IF(AND('Job Sheet'!AE12="DVA Mesh",'Job Sheet'!BR12="900 x 2200",'Job Sheet'!AF12="Birch White"),1,"")</f>
        <v/>
      </c>
      <c r="ZT6" s="73" t="str">
        <f>IF(AND('Job Sheet'!AE12="DVA Mesh",'Job Sheet'!BR12="900 x 2200",'Job Sheet'!AF12="Black"),1,"")</f>
        <v/>
      </c>
      <c r="ZU6" s="73" t="str">
        <f>IF(AND('Job Sheet'!AE12="DVA Mesh",'Job Sheet'!BR12="900 x 2200",'Job Sheet'!AF12="Brown"),1,"")</f>
        <v/>
      </c>
      <c r="ZV6" s="73" t="str">
        <f>IF(AND('Job Sheet'!AE12="DVA Mesh",'Job Sheet'!BR12="900 x 2200",'Job Sheet'!AF12="Deep Ocean"),1,"")</f>
        <v/>
      </c>
      <c r="ZW6" s="73" t="str">
        <f>IF(AND('Job Sheet'!AE12="DVA Mesh",'Job Sheet'!BR12="900 x 2200",'Job Sheet'!AF12="Jasper"),1,"")</f>
        <v/>
      </c>
      <c r="ZX6" s="73" t="str">
        <f>IF(AND('Job Sheet'!AE12="DVA Mesh",'Job Sheet'!BR12="900 x 2200",'Job Sheet'!AF12="Paperbark"),1,"")</f>
        <v/>
      </c>
      <c r="ZY6" s="73" t="str">
        <f>IF(AND('Job Sheet'!AE12="DVA Mesh",'Job Sheet'!BR12="900 x 2200",'Job Sheet'!AF12="Mist Green"),1,"")</f>
        <v/>
      </c>
      <c r="ZZ6" s="73" t="str">
        <f>IF(AND('Job Sheet'!AE12="DVA Mesh",'Job Sheet'!BR12="900 x 2200",'Job Sheet'!AF12="Primrose"),1,"")</f>
        <v/>
      </c>
      <c r="AAA6" s="73" t="str">
        <f>IF(AND('Job Sheet'!AE12="DVA Mesh",'Job Sheet'!BR12="900 x 2200",'Job Sheet'!AF12="Ultra Silver"),1,"")</f>
        <v/>
      </c>
      <c r="AAB6" s="73" t="str">
        <f>IF(AND('Job Sheet'!AE12="DVA Mesh",'Job Sheet'!BR12="900 x 2200",'Job Sheet'!AF12="Woodland Grey(Green Tone)"),1,"")</f>
        <v/>
      </c>
      <c r="AAC6" s="73" t="str">
        <f>IF(AND('Job Sheet'!AE12="DVA Mesh",'Job Sheet'!BR12="900 x 2200",'Job Sheet'!AF12="Pearl White"),1,"")</f>
        <v/>
      </c>
      <c r="AAD6" s="73" t="str">
        <f>IF(AND('Job Sheet'!AE12="DVA Mesh",'Job Sheet'!BR12="900 x 2200",'Job Sheet'!AF12="Monument"),1,"")</f>
        <v/>
      </c>
      <c r="AAE6" s="73" t="str">
        <f>IF(AND('Job Sheet'!AE12="DVA Mesh",'Job Sheet'!BR12="900 x 2200",'Job Sheet'!AF12="Surfmist"),1,"")</f>
        <v/>
      </c>
      <c r="AAF6" s="73" t="str">
        <f>IF(AND('Job Sheet'!AE12="DVA Mesh",'Job Sheet'!BR12="900 x 2200",'Job Sheet'!AF12="Dune"),1,"")</f>
        <v/>
      </c>
      <c r="AAG6" s="73" t="str">
        <f>IF(AND('Job Sheet'!AE12="DVA Mesh",'Job Sheet'!BR12="900 x 2200",'Job Sheet'!AF12="Custom Powdercoat"),1,"")</f>
        <v/>
      </c>
      <c r="AAH6" s="73" t="str">
        <f>IF(AND('Job Sheet'!AE12="DVA Mesh",'Job Sheet'!BR12="900 x 2400",'Job Sheet'!AF12="Apo Grey"),1,"")</f>
        <v/>
      </c>
      <c r="AAI6" s="73" t="str">
        <f>IF(AND('Job Sheet'!AE12="DVA Mesh",'Job Sheet'!BR12="900 x 2400",'Job Sheet'!AF12="Birch White"),1,"")</f>
        <v/>
      </c>
      <c r="AAJ6" s="73" t="str">
        <f>IF(AND('Job Sheet'!AE12="DVA Mesh",'Job Sheet'!BR12="900 x 2400",'Job Sheet'!AF12="Black"),1,"")</f>
        <v/>
      </c>
      <c r="AAK6" s="73" t="str">
        <f>IF(AND('Job Sheet'!AE12="DVA Mesh",'Job Sheet'!BR12="900 x 2400",'Job Sheet'!AF12="Brown"),1,"")</f>
        <v/>
      </c>
      <c r="AAL6" s="73" t="str">
        <f>IF(AND('Job Sheet'!AE12="DVA Mesh",'Job Sheet'!BR12="900 x 2400",'Job Sheet'!AF12="Deep Ocean"),1,"")</f>
        <v/>
      </c>
      <c r="AAM6" s="73" t="str">
        <f>IF(AND('Job Sheet'!AE12="DVA Mesh",'Job Sheet'!BR12="900 x 2400",'Job Sheet'!AF12="Jasper"),1,"")</f>
        <v/>
      </c>
      <c r="AAN6" s="73" t="str">
        <f>IF(AND('Job Sheet'!AE12="DVA Mesh",'Job Sheet'!BR12="900 x 2400",'Job Sheet'!AF12="Paperbark"),1,"")</f>
        <v/>
      </c>
      <c r="AAO6" s="73" t="str">
        <f>IF(AND('Job Sheet'!AE12="DVA Mesh",'Job Sheet'!BR12="900 x 2400",'Job Sheet'!AF12="Mist Green"),1,"")</f>
        <v/>
      </c>
      <c r="AAP6" s="73" t="str">
        <f>IF(AND('Job Sheet'!AE12="DVA Mesh",'Job Sheet'!BR12="900 x 2400",'Job Sheet'!AF12="Primrose"),1,"")</f>
        <v/>
      </c>
      <c r="AAQ6" s="73" t="str">
        <f>IF(AND('Job Sheet'!AE12="DVA Mesh",'Job Sheet'!BR12="900 x 2400",'Job Sheet'!AF12="Ultra Silver"),1,"")</f>
        <v/>
      </c>
      <c r="AAR6" s="73" t="str">
        <f>IF(AND('Job Sheet'!AE12="DVA Mesh",'Job Sheet'!BR12="900 x 2400",'Job Sheet'!AF12="Woodland Grey(Green Tone)"),1,"")</f>
        <v/>
      </c>
      <c r="AAS6" s="73" t="str">
        <f>IF(AND('Job Sheet'!AE12="DVA Mesh",'Job Sheet'!BR12="900 x 2400",'Job Sheet'!AF12="Pearl White"),1,"")</f>
        <v/>
      </c>
      <c r="AAT6" s="73" t="str">
        <f>IF(AND('Job Sheet'!AE12="DVA Mesh",'Job Sheet'!BR12="900 x 2400",'Job Sheet'!AF12="Monument"),1,"")</f>
        <v/>
      </c>
      <c r="AAU6" s="73" t="str">
        <f>IF(AND('Job Sheet'!AE12="DVA Mesh",'Job Sheet'!BR12="900 x 2400",'Job Sheet'!AF12="Surfmist"),1,"")</f>
        <v/>
      </c>
      <c r="AAV6" s="73" t="str">
        <f>IF(AND('Job Sheet'!AE12="DVA Mesh",'Job Sheet'!BR12="900 x 2400",'Job Sheet'!AF12="Dune"),1,"")</f>
        <v/>
      </c>
      <c r="AAW6" s="73" t="str">
        <f>IF(AND('Job Sheet'!AE12="DVA Mesh",'Job Sheet'!BR12="900 x 2400",'Job Sheet'!AF12="Custom Powdercoat"),1,"")</f>
        <v/>
      </c>
      <c r="AAX6" s="73" t="str">
        <f>IF(AND('Job Sheet'!AE12="DVA Mesh",'Job Sheet'!BR12="1200 x 2200",'Job Sheet'!AF12="Apo Grey"),1,"")</f>
        <v/>
      </c>
      <c r="AAY6" s="73" t="str">
        <f>IF(AND('Job Sheet'!AE12="DVA Mesh",'Job Sheet'!BR12="1200 x 2200",'Job Sheet'!AF12="Birch White"),1,"")</f>
        <v/>
      </c>
      <c r="AAZ6" s="73" t="str">
        <f>IF(AND('Job Sheet'!AE12="DVA Mesh",'Job Sheet'!BR12="1200 x 2200",'Job Sheet'!AF12="Black"),1,"")</f>
        <v/>
      </c>
      <c r="ABA6" s="73" t="str">
        <f>IF(AND('Job Sheet'!AE12="DVA Mesh",'Job Sheet'!BR12="1200 x 2200",'Job Sheet'!AF12="Brown"),1,"")</f>
        <v/>
      </c>
      <c r="ABB6" s="73" t="str">
        <f>IF(AND('Job Sheet'!AE12="DVA Mesh",'Job Sheet'!BR12="1200 x 2200",'Job Sheet'!AF12="Deep Ocean"),1,"")</f>
        <v/>
      </c>
      <c r="ABC6" s="73" t="str">
        <f>IF(AND('Job Sheet'!AE12="DVA Mesh",'Job Sheet'!BR12="1200 x 2200",'Job Sheet'!AF12="Jasper"),1,"")</f>
        <v/>
      </c>
      <c r="ABD6" s="73" t="str">
        <f>IF(AND('Job Sheet'!AE12="DVA Mesh",'Job Sheet'!BR12="1200 x 2200",'Job Sheet'!AF12="Paperbark"),1,"")</f>
        <v/>
      </c>
      <c r="ABE6" s="73" t="str">
        <f>IF(AND('Job Sheet'!AE12="DVA Mesh",'Job Sheet'!BR12="1200 x 2200",'Job Sheet'!AF12="Mist Green"),1,"")</f>
        <v/>
      </c>
      <c r="ABF6" s="73" t="str">
        <f>IF(AND('Job Sheet'!AE12="DVA Mesh",'Job Sheet'!BR12="1200 x 2200",'Job Sheet'!AF12="Primrose"),1,"")</f>
        <v/>
      </c>
      <c r="ABG6" s="73" t="str">
        <f>IF(AND('Job Sheet'!AE12="DVA Mesh",'Job Sheet'!BR12="1200 x 2200",'Job Sheet'!AF12="Ultra Silver"),1,"")</f>
        <v/>
      </c>
      <c r="ABH6" s="73" t="str">
        <f>IF(AND('Job Sheet'!AE12="DVA Mesh",'Job Sheet'!BR12="1200 x 2200",'Job Sheet'!AF12="Woodland Grey(Green Tone)"),1,"")</f>
        <v/>
      </c>
      <c r="ABI6" s="73" t="str">
        <f>IF(AND('Job Sheet'!AE12="DVA Mesh",'Job Sheet'!BR12="1200 x 2200",'Job Sheet'!AF12="Pearl White"),1,"")</f>
        <v/>
      </c>
      <c r="ABJ6" s="73" t="str">
        <f>IF(AND('Job Sheet'!AE12="DVA Mesh",'Job Sheet'!BR12="1200 x 2200",'Job Sheet'!AF12="Monument"),1,"")</f>
        <v/>
      </c>
      <c r="ABK6" s="73" t="str">
        <f>IF(AND('Job Sheet'!AE12="DVA Mesh",'Job Sheet'!BR12="1200 x 2200",'Job Sheet'!AF12="Surfmist"),1,"")</f>
        <v/>
      </c>
      <c r="ABL6" s="73" t="str">
        <f>IF(AND('Job Sheet'!AE12="DVA Mesh",'Job Sheet'!BR12="1200 x 2200",'Job Sheet'!AF12="Dune"),1,"")</f>
        <v/>
      </c>
      <c r="ABM6" s="73" t="str">
        <f>IF(AND('Job Sheet'!AE12="DVA Mesh",'Job Sheet'!BR12="1200 x 2200",'Job Sheet'!AF12="Custom Powdercoat"),1,"")</f>
        <v/>
      </c>
      <c r="ABN6" s="73" t="str">
        <f>IF(AND('Job Sheet'!AE12="DVA Mesh",'Job Sheet'!BR12="1200 x 2400",'Job Sheet'!AF12="Apo Grey"),1,"")</f>
        <v/>
      </c>
      <c r="ABO6" s="73" t="str">
        <f>IF(AND('Job Sheet'!AE12="DVA Mesh",'Job Sheet'!BR12="1200 x 2400",'Job Sheet'!AF12="Birch White"),1,"")</f>
        <v/>
      </c>
      <c r="ABP6" s="73" t="str">
        <f>IF(AND('Job Sheet'!AE12="DVA Mesh",'Job Sheet'!BR12="1200 x 2400",'Job Sheet'!AF12="Black"),1,"")</f>
        <v/>
      </c>
      <c r="ABQ6" s="73" t="str">
        <f>IF(AND('Job Sheet'!AE12="DVA Mesh",'Job Sheet'!BR12="1200 x 2400",'Job Sheet'!AF12="Brown"),1,"")</f>
        <v/>
      </c>
      <c r="ABR6" s="73" t="str">
        <f>IF(AND('Job Sheet'!AE12="DVA Mesh",'Job Sheet'!BR12="1200 x 2400",'Job Sheet'!AF12="Deep Ocean"),1,"")</f>
        <v/>
      </c>
      <c r="ABS6" s="73" t="str">
        <f>IF(AND('Job Sheet'!AE12="DVA Mesh",'Job Sheet'!BR12="1200 x 2400",'Job Sheet'!AF12="Jasper"),1,"")</f>
        <v/>
      </c>
      <c r="ABT6" s="73" t="str">
        <f>IF(AND('Job Sheet'!AE12="DVA Mesh",'Job Sheet'!BR12="1200 x 2400",'Job Sheet'!AF12="Paperbark"),1,"")</f>
        <v/>
      </c>
      <c r="ABU6" s="73" t="str">
        <f>IF(AND('Job Sheet'!AE12="DVA Mesh",'Job Sheet'!BR12="1200 x 2400",'Job Sheet'!AF12="Mist Green"),1,"")</f>
        <v/>
      </c>
      <c r="ABV6" s="73" t="str">
        <f>IF(AND('Job Sheet'!AE12="DVA Mesh",'Job Sheet'!BR12="1200 x 2400",'Job Sheet'!AF12="Primrose"),1,"")</f>
        <v/>
      </c>
      <c r="ABW6" s="73" t="str">
        <f>IF(AND('Job Sheet'!AE12="DVA Mesh",'Job Sheet'!BR12="1200 x 2400",'Job Sheet'!AF12="Ultra Silver"),1,"")</f>
        <v/>
      </c>
      <c r="ABX6" s="73" t="str">
        <f>IF(AND('Job Sheet'!AE12="DVA Mesh",'Job Sheet'!BR12="1200 x 2400",'Job Sheet'!AF12="Woodland Grey(Green Tone)"),1,"")</f>
        <v/>
      </c>
      <c r="ABY6" s="73" t="str">
        <f>IF(AND('Job Sheet'!AE12="DVA Mesh",'Job Sheet'!BR12="1200 x 2400",'Job Sheet'!AF12="Pearl White"),1,"")</f>
        <v/>
      </c>
      <c r="ABZ6" s="73" t="str">
        <f>IF(AND('Job Sheet'!AE12="DVA Mesh",'Job Sheet'!BR12="1200 x 2400",'Job Sheet'!AF12="Monument"),1,"")</f>
        <v/>
      </c>
      <c r="ACA6" s="73" t="str">
        <f>IF(AND('Job Sheet'!AE12="DVA Mesh",'Job Sheet'!BR12="1200 x 2400",'Job Sheet'!AF12="Surfmist"),1,"")</f>
        <v/>
      </c>
      <c r="ACB6" s="73" t="str">
        <f>IF(AND('Job Sheet'!AE12="DVA Mesh",'Job Sheet'!BR12="1200 x 2400",'Job Sheet'!AF12="Dune"),1,"")</f>
        <v/>
      </c>
      <c r="ACC6" s="73" t="str">
        <f>IF(AND('Job Sheet'!AE12="DVA Mesh",'Job Sheet'!BR12="1200 x 2400",'Job Sheet'!AF12="Custom Powdercoat"),1,"")</f>
        <v/>
      </c>
      <c r="ACD6" s="73" t="str">
        <f>IF('Job Sheet'!AE12="Fibreglass Mesh",CONCATENATE('Job Sheet'!BH12," x ",'Job Sheet'!BI12),"")</f>
        <v/>
      </c>
      <c r="ACE6" s="73" t="str">
        <f>IF('Job Sheet'!AE12="Aluminium Mesh",CONCATENATE('Job Sheet'!BH12," x ",'Job Sheet'!BI12),"")</f>
        <v/>
      </c>
      <c r="ACF6" s="73" t="str">
        <f>IF('Job Sheet'!AE12="Tuff Mesh",CONCATENATE('Job Sheet'!BH12," x ",'Job Sheet'!BI12),"")</f>
        <v/>
      </c>
      <c r="ACI6" s="73" t="str">
        <f>IF('Job Sheet'!AE12="Pet Mesh",CONCATENATE('Job Sheet'!BH12," x ",'Job Sheet'!BI12),"")</f>
        <v/>
      </c>
      <c r="ACJ6" s="73"/>
      <c r="ACK6" t="str">
        <f>IF(Guillotine!F13="SP13AB Apo Grey",1,"")</f>
        <v/>
      </c>
      <c r="ACL6" t="str">
        <f>IF(Guillotine!F13="SP13AB White Birch",1,"")</f>
        <v/>
      </c>
      <c r="ACM6" t="str">
        <f>IF(Guillotine!F13="SP13AB Black",1,"")</f>
        <v/>
      </c>
      <c r="ACN6" t="str">
        <f>IF(Guillotine!F13="SP13AB Brown",1,"")</f>
        <v/>
      </c>
      <c r="ACO6" t="str">
        <f>IF(Guillotine!F13="SP13AB Deep Ocean",1,"")</f>
        <v/>
      </c>
      <c r="ACP6" t="str">
        <f>IF(Guillotine!F13="SP13AB Jasper",1,"")</f>
        <v/>
      </c>
      <c r="ACQ6" t="str">
        <f>IF(Guillotine!F13="SP13AB Paperbark",1,"")</f>
        <v/>
      </c>
      <c r="ACR6" t="str">
        <f>IF(Guillotine!F13="SP13AB Mist Green",1,"")</f>
        <v/>
      </c>
      <c r="ACS6" t="str">
        <f>IF(Guillotine!F13="SP13AB Primrose",1,"")</f>
        <v/>
      </c>
      <c r="ACT6" t="str">
        <f>IF(Guillotine!F13="SP13AB Ultra Silver",1,"")</f>
        <v/>
      </c>
      <c r="ACU6" t="str">
        <f>IF(Guillotine!F13="SP13AB Woodland Grey(Green Tone)",1,"")</f>
        <v/>
      </c>
      <c r="ACV6" t="str">
        <f>IF(Guillotine!F13="SP13AB Pearl White",1,"")</f>
        <v/>
      </c>
      <c r="ACW6" t="str">
        <f>IF(Guillotine!F13="SP13AB Monument",1,"")</f>
        <v/>
      </c>
      <c r="ACX6" t="str">
        <f>IF(Guillotine!F13="SP13AB Surfmist",1,"")</f>
        <v/>
      </c>
      <c r="ACY6" t="str">
        <f>IF(Guillotine!F13="SP13AB Dune",1,"")</f>
        <v/>
      </c>
      <c r="ACZ6" t="str">
        <f>IF(Guillotine!F13="SP13AB Powdercoat",1,"")</f>
        <v/>
      </c>
      <c r="ADA6" t="str">
        <f>IF(Guillotine!F13="SP13BB Apo Grey",1,"")</f>
        <v/>
      </c>
      <c r="ADB6" t="str">
        <f>IF(Guillotine!F13="SP13BB White Birch",1,"")</f>
        <v/>
      </c>
      <c r="ADC6" t="str">
        <f>IF(Guillotine!F13="SP13BB Black",1,"")</f>
        <v/>
      </c>
      <c r="ADD6" t="str">
        <f>IF(Guillotine!F13="SP13BB Brown",1,"")</f>
        <v/>
      </c>
      <c r="ADE6" t="str">
        <f>IF(Guillotine!F13="SP13BB Deep Ocean",1,"")</f>
        <v/>
      </c>
      <c r="ADF6" t="str">
        <f>IF(Guillotine!F13="SP13BB Jasper",1,"")</f>
        <v/>
      </c>
      <c r="ADG6" t="str">
        <f>IF(Guillotine!F13="SP13BB Paperbark",1,"")</f>
        <v/>
      </c>
      <c r="ADH6" t="str">
        <f>IF(Guillotine!F13="SP13BB Mist Green",1,"")</f>
        <v/>
      </c>
      <c r="ADI6" t="str">
        <f>IF(Guillotine!F13="SP13BB Primrose",1,"")</f>
        <v/>
      </c>
      <c r="ADJ6" t="str">
        <f>IF(Guillotine!F13="SP13BB Ultra Silver",1,"")</f>
        <v/>
      </c>
      <c r="ADK6" t="str">
        <f>IF(Guillotine!F13="SP13BB Woodland Grey(Green Tone)",1,"")</f>
        <v/>
      </c>
      <c r="ADL6" t="str">
        <f>IF(Guillotine!F13="SP13BB Pearl White",1,"")</f>
        <v/>
      </c>
      <c r="ADM6" t="str">
        <f>IF(Guillotine!F13="SP13BB Monument",1,"")</f>
        <v/>
      </c>
      <c r="ADN6" t="str">
        <f>IF(Guillotine!F13="SP13BB Surfmist",1,"")</f>
        <v/>
      </c>
      <c r="ADO6" t="str">
        <f>IF(Guillotine!F13="SP13BB Dune",1,"")</f>
        <v/>
      </c>
      <c r="ADP6" t="str">
        <f>IF(Guillotine!F13="SP13BB Powdercoat",1,"")</f>
        <v/>
      </c>
      <c r="ADQ6" t="str">
        <f>IF(Guillotine!F13="SP14AB Apo Grey",1,"")</f>
        <v/>
      </c>
      <c r="ADR6" t="str">
        <f>IF(Guillotine!F13="SP14AB White Birch",1,"")</f>
        <v/>
      </c>
      <c r="ADS6" t="str">
        <f>IF(Guillotine!F13="SP14AB Black",1,"")</f>
        <v/>
      </c>
      <c r="ADT6" t="str">
        <f>IF(Guillotine!F13="SP14AB Brown",1,"")</f>
        <v/>
      </c>
      <c r="ADU6" t="str">
        <f>IF(Guillotine!F13="SP14AB Deep Ocean",1,"")</f>
        <v/>
      </c>
      <c r="ADV6" t="str">
        <f>IF(Guillotine!F13="SP14AB Jasper",1,"")</f>
        <v/>
      </c>
      <c r="ADW6" t="str">
        <f>IF(Guillotine!F13="SP14AB Paperbark",1,"")</f>
        <v/>
      </c>
      <c r="ADX6" t="str">
        <f>IF(Guillotine!F13="SP14AB Mist Green",1,"")</f>
        <v/>
      </c>
      <c r="ADY6" t="str">
        <f>IF(Guillotine!F13="SP14AB Primrose",1,"")</f>
        <v/>
      </c>
      <c r="ADZ6" t="str">
        <f>IF(Guillotine!F13="SP14AB Ultra Silver",1,"")</f>
        <v/>
      </c>
      <c r="AEA6" t="str">
        <f>IF(Guillotine!F13="SP14AB Woodland Grey(Green Tone)",1,"")</f>
        <v/>
      </c>
      <c r="AEB6" t="str">
        <f>IF(Guillotine!F13="SP14AB Pearl White",1,"")</f>
        <v/>
      </c>
      <c r="AEC6" t="str">
        <f>IF(Guillotine!F13="SP14AB Monument",1,"")</f>
        <v/>
      </c>
      <c r="AED6" t="str">
        <f>IF(Guillotine!F13="SP14AB Surfmist",1,"")</f>
        <v/>
      </c>
      <c r="AEE6" t="str">
        <f>IF(Guillotine!F13="SP14AB Dune",1,"")</f>
        <v/>
      </c>
      <c r="AEF6" t="str">
        <f>IF(Guillotine!F13="SP14AB Powdercoat",1,"")</f>
        <v/>
      </c>
      <c r="AEG6" t="str">
        <f>IF(Guillotine!F13="SP17AB Apo Grey",1,"")</f>
        <v/>
      </c>
      <c r="AEH6" t="str">
        <f>IF(Guillotine!F13="SP17AB White Birch",1,"")</f>
        <v/>
      </c>
      <c r="AEI6" t="str">
        <f>IF(Guillotine!F13="SP17AB Black",1,"")</f>
        <v/>
      </c>
      <c r="AEJ6" t="str">
        <f>IF(Guillotine!F13="SP17AB Brown",1,"")</f>
        <v/>
      </c>
      <c r="AEK6" t="str">
        <f>IF(Guillotine!F13="SP17AB Deep Ocean",1,"")</f>
        <v/>
      </c>
      <c r="AEL6" t="str">
        <f>IF(Guillotine!F13="SP17AB Jasper",1,"")</f>
        <v/>
      </c>
      <c r="AEM6" t="str">
        <f>IF(Guillotine!F13="SP17AB Paperbark",1,"")</f>
        <v/>
      </c>
      <c r="AEN6" t="str">
        <f>IF(Guillotine!F13="SP17AB Mist Green",1,"")</f>
        <v/>
      </c>
      <c r="AEO6" t="str">
        <f>IF(Guillotine!F13="SP17AB Primrose",1,"")</f>
        <v/>
      </c>
      <c r="AEP6" t="str">
        <f>IF(Guillotine!F13="SP17AB Ultra Silver",1,"")</f>
        <v/>
      </c>
      <c r="AEQ6" t="str">
        <f>IF(Guillotine!F13="SP17AB Woodland Grey(Green Tone)",1,"")</f>
        <v/>
      </c>
      <c r="AER6" t="str">
        <f>IF(Guillotine!F13="SP17AB Pearl White",1,"")</f>
        <v/>
      </c>
      <c r="AES6" t="str">
        <f>IF(Guillotine!F13="SP17AB Monument",1,"")</f>
        <v/>
      </c>
      <c r="AET6" t="str">
        <f>IF(Guillotine!F13="SP17AB Surfmist",1,"")</f>
        <v/>
      </c>
      <c r="AEU6" t="str">
        <f>IF(Guillotine!F13="SP17AB Dune",1,"")</f>
        <v/>
      </c>
      <c r="AEV6" t="str">
        <f>IF(Guillotine!F13="SP17AB Powdercoat",1,"")</f>
        <v/>
      </c>
      <c r="AEW6" t="str">
        <f>IF(Guillotine!F13="SP27AB Apo Grey",1,"")</f>
        <v/>
      </c>
      <c r="AEX6" t="str">
        <f>IF(Guillotine!F13="SP27AB White Birch",1,"")</f>
        <v/>
      </c>
      <c r="AEY6" t="str">
        <f>IF(Guillotine!F13="SP27AB Black",1,"")</f>
        <v/>
      </c>
      <c r="AEZ6" t="str">
        <f>IF(Guillotine!F13="SP27AB Brown",1,"")</f>
        <v/>
      </c>
      <c r="AFA6" t="str">
        <f>IF(Guillotine!F13="SP27AB Deep Ocean",1,"")</f>
        <v/>
      </c>
      <c r="AFB6" t="str">
        <f>IF(Guillotine!F13="SP27AB Jasper",1,"")</f>
        <v/>
      </c>
      <c r="AFC6" t="str">
        <f>IF(Guillotine!F13="SP27AB Paperbark",1,"")</f>
        <v/>
      </c>
      <c r="AFD6" t="str">
        <f>IF(Guillotine!F13="SP27AB Mist Green",1,"")</f>
        <v/>
      </c>
      <c r="AFE6" t="str">
        <f>IF(Guillotine!F13="SP27AB Primrose",1,"")</f>
        <v/>
      </c>
      <c r="AFF6" t="str">
        <f>IF(Guillotine!F13="SP27AB Ultra Silver",1,"")</f>
        <v/>
      </c>
      <c r="AFG6" t="str">
        <f>IF(Guillotine!F13="SP27AB Woodland Grey(Green Tone)",1,"")</f>
        <v/>
      </c>
      <c r="AFH6" t="str">
        <f>IF(Guillotine!F13="SP27AB Pearl White",1,"")</f>
        <v/>
      </c>
      <c r="AFI6" t="str">
        <f>IF(Guillotine!F13="SP27AB Monument",1,"")</f>
        <v/>
      </c>
      <c r="AFJ6" t="str">
        <f>IF(Guillotine!F13="SP27AB Surfmist",1,"")</f>
        <v/>
      </c>
      <c r="AFK6" t="str">
        <f>IF(Guillotine!F13="SP27AB Dune",1,"")</f>
        <v/>
      </c>
      <c r="AFL6" t="str">
        <f>IF(Guillotine!F13="SP27AB Powdercoat",1,"")</f>
        <v/>
      </c>
      <c r="AFM6" t="str">
        <f>IF(Guillotine!F13="SP29AB Apo Grey",1,"")</f>
        <v/>
      </c>
      <c r="AFN6" t="str">
        <f>IF(Guillotine!F13="SP29AB White Birch",1,"")</f>
        <v/>
      </c>
      <c r="AFO6" t="str">
        <f>IF(Guillotine!F13="SP29AB Black",1,"")</f>
        <v/>
      </c>
      <c r="AFP6" t="str">
        <f>IF(Guillotine!F13="SP29AB Brown",1,"")</f>
        <v/>
      </c>
      <c r="AFQ6" t="str">
        <f>IF(Guillotine!F13="SP29AB Deep Ocean",1,"")</f>
        <v/>
      </c>
      <c r="AFR6" t="str">
        <f>IF(Guillotine!F13="SP29AB Jasper",1,"")</f>
        <v/>
      </c>
      <c r="AFS6" t="str">
        <f>IF(Guillotine!F13="SP29AB Paperbark",1,"")</f>
        <v/>
      </c>
      <c r="AFT6" t="str">
        <f>IF(Guillotine!F13="SP29AB Mist Green",1,"")</f>
        <v/>
      </c>
      <c r="AFU6" t="str">
        <f>IF(Guillotine!F13="SP29AB Primrose",1,"")</f>
        <v/>
      </c>
      <c r="AFV6" t="str">
        <f>IF(Guillotine!F13="SP29AB Ultra Silver",1,"")</f>
        <v/>
      </c>
      <c r="AFW6" t="str">
        <f>IF(Guillotine!F13="SP29AB Woodland Grey(Green Tone)",1,"")</f>
        <v/>
      </c>
      <c r="AFX6" t="str">
        <f>IF(Guillotine!F13="SP29AB Pearl White",1,"")</f>
        <v/>
      </c>
      <c r="AFY6" t="str">
        <f>IF(Guillotine!F13="SP29AB Monument",1,"")</f>
        <v/>
      </c>
      <c r="AFZ6" t="str">
        <f>IF(Guillotine!F13="SP29AB Surfmist",1,"")</f>
        <v/>
      </c>
      <c r="AGA6" t="str">
        <f>IF(Guillotine!F13="SP29AB Dune",1,"")</f>
        <v/>
      </c>
      <c r="AGB6" t="str">
        <f>IF(Guillotine!F13="SP29AB Powdercoat",1,"")</f>
        <v/>
      </c>
      <c r="AGC6" t="str">
        <f>IF(Guillotine!F13="SP34AB Apo Grey",1,"")</f>
        <v/>
      </c>
      <c r="AGD6" t="str">
        <f>IF(Guillotine!F13="SP34AB White Birch",1,"")</f>
        <v/>
      </c>
      <c r="AGE6" t="str">
        <f>IF(Guillotine!F13="SP34AB Black",1,"")</f>
        <v/>
      </c>
      <c r="AGF6" t="str">
        <f>IF(Guillotine!F13="SP34AB Brown",1,"")</f>
        <v/>
      </c>
      <c r="AGG6" t="str">
        <f>IF(Guillotine!F13="SP34AB Deep Ocean",1,"")</f>
        <v/>
      </c>
      <c r="AGH6" t="str">
        <f>IF(Guillotine!F13="SP34AB Jasper",1,"")</f>
        <v/>
      </c>
      <c r="AGI6" t="str">
        <f>IF(Guillotine!F13="SP34AB Paperbark",1,"")</f>
        <v/>
      </c>
      <c r="AGJ6" t="str">
        <f>IF(Guillotine!F13="SP34AB Mist Green",1,"")</f>
        <v/>
      </c>
      <c r="AGK6" t="str">
        <f>IF(Guillotine!F13="SP34AB Primrose",1,"")</f>
        <v/>
      </c>
      <c r="AGL6" t="str">
        <f>IF(Guillotine!F13="SP34AB Ultra Silver",1,"")</f>
        <v/>
      </c>
      <c r="AGM6" t="str">
        <f>IF(Guillotine!F13="SP34AB Woodland Grey(Green Tone)",1,"")</f>
        <v/>
      </c>
      <c r="AGN6" t="str">
        <f>IF(Guillotine!F13="SP34AB Pearl White",1,"")</f>
        <v/>
      </c>
      <c r="AGO6" t="str">
        <f>IF(Guillotine!F13="SP34AB Monument",1,"")</f>
        <v/>
      </c>
      <c r="AGP6" t="str">
        <f>IF(Guillotine!F13="SP34AB Surfmist",1,"")</f>
        <v/>
      </c>
      <c r="AGQ6" t="str">
        <f>IF(Guillotine!F13="SP34AB Dune",1,"")</f>
        <v/>
      </c>
      <c r="AGR6" t="str">
        <f>IF(Guillotine!F13="SP34AB Powdercoat",1,"")</f>
        <v/>
      </c>
      <c r="AGS6" t="str">
        <f>IF(Guillotine!F13="SP37AB Apo Grey",1,"")</f>
        <v/>
      </c>
      <c r="AGT6" t="str">
        <f>IF(Guillotine!F13="SP37AB White Birch",1,"")</f>
        <v/>
      </c>
      <c r="AGU6" t="str">
        <f>IF(Guillotine!F13="SP37AB Black",1,"")</f>
        <v/>
      </c>
      <c r="AGV6" t="str">
        <f>IF(Guillotine!F13="SP37AB Brown",1,"")</f>
        <v/>
      </c>
      <c r="AGW6" t="str">
        <f>IF(Guillotine!F13="SP37AB Deep Ocean",1,"")</f>
        <v/>
      </c>
      <c r="AGX6" t="str">
        <f>IF(Guillotine!F13="SP37AB Jasper",1,"")</f>
        <v/>
      </c>
      <c r="AGY6" t="str">
        <f>IF(Guillotine!F13="SP37AB Paperbark",1,"")</f>
        <v/>
      </c>
      <c r="AGZ6" t="str">
        <f>IF(Guillotine!F13="SP37AB Mist Green",1,"")</f>
        <v/>
      </c>
      <c r="AHA6" t="str">
        <f>IF(Guillotine!F13="SP37AB Primrose",1,"")</f>
        <v/>
      </c>
      <c r="AHB6" t="str">
        <f>IF(Guillotine!F13="SP37AB Ultra Silver",1,"")</f>
        <v/>
      </c>
      <c r="AHC6" t="str">
        <f>IF(Guillotine!F13="SP37AB Woodland Grey(Green Tone)",1,"")</f>
        <v/>
      </c>
      <c r="AHD6" t="str">
        <f>IF(Guillotine!F13="SP37AB Pearl White",1,"")</f>
        <v/>
      </c>
      <c r="AHE6" t="str">
        <f>IF(Guillotine!F13="SP37AB Monument",1,"")</f>
        <v/>
      </c>
      <c r="AHF6" t="str">
        <f>IF(Guillotine!F13="SP37AB Surfmist",1,"")</f>
        <v/>
      </c>
      <c r="AHG6" t="str">
        <f>IF(Guillotine!F13="SP37AB Dune",1,"")</f>
        <v/>
      </c>
      <c r="AHH6" t="str">
        <f>IF(Guillotine!F13="SP37AB Powdercoat",1,"")</f>
        <v/>
      </c>
      <c r="AHI6" t="str">
        <f>IF(Guillotine!F13="SP52 Apo Grey",1,"")</f>
        <v/>
      </c>
      <c r="AHJ6" t="str">
        <f>IF(Guillotine!F13="SP52 White Birch",1,"")</f>
        <v/>
      </c>
      <c r="AHK6" t="str">
        <f>IF(Guillotine!F13="SP52 Black",1,"")</f>
        <v/>
      </c>
      <c r="AHL6" t="str">
        <f>IF(Guillotine!F13="SP52 Brown",1,"")</f>
        <v/>
      </c>
      <c r="AHM6" t="str">
        <f>IF(Guillotine!F13="SP52 Deep Ocean",1,"")</f>
        <v/>
      </c>
      <c r="AHN6" t="str">
        <f>IF(Guillotine!F13="SP52 Jasper",1,"")</f>
        <v/>
      </c>
      <c r="AHO6" t="str">
        <f>IF(Guillotine!F13="SP52 Paperbark",1,"")</f>
        <v/>
      </c>
      <c r="AHP6" t="str">
        <f>IF(Guillotine!F13="SP52 Mist Green",1,"")</f>
        <v/>
      </c>
      <c r="AHQ6" t="str">
        <f>IF(Guillotine!F13="SP52 Primrose",1,"")</f>
        <v/>
      </c>
      <c r="AHR6" t="str">
        <f>IF(Guillotine!F13="SP52 Ultra Silver",1,"")</f>
        <v/>
      </c>
      <c r="AHS6" t="str">
        <f>IF(Guillotine!F13="SP52 Woodland Grey(Green Tone)",1,"")</f>
        <v/>
      </c>
      <c r="AHT6" t="str">
        <f>IF(Guillotine!F13="SP52 Pearl White",1,"")</f>
        <v/>
      </c>
      <c r="AHU6" t="str">
        <f>IF(Guillotine!F13="SP52 Monument",1,"")</f>
        <v/>
      </c>
      <c r="AHV6" t="str">
        <f>IF(Guillotine!F13="SP52 Surfmist",1,"")</f>
        <v/>
      </c>
      <c r="AHW6" t="str">
        <f>IF(Guillotine!F13="SP52 Dune",1,"")</f>
        <v/>
      </c>
      <c r="AHX6" t="str">
        <f>IF(Guillotine!F13="SP52 Powdercoat",1,"")</f>
        <v/>
      </c>
      <c r="AHY6" t="str">
        <f>IF(Guillotine!F13="SP53 Apo Grey",1,"")</f>
        <v/>
      </c>
      <c r="AHZ6" t="str">
        <f>IF(Guillotine!F13="SP53 White Birch",1,"")</f>
        <v/>
      </c>
      <c r="AIA6" t="str">
        <f>IF(Guillotine!F13="SP53 Black",1,"")</f>
        <v/>
      </c>
      <c r="AIB6" t="str">
        <f>IF(Guillotine!F13="SP53 Brown",1,"")</f>
        <v/>
      </c>
      <c r="AIC6" t="str">
        <f>IF(Guillotine!F13="SP53 Deep Ocean",1,"")</f>
        <v/>
      </c>
      <c r="AID6" t="str">
        <f>IF(Guillotine!F13="SP53 Jasper",1,"")</f>
        <v/>
      </c>
      <c r="AIE6" t="str">
        <f>IF(Guillotine!F13="SP53 Paperbark",1,"")</f>
        <v/>
      </c>
      <c r="AIF6" t="str">
        <f>IF(Guillotine!F13="SP53 Mist Green",1,"")</f>
        <v/>
      </c>
      <c r="AIG6" t="str">
        <f>IF(Guillotine!F13="SP53 Primrose",1,"")</f>
        <v/>
      </c>
      <c r="AIH6" t="str">
        <f>IF(Guillotine!F13="SP53 Ultra Silver",1,"")</f>
        <v/>
      </c>
      <c r="AII6" t="str">
        <f>IF(Guillotine!F13="SP53 Woodland Grey(Green Tone)",1,"")</f>
        <v/>
      </c>
      <c r="AIJ6" t="str">
        <f>IF(Guillotine!F13="SP53 Pearl White",1,"")</f>
        <v/>
      </c>
      <c r="AIK6" t="str">
        <f>IF(Guillotine!F13="SP53 Monument",1,"")</f>
        <v/>
      </c>
      <c r="AIL6" t="str">
        <f>IF(Guillotine!F13="SP53 Surfmist",1,"")</f>
        <v/>
      </c>
      <c r="AIM6" t="str">
        <f>IF(Guillotine!F13="SP53 Dune",1,"")</f>
        <v/>
      </c>
      <c r="AIN6" t="str">
        <f>IF(Guillotine!F13="SP53 Powdercoat",1,"")</f>
        <v/>
      </c>
      <c r="AIO6" t="str">
        <f>IF(Guillotine!F13="SP55 Apo Grey",1,"")</f>
        <v/>
      </c>
      <c r="AIP6" t="str">
        <f>IF(Guillotine!F13="SP55 White Birch",1,"")</f>
        <v/>
      </c>
      <c r="AIQ6" t="str">
        <f>IF(Guillotine!F13="SP55 Black",1,"")</f>
        <v/>
      </c>
      <c r="AIR6" t="str">
        <f>IF(Guillotine!F13="SP55 Brown",1,"")</f>
        <v/>
      </c>
      <c r="AIS6" t="str">
        <f>IF(Guillotine!F13="SP55 Deep Ocean",1,"")</f>
        <v/>
      </c>
      <c r="AIT6" t="str">
        <f>IF(Guillotine!F13="SP55 Jasper",1,"")</f>
        <v/>
      </c>
      <c r="AIU6" t="str">
        <f>IF(Guillotine!F13="SP55 Paperbark",1,"")</f>
        <v/>
      </c>
      <c r="AIV6" t="str">
        <f>IF(Guillotine!F13="SP55 Mist Green",1,"")</f>
        <v/>
      </c>
      <c r="AIW6" t="str">
        <f>IF(Guillotine!F13="SP55 Primrose",1,"")</f>
        <v/>
      </c>
      <c r="AIX6" t="str">
        <f>IF(Guillotine!F13="SP55 Ultra Silver",1,"")</f>
        <v/>
      </c>
      <c r="AIY6" t="str">
        <f>IF(Guillotine!F13="SP55 Woodland Grey(Green Tone)",1,"")</f>
        <v/>
      </c>
      <c r="AIZ6" t="str">
        <f>IF(Guillotine!F13="SP55 Pearl White",1,"")</f>
        <v/>
      </c>
      <c r="AJA6" t="str">
        <f>IF(Guillotine!F13="SP55 Monument",1,"")</f>
        <v/>
      </c>
      <c r="AJB6" t="str">
        <f>IF(Guillotine!F13="SP55 Surfmist",1,"")</f>
        <v/>
      </c>
      <c r="AJC6" t="str">
        <f>IF(Guillotine!F13="SP55 Dune",1,"")</f>
        <v/>
      </c>
      <c r="AJD6" t="str">
        <f>IF(Guillotine!F13="SP55 Powdercoat",1,"")</f>
        <v/>
      </c>
      <c r="AJE6" t="str">
        <f>IF(Guillotine!F13="SP56 Apo Grey",1,"")</f>
        <v/>
      </c>
      <c r="AJF6" t="str">
        <f>IF(Guillotine!F13="SP56 White Birch",1,"")</f>
        <v/>
      </c>
      <c r="AJG6" t="str">
        <f>IF(Guillotine!F13="SP56 Black",1,"")</f>
        <v/>
      </c>
      <c r="AJH6" t="str">
        <f>IF(Guillotine!F13="SP56 Brown",1,"")</f>
        <v/>
      </c>
      <c r="AJI6" t="str">
        <f>IF(Guillotine!F13="SP56 Deep Ocean",1,"")</f>
        <v/>
      </c>
      <c r="AJJ6" t="str">
        <f>IF(Guillotine!F13="SP56 Jasper",1,"")</f>
        <v/>
      </c>
      <c r="AJK6" t="str">
        <f>IF(Guillotine!F13="SP56 Paperbark",1,"")</f>
        <v/>
      </c>
      <c r="AJL6" t="str">
        <f>IF(Guillotine!F13="SP56 Mist Green",1,"")</f>
        <v/>
      </c>
      <c r="AJM6" t="str">
        <f>IF(Guillotine!F13="SP56 Primrose",1,"")</f>
        <v/>
      </c>
      <c r="AJN6" t="str">
        <f>IF(Guillotine!F13="SP56 Ultra Silver",1,"")</f>
        <v/>
      </c>
      <c r="AJO6" t="str">
        <f>IF(Guillotine!F13="SP56 Woodland Grey(Green Tone)",1,"")</f>
        <v/>
      </c>
      <c r="AJP6" t="str">
        <f>IF(Guillotine!F13="SP56 Pearl White",1,"")</f>
        <v/>
      </c>
      <c r="AJQ6" t="str">
        <f>IF(Guillotine!F13="SP56 Monument",1,"")</f>
        <v/>
      </c>
      <c r="AJR6" t="str">
        <f>IF(Guillotine!F13="SP56 Surfmist",1,"")</f>
        <v/>
      </c>
      <c r="AJS6" t="str">
        <f>IF(Guillotine!F13="SP56 Dune",1,"")</f>
        <v/>
      </c>
      <c r="AJT6" t="str">
        <f>IF(Guillotine!F13="SP56 Powdercoat",1,"")</f>
        <v/>
      </c>
      <c r="AJU6" t="str">
        <f>IF(Guillotine!F13="SP65 Apo Grey",1,"")</f>
        <v/>
      </c>
      <c r="AJV6" t="str">
        <f>IF(Guillotine!F13="SP65 White Birch",1,"")</f>
        <v/>
      </c>
      <c r="AJW6" t="str">
        <f>IF(Guillotine!F13="SP65 Black",1,"")</f>
        <v/>
      </c>
      <c r="AJX6" t="str">
        <f>IF(Guillotine!F13="SP65 Brown",1,"")</f>
        <v/>
      </c>
      <c r="AJY6" t="str">
        <f>IF(Guillotine!F13="SP65 Deep Ocean",1,"")</f>
        <v/>
      </c>
      <c r="AJZ6" t="str">
        <f>IF(Guillotine!F13="SP65 Jasper",1,"")</f>
        <v/>
      </c>
      <c r="AKA6" t="str">
        <f>IF(Guillotine!F13="SP65 Paperbark",1,"")</f>
        <v/>
      </c>
      <c r="AKB6" t="str">
        <f>IF(Guillotine!F13="SP65 Mist Green",1,"")</f>
        <v/>
      </c>
      <c r="AKC6" t="str">
        <f>IF(Guillotine!F13="SP65 Primrose",1,"")</f>
        <v/>
      </c>
      <c r="AKD6" t="str">
        <f>IF(Guillotine!F13="SP65 Ultra Silver",1,"")</f>
        <v/>
      </c>
      <c r="AKE6" t="str">
        <f>IF(Guillotine!F13="SP65 Woodland Grey(Green Tone)",1,"")</f>
        <v/>
      </c>
      <c r="AKF6" t="str">
        <f>IF(Guillotine!F13="SP65 Pearl White",1,"")</f>
        <v/>
      </c>
      <c r="AKG6" t="str">
        <f>IF(Guillotine!F13="SP65 Monument",1,"")</f>
        <v/>
      </c>
      <c r="AKH6" t="str">
        <f>IF(Guillotine!F13="SP65 Surfmist",1,"")</f>
        <v/>
      </c>
      <c r="AKI6" t="str">
        <f>IF(Guillotine!F13="SP65 Dune",1,"")</f>
        <v/>
      </c>
      <c r="AKJ6" t="str">
        <f>IF(Guillotine!F13="SP65 Powdercoat",1,"")</f>
        <v/>
      </c>
      <c r="AKK6" t="str">
        <f>IF(Guillotine!F13="SP72 Apo Grey",1,"")</f>
        <v/>
      </c>
      <c r="AKL6" t="str">
        <f>IF(Guillotine!F13="SP72 White Birch",1,"")</f>
        <v/>
      </c>
      <c r="AKM6" t="str">
        <f>IF(Guillotine!F13="SP72 Black",1,"")</f>
        <v/>
      </c>
      <c r="AKN6" t="str">
        <f>IF(Guillotine!F13="SP72 Brown",1,"")</f>
        <v/>
      </c>
      <c r="AKO6" t="str">
        <f>IF(Guillotine!F13="SP72 Deep Ocean",1,"")</f>
        <v/>
      </c>
      <c r="AKP6" t="str">
        <f>IF(Guillotine!F13="SP72 Jasper",1,"")</f>
        <v/>
      </c>
      <c r="AKQ6" t="str">
        <f>IF(Guillotine!F13="SP72 Paperbark",1,"")</f>
        <v/>
      </c>
      <c r="AKR6" t="str">
        <f>IF(Guillotine!F13="SP72 Mist Green",1,"")</f>
        <v/>
      </c>
      <c r="AKS6" t="str">
        <f>IF(Guillotine!F13="SP72 Primrose",1,"")</f>
        <v/>
      </c>
      <c r="AKT6" t="str">
        <f>IF(Guillotine!F13="SP72 Ultra Silver",1,"")</f>
        <v/>
      </c>
      <c r="AKU6" t="str">
        <f>IF(Guillotine!F13="SP72 Woodland Grey(Green Tone)",1,"")</f>
        <v/>
      </c>
      <c r="AKV6" t="str">
        <f>IF(Guillotine!F13="SP72 Pearl White",1,"")</f>
        <v/>
      </c>
      <c r="AKW6" t="str">
        <f>IF(Guillotine!F13="SP72 Monument",1,"")</f>
        <v/>
      </c>
      <c r="AKX6" t="str">
        <f>IF(Guillotine!F13="SP72 Surfmist",1,"")</f>
        <v/>
      </c>
      <c r="AKY6" t="str">
        <f>IF(Guillotine!F13="SP72 Dune",1,"")</f>
        <v/>
      </c>
      <c r="AKZ6" t="str">
        <f>IF(Guillotine!F13="SP72 Powdercoat",1,"")</f>
        <v/>
      </c>
      <c r="ALA6" t="str">
        <f>IF(Guillotine!F13="SP74 Apo Grey",1,"")</f>
        <v/>
      </c>
      <c r="ALB6" t="str">
        <f>IF(Guillotine!F13="SP74 White Birch",1,"")</f>
        <v/>
      </c>
      <c r="ALC6" t="str">
        <f>IF(Guillotine!F13="SP74 Black",1,"")</f>
        <v/>
      </c>
      <c r="ALD6" t="str">
        <f>IF(Guillotine!F13="SP74 Brown",1,"")</f>
        <v/>
      </c>
      <c r="ALE6" t="str">
        <f>IF(Guillotine!F13="SP74 Deep Ocean",1,"")</f>
        <v/>
      </c>
      <c r="ALF6" t="str">
        <f>IF(Guillotine!F13="SP74 Jasper",1,"")</f>
        <v/>
      </c>
      <c r="ALG6" t="str">
        <f>IF(Guillotine!F13="SP74 Paperbark",1,"")</f>
        <v/>
      </c>
      <c r="ALH6" t="str">
        <f>IF(Guillotine!F13="SP74 Mist Green",1,"")</f>
        <v/>
      </c>
      <c r="ALI6" t="str">
        <f>IF(Guillotine!F13="SP74 Primrose",1,"")</f>
        <v/>
      </c>
      <c r="ALJ6" t="str">
        <f>IF(Guillotine!F13="SP74 Ultra Silver",1,"")</f>
        <v/>
      </c>
      <c r="ALK6" t="str">
        <f>IF(Guillotine!F13="SP74 Woodland Grey(Green Tone)",1,"")</f>
        <v/>
      </c>
      <c r="ALL6" t="str">
        <f>IF(Guillotine!F13="SP74 Pearl White",1,"")</f>
        <v/>
      </c>
      <c r="ALM6" t="str">
        <f>IF(Guillotine!F13="SP74 Monument",1,"")</f>
        <v/>
      </c>
      <c r="ALN6" t="str">
        <f>IF(Guillotine!F13="SP74 Surfmist",1,"")</f>
        <v/>
      </c>
      <c r="ALO6" t="str">
        <f>IF(Guillotine!F13="SP74 Dune",1,"")</f>
        <v/>
      </c>
      <c r="ALP6" t="str">
        <f>IF(Guillotine!F13="SP74 Powdercoat",1,"")</f>
        <v/>
      </c>
      <c r="ALQ6" t="str">
        <f>IF(Guillotine!F13="SP78 Apo Grey",1,"")</f>
        <v/>
      </c>
      <c r="ALR6" t="str">
        <f>IF(Guillotine!F13="SP78 White Birch",1,"")</f>
        <v/>
      </c>
      <c r="ALS6" t="str">
        <f>IF(Guillotine!F13="SP78 Black",1,"")</f>
        <v/>
      </c>
      <c r="ALT6" t="str">
        <f>IF(Guillotine!F13="SP78 Brown",1,"")</f>
        <v/>
      </c>
      <c r="ALU6" t="str">
        <f>IF(Guillotine!F13="SP78 Deep Ocean",1,"")</f>
        <v/>
      </c>
      <c r="ALV6" t="str">
        <f>IF(Guillotine!F13="SP78 Jasper",1,"")</f>
        <v/>
      </c>
      <c r="ALW6" t="str">
        <f>IF(Guillotine!F13="SP78 Paperbark",1,"")</f>
        <v/>
      </c>
      <c r="ALX6" t="str">
        <f>IF(Guillotine!F13="SP78 Mist Green",1,"")</f>
        <v/>
      </c>
      <c r="ALY6" t="str">
        <f>IF(Guillotine!F13="SP78 Primrose",1,"")</f>
        <v/>
      </c>
      <c r="ALZ6" t="str">
        <f>IF(Guillotine!F13="SP78 Ultra Silver",1,"")</f>
        <v/>
      </c>
      <c r="AMA6" t="str">
        <f>IF(Guillotine!F13="SP78 Woodland Grey(Green Tone)",1,"")</f>
        <v/>
      </c>
      <c r="AMB6" t="str">
        <f>IF(Guillotine!F13="SP78 Pearl White",1,"")</f>
        <v/>
      </c>
      <c r="AMC6" t="str">
        <f>IF(Guillotine!F13="SP78 Monument",1,"")</f>
        <v/>
      </c>
      <c r="AMD6" t="str">
        <f>IF(Guillotine!F13="SP78 Surfmist",1,"")</f>
        <v/>
      </c>
      <c r="AME6" t="str">
        <f>IF(Guillotine!F13="SP78 Dune",1,"")</f>
        <v/>
      </c>
      <c r="AMF6" t="str">
        <f>IF(Guillotine!F13="SP78 Powdercoat",1,"")</f>
        <v/>
      </c>
    </row>
    <row r="7" spans="4:1020" ht="13.2" customHeight="1">
      <c r="D7" t="str">
        <f>IF(Data!AV13="","",CONCATENATE(Data!BC$5,".",Data!BD$5))</f>
        <v>12201.A</v>
      </c>
      <c r="E7">
        <f>IF(D7="","",Data!AW13)</f>
        <v>3</v>
      </c>
      <c r="F7" t="str">
        <f>IF(D7="","",Data!AV13)</f>
        <v>09248385-bf56-48c9-88c3-bdf85a442f93</v>
      </c>
      <c r="G7" t="str">
        <f t="shared" si="1"/>
        <v>Doors</v>
      </c>
      <c r="H7" t="str">
        <f>IF(D7="","",Data!BF$5)</f>
        <v>Leurs, Nigel</v>
      </c>
      <c r="I7" t="str">
        <f>IF(D7="","",Data!AX$5)</f>
        <v>Barrier Doors </v>
      </c>
      <c r="J7" s="73" t="str">
        <f>IF(AND('Mitred Cutting'!C13="Standard",'Mitred Cutting'!D13="APO Grey"),(('Job Sheet'!BH13+'Job Sheet'!BI13)*2),"")</f>
        <v/>
      </c>
      <c r="K7" s="73" t="str">
        <f>IF(AND('Mitred Cutting'!C13="Standard",'Mitred Cutting'!D13="White Birch"),(('Job Sheet'!BH13+'Job Sheet'!BI13)*2),"")</f>
        <v/>
      </c>
      <c r="L7" s="73" t="str">
        <f>IF(AND('Mitred Cutting'!C13="Standard",'Mitred Cutting'!D13="Black"),(('Job Sheet'!BH13+'Job Sheet'!BI13)*2),"")</f>
        <v/>
      </c>
      <c r="M7" s="73" t="str">
        <f>IF(AND('Mitred Cutting'!C13="Standard",'Mitred Cutting'!D13="Brown"),(('Job Sheet'!BH13+'Job Sheet'!BI13)*2),"")</f>
        <v/>
      </c>
      <c r="N7" s="73" t="str">
        <f>IF(AND('Mitred Cutting'!C13="Standard",'Mitred Cutting'!D13="Deep Ocean"),(('Job Sheet'!BH13+'Job Sheet'!BI13)*2),"")</f>
        <v/>
      </c>
      <c r="O7" s="73" t="str">
        <f>IF(AND('Mitred Cutting'!C13="Standard",'Mitred Cutting'!D13="Jasper"),(('Job Sheet'!BH13+'Job Sheet'!BI13)*2),"")</f>
        <v/>
      </c>
      <c r="P7" s="73">
        <f>IF(AND('Mitred Cutting'!C13="Standard",'Mitred Cutting'!D13="Paperbark"),(('Job Sheet'!BH13+'Job Sheet'!BI13)*2),"")</f>
        <v>5944</v>
      </c>
      <c r="Q7" s="73" t="str">
        <f>IF(AND('Mitred Cutting'!C13="Standard",'Mitred Cutting'!D13="Mist Green"),(('Job Sheet'!BH13+'Job Sheet'!BI13)*2),"")</f>
        <v/>
      </c>
      <c r="R7" s="73" t="str">
        <f>IF(AND('Mitred Cutting'!C13="Standard",'Mitred Cutting'!D13="Primrose"),(('Job Sheet'!BH13+'Job Sheet'!BI13)*2),"")</f>
        <v/>
      </c>
      <c r="S7" s="73" t="str">
        <f>IF(AND('Mitred Cutting'!C13="Standard",'Mitred Cutting'!D13="Ultra Silver"),(('Job Sheet'!BH13+'Job Sheet'!BI13)*2),"")</f>
        <v/>
      </c>
      <c r="T7" s="73" t="str">
        <f>IF(AND('Mitred Cutting'!C13="Standard",'Mitred Cutting'!D13="Woodland Grey(Green Tone)"),(('Job Sheet'!BH13+'Job Sheet'!BI13)*2),"")</f>
        <v/>
      </c>
      <c r="U7" s="73" t="str">
        <f>IF(AND('Mitred Cutting'!C13="Standard",'Mitred Cutting'!D13="Pearl White"),(('Job Sheet'!BH13+'Job Sheet'!BI13)*2),"")</f>
        <v/>
      </c>
      <c r="V7" s="73" t="str">
        <f>IF(AND('Mitred Cutting'!C13="Standard",'Mitred Cutting'!D13="Monument"),(('Job Sheet'!BH13+'Job Sheet'!BI13)*2),"")</f>
        <v/>
      </c>
      <c r="W7" s="73" t="str">
        <f>IF(AND('Mitred Cutting'!C13="Standard",'Mitred Cutting'!D13="Surfmist"),(('Job Sheet'!BH13+'Job Sheet'!BI13)*2),"")</f>
        <v/>
      </c>
      <c r="X7" s="73" t="str">
        <f>IF(AND('Mitred Cutting'!C13="Standard",'Mitred Cutting'!D13="Dune"),(('Job Sheet'!BH13+'Job Sheet'!BI13)*2),"")</f>
        <v/>
      </c>
      <c r="Y7" s="73" t="str">
        <f>IF(AND('Mitred Cutting'!C13="Standard",'Job Sheet'!AA13="Woodland Grey (Dulux)"),(('Job Sheet'!BH13+'Job Sheet'!BI13)*2),"")</f>
        <v/>
      </c>
      <c r="Z7" s="73" t="str">
        <f>IF(AND('Mitred Cutting'!C13="Standard",Data!BP13="Powdercoat",'Job Sheet'!AA13&lt;&gt;"Woodland Grey (Dulux)"),(('Job Sheet'!BH13+'Job Sheet'!BI13)*2),"")</f>
        <v/>
      </c>
      <c r="AA7" s="73" t="str">
        <f>IF(AND('Mitred Cutting'!C13="Invisi-Gard",'Mitred Cutting'!D13="APO Grey"),(('Job Sheet'!BH13+'Job Sheet'!BI13)*2),"")</f>
        <v/>
      </c>
      <c r="AB7" s="73" t="str">
        <f>IF(AND('Mitred Cutting'!C13="Invisi-Gard",'Mitred Cutting'!D13="White Birch"),(('Job Sheet'!BH13+'Job Sheet'!BI13)*2),"")</f>
        <v/>
      </c>
      <c r="AC7" s="73" t="str">
        <f>IF(AND('Mitred Cutting'!C13="Invisi-Gard",'Mitred Cutting'!D13="Black"),(('Job Sheet'!BH13+'Job Sheet'!BI13)*2),"")</f>
        <v/>
      </c>
      <c r="AD7" s="73" t="str">
        <f>IF(AND('Mitred Cutting'!C13="Invisi-Gard",'Mitred Cutting'!D13="Brown"),(('Job Sheet'!BH13+'Job Sheet'!BI13)*2),"")</f>
        <v/>
      </c>
      <c r="AE7" s="73" t="str">
        <f>IF(AND('Mitred Cutting'!C13="Invisi-Gard",'Mitred Cutting'!D13="Deep Ocean"),(('Job Sheet'!BH13+'Job Sheet'!BI13)*2),"")</f>
        <v/>
      </c>
      <c r="AF7" s="73" t="str">
        <f>IF(AND('Mitred Cutting'!C13="Invisi-Gard",'Mitred Cutting'!D13="Jasper"),(('Job Sheet'!BH13+'Job Sheet'!BI13)*2),"")</f>
        <v/>
      </c>
      <c r="AG7" s="73" t="str">
        <f>IF(AND('Mitred Cutting'!C13="Invisi-Gard",'Mitred Cutting'!D13="Paperbark"),(('Job Sheet'!BH13+'Job Sheet'!BI13)*2),"")</f>
        <v/>
      </c>
      <c r="AH7" s="73" t="str">
        <f>IF(AND('Mitred Cutting'!C13="Invisi-Gard",'Mitred Cutting'!D13="Mist Green"),(('Job Sheet'!BH13+'Job Sheet'!BI13)*2),"")</f>
        <v/>
      </c>
      <c r="AI7" s="73" t="str">
        <f>IF(AND('Mitred Cutting'!C13="Invisi-Gard",'Mitred Cutting'!D13="Primrose"),(('Job Sheet'!BH13+'Job Sheet'!BI13)*2),"")</f>
        <v/>
      </c>
      <c r="AJ7" s="73" t="str">
        <f>IF(AND('Mitred Cutting'!C13="Invisi-Gard",'Mitred Cutting'!D13="Ultra Silver"),(('Job Sheet'!BH13+'Job Sheet'!BI13)*2),"")</f>
        <v/>
      </c>
      <c r="AK7" s="73" t="str">
        <f>IF(AND('Mitred Cutting'!C13="Invisi-Gard",'Mitred Cutting'!D13="Woodland Grey(Green Tone)"),(('Job Sheet'!BH13+'Job Sheet'!BI13)*2),"")</f>
        <v/>
      </c>
      <c r="AL7" s="73" t="str">
        <f>IF(AND('Mitred Cutting'!C13="Invisi-Gard",'Mitred Cutting'!D13="Pearl White"),(('Job Sheet'!BH13+'Job Sheet'!BI13)*2),"")</f>
        <v/>
      </c>
      <c r="AM7" s="73" t="str">
        <f>IF(AND('Mitred Cutting'!C13="Invisi-Gard",'Mitred Cutting'!D13="Monument"),(('Job Sheet'!BH13+'Job Sheet'!BI13)*2),"")</f>
        <v/>
      </c>
      <c r="AN7" s="73" t="str">
        <f>IF(AND('Mitred Cutting'!C13="Invisi-Gard",'Mitred Cutting'!D13="Surfmist"),(('Job Sheet'!BH13+'Job Sheet'!BI13)*2),"")</f>
        <v/>
      </c>
      <c r="AO7" s="73" t="str">
        <f>IF(AND('Mitred Cutting'!C13="Invisi-Gard",'Mitred Cutting'!D13="Dune"),(('Job Sheet'!BH13+'Job Sheet'!BI13)*2),"")</f>
        <v/>
      </c>
      <c r="AP7" s="73" t="str">
        <f>IF(AND('Mitred Cutting'!C13="Invisi-Gard",'Job Sheet'!AA13="Woodland Grey (Dulux)"),(('Job Sheet'!BH13+'Job Sheet'!BI13)*2),"")</f>
        <v/>
      </c>
      <c r="AQ7" s="73" t="str">
        <f>IF(AND('Mitred Cutting'!C13="Invisi-Gard",Data!BP13="Powdercoat",'Job Sheet'!AA13&lt;&gt;"Woodland Grey (Dulux)"),(('Job Sheet'!BH13+'Job Sheet'!BI13)*2),"")</f>
        <v/>
      </c>
      <c r="BZ7" s="73"/>
      <c r="CA7" s="73"/>
      <c r="CB7" s="73"/>
      <c r="CC7" s="73"/>
      <c r="CD7" s="73"/>
      <c r="CE7" s="73"/>
      <c r="CF7" s="73"/>
      <c r="CG7" s="73"/>
      <c r="CH7" s="73"/>
      <c r="CI7" s="73"/>
      <c r="CJ7" s="73"/>
      <c r="CK7" s="73"/>
      <c r="CL7" s="73"/>
      <c r="CM7" s="73"/>
      <c r="CN7" s="73"/>
      <c r="CO7" s="73"/>
      <c r="CP7" s="73"/>
      <c r="CQ7" s="73" t="str">
        <f>IF(D7="","",IF(AND('Job Sheet'!AO13="Yes",'Mitred Cutting'!I13="Short Leg Left, Right and Top",'Mitred Cutting'!J13="APO Grey"),(('Job Sheet'!E13*2+60)+'Job Sheet'!AP13+60),IF(AND('Mitred Cutting'!I13="Short Leg 1 Side",'Mitred Cutting'!J13="APO Grey"),'Job Sheet'!E13+30,IF(AND('Mitred Cutting'!I13="Short Leg Left, Right and Top",'Mitred Cutting'!J13="APO Grey"),(('Job Sheet'!E13*2+60)+'Job Sheet'!D13+60),""))))</f>
        <v/>
      </c>
      <c r="CR7" s="73" t="str">
        <f>IF(D7="","",IF(AND('Job Sheet'!AO13="Yes",'Mitred Cutting'!I13="Short Leg Left, Right and Top",'Mitred Cutting'!J13="White Birch"),(('Job Sheet'!E13*2+60)+'Job Sheet'!AP13+60),IF(AND('Mitred Cutting'!I13="Short Leg 1 Side",'Mitred Cutting'!J13="White Birch"),'Job Sheet'!E13+30,IF(AND('Mitred Cutting'!I13="Short Leg Left, Right and Top",'Mitred Cutting'!J13="White Birch"),(('Job Sheet'!E13*2+60)+'Job Sheet'!D13+60),""))))</f>
        <v/>
      </c>
      <c r="CS7" s="73" t="str">
        <f>IF(D7="","",IF(AND('Job Sheet'!AO13="Yes",'Mitred Cutting'!I13="Short Leg Left, Right and Top",'Mitred Cutting'!J13="Black"),(('Job Sheet'!E13*2+60)+'Job Sheet'!AP13+60),IF(AND('Mitred Cutting'!I13="Short Leg 1 Side",'Mitred Cutting'!J13="Black"),'Job Sheet'!E13+30,IF(AND('Mitred Cutting'!I13="Short Leg Left, Right and Top",'Mitred Cutting'!J13="Black"),(('Job Sheet'!E13*2+60)+'Job Sheet'!D13+60),""))))</f>
        <v/>
      </c>
      <c r="CT7" s="73" t="str">
        <f>IF(D7="","",IF(AND('Job Sheet'!AO13="Yes",'Mitred Cutting'!I13="Short Leg Left, Right and Top",'Mitred Cutting'!J13="Brown"),(('Job Sheet'!E13*2+60)+'Job Sheet'!AP13+60),IF(AND('Mitred Cutting'!I13="Short Leg 1 Side",'Mitred Cutting'!J13="Brown"),'Job Sheet'!E13+30,IF(AND('Mitred Cutting'!I13="Short Leg Left, Right and Top",'Mitred Cutting'!J13="Brown"),(('Job Sheet'!E13*2+60)+'Job Sheet'!D13+60),""))))</f>
        <v/>
      </c>
      <c r="CU7" s="73" t="str">
        <f>IF(D7="","",IF(AND('Job Sheet'!AO13="Yes",'Mitred Cutting'!I13="Short Leg Left, Right and Top",'Mitred Cutting'!J13="Deep Ocean"),(('Job Sheet'!E13*2+60)+'Job Sheet'!AP13+60),IF(AND('Mitred Cutting'!I13="Short Leg 1 Side",'Mitred Cutting'!J13="Deep Ocean"),'Job Sheet'!E13+30,IF(AND('Mitred Cutting'!I13="Short Leg Left, Right and Top",'Mitred Cutting'!J13="Deep Ocean"),(('Job Sheet'!E13*2+60)+'Job Sheet'!D13+60),""))))</f>
        <v/>
      </c>
      <c r="CV7" s="73" t="str">
        <f>IF(D7="","",IF(AND('Job Sheet'!AO13="Yes",'Mitred Cutting'!I13="Short Leg Left, Right and Top",'Mitred Cutting'!J13="Jasper"),(('Job Sheet'!E13*2+60)+'Job Sheet'!AP13+60),IF(AND('Mitred Cutting'!I13="Short Leg 1 Side",'Mitred Cutting'!J13="Jasper"),'Job Sheet'!E13+30,IF(AND('Mitred Cutting'!I13="Short Leg Left, Right and Top",'Mitred Cutting'!J13="Jasper"),(('Job Sheet'!E13*2+60)+'Job Sheet'!D13+60),""))))</f>
        <v/>
      </c>
      <c r="CW7" s="73" t="str">
        <f>IF(D7="","",IF(AND('Job Sheet'!AO13="Yes",'Mitred Cutting'!I13="Short Leg Left, Right and Top",'Mitred Cutting'!J13="Paperbark"),(('Job Sheet'!E13*2+60)+'Job Sheet'!AP13+60),IF(AND('Mitred Cutting'!I13="Short Leg 1 Side",'Mitred Cutting'!J13="Paperbark"),'Job Sheet'!E13+30,IF(AND('Mitred Cutting'!I13="Short Leg Left, Right and Top",'Mitred Cutting'!J13="Paperbark"),(('Job Sheet'!E13*2+60)+'Job Sheet'!D13+60),""))))</f>
        <v/>
      </c>
      <c r="CX7" s="73" t="str">
        <f>IF(D7="","",IF(AND('Job Sheet'!AO13="Yes",'Mitred Cutting'!I13="Short Leg Left, Right and Top",'Mitred Cutting'!J13="Mist Green"),(('Job Sheet'!E13*2+60)+'Job Sheet'!AP13+60),IF(AND('Mitred Cutting'!I13="Short Leg 1 Side",'Mitred Cutting'!J13="Mist Green"),'Job Sheet'!E13+30,IF(AND('Mitred Cutting'!I13="Short Leg Left, Right and Top",'Mitred Cutting'!J13="Mist Green"),(('Job Sheet'!E13*2+60)+'Job Sheet'!D13+60),""))))</f>
        <v/>
      </c>
      <c r="CY7" s="73" t="str">
        <f>IF(D7="","",IF(AND('Job Sheet'!AO13="Yes",'Mitred Cutting'!I13="Short Leg Left, Right and Top",'Mitred Cutting'!J13="Primrose"),(('Job Sheet'!E13*2+60)+'Job Sheet'!AP13+60),IF(AND('Mitred Cutting'!I13="Short Leg 1 Side",'Mitred Cutting'!J13="Primrose"),'Job Sheet'!E13+30,IF(AND('Mitred Cutting'!I13="Short Leg Left, Right and Top",'Mitred Cutting'!J13="Primrose"),(('Job Sheet'!E13*2+60)+'Job Sheet'!D13+60),""))))</f>
        <v/>
      </c>
      <c r="CZ7" s="73" t="str">
        <f>IF(D7="","",IF(AND('Job Sheet'!AO13="Yes",'Mitred Cutting'!I13="Short Leg Left, Right and Top",'Mitred Cutting'!J13="Ultra Silver"),(('Job Sheet'!E13*2+60)+'Job Sheet'!AP13+60),IF(AND('Mitred Cutting'!I13="Short Leg 1 Side",'Mitred Cutting'!J13="Ultra Silver"),'Job Sheet'!E13+30,IF(AND('Mitred Cutting'!I13="Short Leg Left, Right and Top",'Mitred Cutting'!J13="Ultra Silver"),(('Job Sheet'!E13*2+60)+'Job Sheet'!D13+60),""))))</f>
        <v/>
      </c>
      <c r="DA7" s="73" t="str">
        <f>IF(D7="","",IF(AND('Job Sheet'!AO13="Yes",'Mitred Cutting'!I13="Short Leg Left, Right and Top",'Mitred Cutting'!J13="Woodland Grey(Green Tone)"),(('Job Sheet'!E13*2+60)+'Job Sheet'!AP13+60),IF(AND('Mitred Cutting'!I13="Short Leg 1 Side",'Mitred Cutting'!J13="Woodland Grey(Green Tone)"),'Job Sheet'!E13+30,IF(AND('Mitred Cutting'!I13="Short Leg Left, Right and Top",'Mitred Cutting'!J13="Woodland Grey(Green Tone)"),(('Job Sheet'!E13*2+60)+'Job Sheet'!D13+60),""))))</f>
        <v/>
      </c>
      <c r="DB7" s="73" t="str">
        <f>IF(D7="","",IF(AND('Job Sheet'!AO13="Yes",'Mitred Cutting'!I13="Short Leg Left, Right and Top",'Mitred Cutting'!J13="Pearl White"),(('Job Sheet'!E13*2+60)+'Job Sheet'!AP13+60),IF(AND('Mitred Cutting'!I13="Short Leg 1 Side",'Mitred Cutting'!J13="Pearl White"),'Job Sheet'!E13+30,IF(AND('Mitred Cutting'!I13="Short Leg Left, Right and Top",'Mitred Cutting'!J13="Pearl White"),(('Job Sheet'!E13*2+60)+'Job Sheet'!D13+60),""))))</f>
        <v/>
      </c>
      <c r="DC7" s="73" t="str">
        <f>IF(D7="","",IF(AND('Job Sheet'!AO13="Yes",'Mitred Cutting'!I13="Short Leg Left, Right and Top",'Mitred Cutting'!J13="Monument"),(('Job Sheet'!E13*2+60)+'Job Sheet'!AP13+60),IF(AND('Mitred Cutting'!I13="Short Leg 1 Side",'Mitred Cutting'!J13="Monument"),'Job Sheet'!E13+30,IF(AND('Mitred Cutting'!I13="Short Leg Left, Right and Top",'Mitred Cutting'!J13="Monument"),(('Job Sheet'!E13*2+60)+'Job Sheet'!D13+60),""))))</f>
        <v/>
      </c>
      <c r="DD7" s="73" t="str">
        <f>IF(D7="","",IF(AND('Job Sheet'!AO13="Yes",'Mitred Cutting'!I13="Short Leg Left, Right and Top",'Mitred Cutting'!J13="Surfmist"),(('Job Sheet'!E13*2+60)+'Job Sheet'!AP13+60),IF(AND('Mitred Cutting'!I13="Short Leg 1 Side",'Mitred Cutting'!J13="Surfmist"),'Job Sheet'!E13+30,IF(AND('Mitred Cutting'!I13="Short Leg Left, Right and Top",'Mitred Cutting'!J13="Surfmist"),(('Job Sheet'!E13*2+60)+'Job Sheet'!D13+60),""))))</f>
        <v/>
      </c>
      <c r="DE7" s="73" t="str">
        <f>IF(D7="","",IF(AND('Job Sheet'!AO13="Yes",'Mitred Cutting'!I13="Short Leg Left, Right and Top",'Mitred Cutting'!J13="Dune"),(('Job Sheet'!E13*2+60)+'Job Sheet'!AP13+60),IF(AND('Mitred Cutting'!I13="Short Leg 1 Side",'Mitred Cutting'!J13="Dune"),'Job Sheet'!E13+30,IF(AND('Mitred Cutting'!I13="Short Leg Left, Right and Top",'Mitred Cutting'!J13="Dune"),(('Job Sheet'!E13*2+60)+'Job Sheet'!D13+60),""))))</f>
        <v/>
      </c>
      <c r="DG7" s="73" t="str">
        <f>IF(D7="","",IF(AND('Job Sheet'!AO13="Yes",'Mitred Cutting'!I13="Short Leg Left, Right and Top",Data!BP13="Powdercoat"),(('Job Sheet'!E13*2+60)+'Job Sheet'!AP13+60),IF(AND('Mitred Cutting'!I13="Short Leg 1 Side",Data!BP13="Powdercoat"),'Job Sheet'!E13+30,IF(AND('Mitred Cutting'!I13="Short Leg Left, Right and Top",Data!BP13="Powdercoat"),(('Job Sheet'!E13*2+60)+'Job Sheet'!D13+60),""))))</f>
        <v/>
      </c>
      <c r="DH7" s="73" t="str">
        <f>IF(D7="","",IF(AND('Job Sheet'!AO13="Yes",'Mitred Cutting'!I13="Long Leg Left, Right and Top",'Mitred Cutting'!J13="APO Grey"),(('Job Sheet'!E13*2+60)+'Job Sheet'!AP13+60),IF(AND('Mitred Cutting'!I13="Long Leg 1 Side",'Mitred Cutting'!J13="APO Grey"),'Job Sheet'!E13+30,IF(AND('Mitred Cutting'!I13="Long Leg Left, Right and Top",'Mitred Cutting'!J13="APO Grey"),(('Job Sheet'!E13*2+60)+'Job Sheet'!D13+60),""))))</f>
        <v/>
      </c>
      <c r="DI7" s="73" t="str">
        <f>IF(D7="","",IF(AND('Job Sheet'!AO13="Yes",'Mitred Cutting'!I13="Long Leg Left, Right and Top",'Mitred Cutting'!J13="White Birch"),(('Job Sheet'!E13*2+60)+'Job Sheet'!AP13+60),IF(AND('Mitred Cutting'!I13="Long Leg 1 Side",'Mitred Cutting'!J13="White Birch"),'Job Sheet'!E13+30,IF(AND('Mitred Cutting'!I13="Long Leg Left, Right and Top",'Mitred Cutting'!J13="White Birch"),(('Job Sheet'!E13*2+60)+'Job Sheet'!D13+60),""))))</f>
        <v/>
      </c>
      <c r="DJ7" s="73" t="str">
        <f>IF(D7="","",IF(AND('Job Sheet'!AO13="Yes",'Mitred Cutting'!I13="Long Leg Left, Right and Top",'Mitred Cutting'!J13="Black"),(('Job Sheet'!E13*2+60)+'Job Sheet'!AP13+60),IF(AND('Mitred Cutting'!I13="Long Leg 1 Side",'Mitred Cutting'!J13="Black"),'Job Sheet'!E13+30,IF(AND('Mitred Cutting'!I13="Long Leg Left, Right and Top",'Mitred Cutting'!J13="Black"),(('Job Sheet'!E13*2+60)+'Job Sheet'!D13+60),""))))</f>
        <v/>
      </c>
      <c r="DK7" s="73" t="str">
        <f>IF(D7="","",IF(AND('Job Sheet'!AO13="Yes",'Mitred Cutting'!I13="Long Leg Left, Right and Top",'Mitred Cutting'!J13="Brown"),(('Job Sheet'!E13*2+60)+'Job Sheet'!AP13+60),IF(AND('Mitred Cutting'!I13="Long Leg 1 Side",'Mitred Cutting'!J13="Brown"),'Job Sheet'!E13+30,IF(AND('Mitred Cutting'!I13="Long Leg Left, Right and Top",'Mitred Cutting'!J13="Brown"),(('Job Sheet'!E13*2+60)+'Job Sheet'!D13+60),""))))</f>
        <v/>
      </c>
      <c r="DL7" s="73" t="str">
        <f>IF(D7="","",IF(AND('Job Sheet'!AO13="Yes",'Mitred Cutting'!I13="Long Leg Left, Right and Top",'Mitred Cutting'!J13="Deep Ocean"),(('Job Sheet'!E13*2+60)+'Job Sheet'!AP13+60),IF(AND('Mitred Cutting'!I13="Long Leg 1 Side",'Mitred Cutting'!J13="Deep Ocean"),'Job Sheet'!E13+30,IF(AND('Mitred Cutting'!I13="Long Leg Left, Right and Top",'Mitred Cutting'!J13="Deep Ocean"),(('Job Sheet'!E13*2+60)+'Job Sheet'!D13+60),""))))</f>
        <v/>
      </c>
      <c r="DM7" s="73" t="str">
        <f>IF(D7="","",IF(AND('Job Sheet'!AO13="Yes",'Mitred Cutting'!I13="Long Leg Left, Right and Top",'Mitred Cutting'!J13="Jasper"),(('Job Sheet'!E13*2+60)+'Job Sheet'!AP13+60),IF(AND('Mitred Cutting'!I13="Long Leg 1 Side",'Mitred Cutting'!J13="Jasper"),'Job Sheet'!E13+30,IF(AND('Mitred Cutting'!I13="Long Leg Left, Right and Top",'Mitred Cutting'!J13="Jasper"),(('Job Sheet'!E13*2+60)+'Job Sheet'!D13+60),""))))</f>
        <v/>
      </c>
      <c r="DN7" s="73" t="str">
        <f>IF(D7="","",IF(AND('Job Sheet'!AO13="Yes",'Mitred Cutting'!I13="Long Leg Left, Right and Top",'Mitred Cutting'!J13="Paperbark"),(('Job Sheet'!E13*2+60)+'Job Sheet'!AP13+60),IF(AND('Mitred Cutting'!I13="Long Leg 1 Side",'Mitred Cutting'!J13="Paperbark"),'Job Sheet'!E13+30,IF(AND('Mitred Cutting'!I13="Long Leg Left, Right and Top",'Mitred Cutting'!J13="Paperbark"),(('Job Sheet'!E13*2+60)+'Job Sheet'!D13+60),""))))</f>
        <v/>
      </c>
      <c r="DO7" s="73" t="str">
        <f>IF(D7="","",IF(AND('Job Sheet'!AO13="Yes",'Mitred Cutting'!I13="Long Leg Left, Right and Top",'Mitred Cutting'!J13="Mist Green"),(('Job Sheet'!E13*2+60)+'Job Sheet'!AP13+60),IF(AND('Mitred Cutting'!I13="Long Leg 1 Side",'Mitred Cutting'!J13="Mist Green"),'Job Sheet'!E13+30,IF(AND('Mitred Cutting'!I13="Long Leg Left, Right and Top",'Mitred Cutting'!J13="Mist Green"),(('Job Sheet'!E13*2+60)+'Job Sheet'!D13+60),""))))</f>
        <v/>
      </c>
      <c r="DP7" s="73" t="str">
        <f>IF(D7="","",IF(AND('Job Sheet'!AO13="Yes",'Mitred Cutting'!I13="Long Leg Left, Right and Top",'Mitred Cutting'!J13="Primrose"),(('Job Sheet'!E13*2+60)+'Job Sheet'!AP13+60),IF(AND('Mitred Cutting'!I13="Long Leg 1 Side",'Mitred Cutting'!J13="Primrose"),'Job Sheet'!E13+30,IF(AND('Mitred Cutting'!I13="Long Leg Left, Right and Top",'Mitred Cutting'!J13="Primrose"),(('Job Sheet'!E13*2+60)+'Job Sheet'!D13+60),""))))</f>
        <v/>
      </c>
      <c r="DQ7" s="73" t="str">
        <f>IF(D7="","",IF(AND('Job Sheet'!AO13="Yes",'Mitred Cutting'!I13="Long Leg Left, Right and Top",'Mitred Cutting'!J13="Ultra Silver"),(('Job Sheet'!E13*2+60)+'Job Sheet'!AP13+60),IF(AND('Mitred Cutting'!I13="Long Leg 1 Side",'Mitred Cutting'!J13="Ultra Silver"),'Job Sheet'!E13+30,IF(AND('Mitred Cutting'!I13="Long Leg Left, Right and Top",'Mitred Cutting'!J13="Ultra Silver"),(('Job Sheet'!E13*2+60)+'Job Sheet'!D13+60),""))))</f>
        <v/>
      </c>
      <c r="DR7" s="73" t="str">
        <f>IF(D7="","",IF(AND('Job Sheet'!AO13="Yes",'Mitred Cutting'!I13="Long Leg Left, Right and Top",'Mitred Cutting'!J13="Woodland Grey(Green Tone)"),(('Job Sheet'!E13*2+60)+'Job Sheet'!AP13+60),IF(AND('Mitred Cutting'!I13="Long Leg 1 Side",'Mitred Cutting'!J13="Woodland Grey(Green Tone)"),'Job Sheet'!E13+30,IF(AND('Mitred Cutting'!I13="Long Leg Left, Right and Top",'Mitred Cutting'!J13="Woodland Grey(Green Tone)"),(('Job Sheet'!E13*2+60)+'Job Sheet'!D13+60),""))))</f>
        <v/>
      </c>
      <c r="DS7" s="73" t="str">
        <f>IF(D7="","",IF(AND('Job Sheet'!AO13="Yes",'Mitred Cutting'!I13="Long Leg Left, Right and Top",'Mitred Cutting'!J13="Pearl White"),(('Job Sheet'!E13*2+60)+'Job Sheet'!AP13+60),IF(AND('Mitred Cutting'!I13="Long Leg 1 Side",'Mitred Cutting'!J13="Pearl White"),'Job Sheet'!E13+30,IF(AND('Mitred Cutting'!I13="Long Leg Left, Right and Top",'Mitred Cutting'!J13="Pearl White"),(('Job Sheet'!E13*2+60)+'Job Sheet'!D13+60),""))))</f>
        <v/>
      </c>
      <c r="DT7" s="73" t="str">
        <f>IF(D7="","",IF(AND('Job Sheet'!AO13="Yes",'Mitred Cutting'!I13="Long Leg Left, Right and Top",'Mitred Cutting'!J13="Monument"),(('Job Sheet'!E13*2+60)+'Job Sheet'!AP13+60),IF(AND('Mitred Cutting'!I13="Long Leg 1 Side",'Mitred Cutting'!J13="Monument"),'Job Sheet'!E13+30,IF(AND('Mitred Cutting'!I13="Long Leg Left, Right and Top",'Mitred Cutting'!J13="Monument"),(('Job Sheet'!E13*2+60)+'Job Sheet'!D13+60),""))))</f>
        <v/>
      </c>
      <c r="DU7" s="73" t="str">
        <f>IF(D7="","",IF(AND('Job Sheet'!AO13="Yes",'Mitred Cutting'!I13="Long Leg Left, Right and Top",'Mitred Cutting'!J13="Surfmist"),(('Job Sheet'!E13*2+60)+'Job Sheet'!AP13+60),IF(AND('Mitred Cutting'!I13="Long Leg 1 Side",'Mitred Cutting'!J13="Surfmist"),'Job Sheet'!E13+30,IF(AND('Mitred Cutting'!I13="Long Leg Left, Right and Top",'Mitred Cutting'!J13="Surfmist"),(('Job Sheet'!E13*2+60)+'Job Sheet'!D13+60),""))))</f>
        <v/>
      </c>
      <c r="DV7" s="73" t="str">
        <f>IF(D7="","",IF(AND('Job Sheet'!AO13="Yes",'Mitred Cutting'!I13="Long Leg Left, Right and Top",'Mitred Cutting'!J13="Dune"),(('Job Sheet'!E13*2+60)+'Job Sheet'!AP13+60),IF(AND('Mitred Cutting'!I13="Long Leg 1 Side",'Mitred Cutting'!J13="Dune"),'Job Sheet'!E13+30,IF(AND('Mitred Cutting'!I13="Long Leg Left, Right and Top",'Mitred Cutting'!J13="Dune"),(('Job Sheet'!E13*2+60)+'Job Sheet'!D13+60),""))))</f>
        <v/>
      </c>
      <c r="DX7" s="73" t="str">
        <f>IF(D7="","",IF(AND('Job Sheet'!AO13="Yes",'Mitred Cutting'!I13="Long Leg Left, Right and Top",Data!BP13="Powdercoat"),(('Job Sheet'!E13*2+60)+'Job Sheet'!AP13+60),IF(AND('Mitred Cutting'!I13="Long Leg 1 Side",Data!BP13="Powdercoat"),'Job Sheet'!E13+30,IF(AND('Mitred Cutting'!I13="Long Leg Left, Right and Top",Data!BP13="Powdercoat"),(('Job Sheet'!E13*2+60)+'Job Sheet'!D13+60),""))))</f>
        <v/>
      </c>
      <c r="EA7" s="73" t="str">
        <f>IF(Data!AV13="","",IF('Job Sheet'!AV13="Yes",VLOOKUP(CONCATENATE('Job Sheet'!AW13,'Job Sheet'!AY13),DogDoor,4,FALSE),""))</f>
        <v/>
      </c>
      <c r="FE7" s="73" t="str">
        <f>IF(AND('Straight Cutting'!F13&lt;&gt;"",'Mitred Cutting'!D13="APO Grey"),'Straight Cutting'!F13,"")</f>
        <v/>
      </c>
      <c r="FF7" s="73" t="str">
        <f>IF(AND('Straight Cutting'!F13&lt;&gt;"",'Mitred Cutting'!D13="White Birch"),'Straight Cutting'!F13,"")</f>
        <v/>
      </c>
      <c r="FG7" s="73" t="str">
        <f>IF(AND('Straight Cutting'!F13&lt;&gt;"",'Mitred Cutting'!D13="Black"),'Straight Cutting'!F13,"")</f>
        <v/>
      </c>
      <c r="FH7" s="73" t="str">
        <f>IF(AND('Straight Cutting'!F13&lt;&gt;"",'Mitred Cutting'!D13="Brown"),'Straight Cutting'!F13,"")</f>
        <v/>
      </c>
      <c r="FI7" s="73" t="str">
        <f>IF(AND('Straight Cutting'!F13&lt;&gt;"",'Mitred Cutting'!D13="Deep Ocean"),'Straight Cutting'!F13,"")</f>
        <v/>
      </c>
      <c r="FJ7" s="73" t="str">
        <f>IF(AND('Straight Cutting'!F13&lt;&gt;"",'Mitred Cutting'!D13="Jasper"),'Straight Cutting'!F13,"")</f>
        <v/>
      </c>
      <c r="FK7" s="73">
        <f>IF(AND('Straight Cutting'!F13&lt;&gt;"",'Mitred Cutting'!D13="Paperbark"),'Straight Cutting'!F13,"")</f>
        <v>2018</v>
      </c>
      <c r="FL7" s="73" t="str">
        <f>IF(AND('Straight Cutting'!F13&lt;&gt;"",'Mitred Cutting'!D13="Mist Green"),'Straight Cutting'!F13,"")</f>
        <v/>
      </c>
      <c r="FM7" s="73" t="str">
        <f>IF(AND('Straight Cutting'!F13&lt;&gt;"",'Mitred Cutting'!D13="Primrose"),'Straight Cutting'!F13,"")</f>
        <v/>
      </c>
      <c r="FN7" s="73" t="str">
        <f>IF(AND('Straight Cutting'!F13&lt;&gt;"",'Mitred Cutting'!D13="Ultra Silver"),'Straight Cutting'!F13,"")</f>
        <v/>
      </c>
      <c r="FO7" s="73" t="str">
        <f>IF(AND('Straight Cutting'!F13&lt;&gt;"",'Mitred Cutting'!D13="Woodland Grey(Green Tone)"),'Straight Cutting'!F13,"")</f>
        <v/>
      </c>
      <c r="FP7" s="73" t="str">
        <f>IF(AND('Straight Cutting'!F13&lt;&gt;"",'Mitred Cutting'!D13="Pearl White"),'Straight Cutting'!F13,"")</f>
        <v/>
      </c>
      <c r="FQ7" s="73" t="str">
        <f>IF(AND('Straight Cutting'!F13&lt;&gt;"",'Mitred Cutting'!D13="Monument"),'Straight Cutting'!F13,"")</f>
        <v/>
      </c>
      <c r="FR7" s="73" t="str">
        <f>IF(AND('Straight Cutting'!F13&lt;&gt;"",'Mitred Cutting'!D13="Surfmist"),'Straight Cutting'!F13,"")</f>
        <v/>
      </c>
      <c r="FS7" s="73" t="str">
        <f>IF(AND('Straight Cutting'!F13&lt;&gt;"",'Mitred Cutting'!D13="Dune"),'Straight Cutting'!F13,"")</f>
        <v/>
      </c>
      <c r="FU7" s="73" t="str">
        <f>IF(AND('Straight Cutting'!F13&lt;&gt;"",Data!BP13="Powdercoat",'Job Sheet'!AA13&lt;&gt;"Woodland Grey (Dulux)"),'Straight Cutting'!F13,"")</f>
        <v/>
      </c>
      <c r="FV7" s="73" t="str">
        <f>IF(AND('Straight Cutting'!E13="F &amp; Z Frames",'Mitred Cutting'!D13="APO Grey"),'Straight Cutting'!G13,"")</f>
        <v/>
      </c>
      <c r="FW7" s="73" t="str">
        <f>IF(AND('Straight Cutting'!E13="F &amp; Z Frames",'Mitred Cutting'!D13="White Birch"),'Straight Cutting'!G13,"")</f>
        <v/>
      </c>
      <c r="FX7" s="73" t="str">
        <f>IF(AND('Straight Cutting'!E13="F &amp; Z Frames",'Mitred Cutting'!D13="Black"),'Straight Cutting'!G13,"")</f>
        <v/>
      </c>
      <c r="FY7" s="73" t="str">
        <f>IF(AND('Straight Cutting'!E13="F &amp; Z Frames",'Mitred Cutting'!D13="Brown"),'Straight Cutting'!G13,"")</f>
        <v/>
      </c>
      <c r="FZ7" s="73" t="str">
        <f>IF(AND('Straight Cutting'!E13="F &amp; Z Frames",'Mitred Cutting'!D13="Deep Ocean"),'Straight Cutting'!G13,"")</f>
        <v/>
      </c>
      <c r="GA7" s="73" t="str">
        <f>IF(AND('Straight Cutting'!E13="F &amp; Z Frames",'Mitred Cutting'!D13="Jasper"),'Straight Cutting'!G13,"")</f>
        <v/>
      </c>
      <c r="GB7" s="73">
        <f>IF(AND('Straight Cutting'!E13="F &amp; Z Frames",'Mitred Cutting'!D13="Paperbark"),'Straight Cutting'!G13,"")</f>
        <v>2018</v>
      </c>
      <c r="GC7" s="73" t="str">
        <f>IF(AND('Straight Cutting'!E13="F &amp; Z Frames",'Mitred Cutting'!D13="Mist Green"),'Straight Cutting'!G13,"")</f>
        <v/>
      </c>
      <c r="GD7" s="73" t="str">
        <f>IF(AND('Straight Cutting'!E13="F &amp; Z Frames",'Mitred Cutting'!D13="Primrose"),'Straight Cutting'!G13,"")</f>
        <v/>
      </c>
      <c r="GE7" s="73" t="str">
        <f>IF(AND('Straight Cutting'!E13="F &amp; Z Frames",'Mitred Cutting'!D13="Ultra Silver"),'Straight Cutting'!G13,"")</f>
        <v/>
      </c>
      <c r="GF7" s="73" t="str">
        <f>IF(AND('Straight Cutting'!E13="F &amp; Z Frames",'Mitred Cutting'!D13="Woodland Grey(Green Tone)"),'Straight Cutting'!G13,"")</f>
        <v/>
      </c>
      <c r="GG7" s="73" t="str">
        <f>IF(AND('Straight Cutting'!E13="F &amp; Z Frames",'Mitred Cutting'!D13="Pearl White"),'Straight Cutting'!G13,"")</f>
        <v/>
      </c>
      <c r="GH7" s="73" t="str">
        <f>IF(AND('Straight Cutting'!E13="F &amp; Z Frames",'Mitred Cutting'!D13="Monument"),'Straight Cutting'!G13,"")</f>
        <v/>
      </c>
      <c r="GI7" s="73" t="str">
        <f>IF(AND('Straight Cutting'!E13="F &amp; Z Frames",'Mitred Cutting'!D13="Surfmist"),'Straight Cutting'!G13,"")</f>
        <v/>
      </c>
      <c r="GJ7" s="73" t="str">
        <f>IF(AND('Straight Cutting'!E13="F &amp; Z Frames",'Mitred Cutting'!D13="Dune"),'Straight Cutting'!G13,"")</f>
        <v/>
      </c>
      <c r="GK7" s="73" t="str">
        <f>IF(AND('Straight Cutting'!E13="F &amp; Z Frames",Data!BP13="Powdercoat"),'Straight Cutting'!G13,"")</f>
        <v/>
      </c>
      <c r="GL7" s="73" t="str">
        <f>IF(AND('Straight Cutting'!E13="F &amp; High Step Z Frame",'Mitred Cutting'!D13="APO Grey"),'Straight Cutting'!G13,"")</f>
        <v/>
      </c>
      <c r="GM7" s="73" t="str">
        <f>IF(AND('Straight Cutting'!E13="F &amp; High Step Z Frame",'Mitred Cutting'!D13="White Birch"),'Straight Cutting'!G13,"")</f>
        <v/>
      </c>
      <c r="GN7" s="73" t="str">
        <f>IF(AND('Straight Cutting'!E13="F &amp; High Step Z Frame",'Mitred Cutting'!D13="Black"),'Straight Cutting'!G13,"")</f>
        <v/>
      </c>
      <c r="GO7" s="73" t="str">
        <f>IF(AND('Straight Cutting'!E13="F &amp; High Step Z Frame",'Mitred Cutting'!D13="Brown"),'Straight Cutting'!G13,"")</f>
        <v/>
      </c>
      <c r="GP7" s="73" t="str">
        <f>IF(AND('Straight Cutting'!E13="F &amp; High Step Z Frame",'Mitred Cutting'!D13="Deep Ocean"),'Straight Cutting'!G13,"")</f>
        <v/>
      </c>
      <c r="GQ7" s="73" t="str">
        <f>IF(AND('Straight Cutting'!E13="F &amp; High Step Z Frame",'Mitred Cutting'!D13="Jasper"),'Straight Cutting'!G13,"")</f>
        <v/>
      </c>
      <c r="GR7" s="73" t="str">
        <f>IF(AND('Straight Cutting'!E13="F &amp; High Step Z Frame",'Mitred Cutting'!D13="Paperbark"),'Straight Cutting'!G13,"")</f>
        <v/>
      </c>
      <c r="GS7" s="73" t="str">
        <f>IF(AND('Straight Cutting'!E13="F &amp; High Step Z Frame",'Mitred Cutting'!D13="Mist Green"),'Straight Cutting'!G13,"")</f>
        <v/>
      </c>
      <c r="GT7" s="73" t="str">
        <f>IF(AND('Straight Cutting'!E13="F &amp; High Step Z Frame",'Mitred Cutting'!D13="Primrose"),'Straight Cutting'!G13,"")</f>
        <v/>
      </c>
      <c r="GU7" s="73" t="str">
        <f>IF(AND('Straight Cutting'!E13="F &amp; High Step Z Frame",'Mitred Cutting'!D13="Ultra Silver"),'Straight Cutting'!G13,"")</f>
        <v/>
      </c>
      <c r="GV7" s="73" t="str">
        <f>IF(AND('Straight Cutting'!E13="F &amp; High Step Z Frame",'Mitred Cutting'!D13="Woodland Grey(Green Tone)"),'Straight Cutting'!G13,"")</f>
        <v/>
      </c>
      <c r="GW7" s="73" t="str">
        <f>IF(AND('Straight Cutting'!E13="F &amp; High Step Z Frame",'Mitred Cutting'!D13="Pearl White"),'Straight Cutting'!G13,"")</f>
        <v/>
      </c>
      <c r="GX7" s="73" t="str">
        <f>IF(AND('Straight Cutting'!E13="F &amp; High Step Z Frame",'Mitred Cutting'!D13="Monument"),'Straight Cutting'!G13,"")</f>
        <v/>
      </c>
      <c r="GY7" s="73" t="str">
        <f>IF(AND('Straight Cutting'!E13="F &amp; High Step Z Frame",'Mitred Cutting'!D13="Surfmist"),'Straight Cutting'!G13,"")</f>
        <v/>
      </c>
      <c r="GZ7" s="73" t="str">
        <f>IF(AND('Straight Cutting'!E13="F &amp; High Step Z Frame",'Mitred Cutting'!D13="Dune"),'Straight Cutting'!G13,"")</f>
        <v/>
      </c>
      <c r="HA7" s="73" t="str">
        <f>IF(AND('Straight Cutting'!E13="F &amp; High Step Z Frame",Data!BP13="Powdercoat"),'Straight Cutting'!G13,"")</f>
        <v/>
      </c>
      <c r="HB7" s="73" t="str">
        <f>IF(AND('Straight Cutting'!I13&lt;&gt;"",'Mitred Cutting'!D13="APO Grey"),'Straight Cutting'!I13,"")</f>
        <v/>
      </c>
      <c r="HC7" s="73" t="str">
        <f>IF(AND('Straight Cutting'!I13&lt;&gt;"",'Mitred Cutting'!D13="White Birch"),'Straight Cutting'!I13,"")</f>
        <v/>
      </c>
      <c r="HD7" s="73" t="str">
        <f>IF(AND('Straight Cutting'!I13&lt;&gt;"",'Mitred Cutting'!D13="Black"),'Straight Cutting'!I13,"")</f>
        <v/>
      </c>
      <c r="HE7" s="73" t="str">
        <f>IF(AND('Straight Cutting'!I13&lt;&gt;"",'Mitred Cutting'!D13="Brown"),'Straight Cutting'!I13,"")</f>
        <v/>
      </c>
      <c r="HF7" s="73" t="str">
        <f>IF(AND('Straight Cutting'!I13&lt;&gt;"",'Mitred Cutting'!D13="Deep Ocean"),'Straight Cutting'!I13,"")</f>
        <v/>
      </c>
      <c r="HG7" s="73" t="str">
        <f>IF(AND('Straight Cutting'!I13&lt;&gt;"",'Mitred Cutting'!D13="Jasper"),'Straight Cutting'!I13,"")</f>
        <v/>
      </c>
      <c r="HH7" s="73" t="str">
        <f>IF(AND('Straight Cutting'!I13&lt;&gt;"",'Mitred Cutting'!D13="Paperbark"),'Straight Cutting'!I13,"")</f>
        <v/>
      </c>
      <c r="HI7" s="73" t="str">
        <f>IF(AND('Straight Cutting'!I13&lt;&gt;"",'Mitred Cutting'!D13="Mist Green"),'Straight Cutting'!I13,"")</f>
        <v/>
      </c>
      <c r="HJ7" s="73" t="str">
        <f>IF(AND('Straight Cutting'!I13&lt;&gt;"",'Mitred Cutting'!D13="Primrose"),'Straight Cutting'!I13,"")</f>
        <v/>
      </c>
      <c r="HK7" s="73" t="str">
        <f>IF(AND('Straight Cutting'!I13&lt;&gt;"",'Mitred Cutting'!D13="Ultra Silver"),'Straight Cutting'!I13,"")</f>
        <v/>
      </c>
      <c r="HL7" s="73" t="str">
        <f>IF(AND('Straight Cutting'!I13&lt;&gt;"",'Mitred Cutting'!D13="Woodland Grey(Green Tone)"),'Straight Cutting'!I13,"")</f>
        <v/>
      </c>
      <c r="HM7" s="73" t="str">
        <f>IF(AND('Straight Cutting'!I13&lt;&gt;"",'Mitred Cutting'!D13="Pearl White"),'Straight Cutting'!I13,"")</f>
        <v/>
      </c>
      <c r="HN7" s="73" t="str">
        <f>IF(AND('Straight Cutting'!I13&lt;&gt;"",'Mitred Cutting'!D13="Monument"),'Straight Cutting'!I13,"")</f>
        <v/>
      </c>
      <c r="HO7" s="73" t="str">
        <f>IF(AND('Straight Cutting'!I13&lt;&gt;"",'Mitred Cutting'!D13="Surfmist"),'Straight Cutting'!I13,"")</f>
        <v/>
      </c>
      <c r="HP7" s="73" t="str">
        <f>IF(AND('Straight Cutting'!I13&lt;&gt;"",'Mitred Cutting'!D13="Dune"),'Straight Cutting'!I13,"")</f>
        <v/>
      </c>
      <c r="HR7" s="73" t="str">
        <f>IF(AND('Straight Cutting'!I13&lt;&gt;"",'Mitred Cutting'!D13="Powdercoat"),'Straight Cutting'!I13,"")</f>
        <v/>
      </c>
      <c r="HS7" s="73" t="str">
        <f>IF(AND('Mitred Cutting'!D13="APO Grey",'Job Sheet'!AQ13="T Mullion with Cutouts and 2 Lock Bolts"),'Straight Cutting'!J13,"")</f>
        <v/>
      </c>
      <c r="HT7" s="73" t="str">
        <f>IF(AND('Mitred Cutting'!D13="White Birch",'Job Sheet'!AQ13="T Mullion with Cutouts and 2 Lock Bolts"),'Straight Cutting'!J13,"")</f>
        <v/>
      </c>
      <c r="HU7" s="73" t="str">
        <f>IF(AND('Mitred Cutting'!D13="Black",'Job Sheet'!AQ13="T Mullion with Cutouts and 2 Lock Bolts"),'Straight Cutting'!J13,"")</f>
        <v/>
      </c>
      <c r="HV7" s="73" t="str">
        <f>IF(AND('Mitred Cutting'!D13="Brown",'Job Sheet'!AQ13="T Mullion with Cutouts and 2 Lock Bolts"),'Straight Cutting'!J13,"")</f>
        <v/>
      </c>
      <c r="HW7" s="73" t="str">
        <f>IF(AND('Mitred Cutting'!D13="Deep Ocean",'Job Sheet'!AQ13="T Mullion with Cutouts and 2 Lock Bolts"),'Straight Cutting'!J13,"")</f>
        <v/>
      </c>
      <c r="HX7" s="73" t="str">
        <f>IF(AND('Mitred Cutting'!D13="Jasper",'Job Sheet'!AQ13="T Mullion with Cutouts and 2 Lock Bolts"),'Straight Cutting'!J13,"")</f>
        <v/>
      </c>
      <c r="HY7" s="73" t="str">
        <f>IF(AND('Mitred Cutting'!D13="Paperbark",'Job Sheet'!AQ13="T Mullion with Cutouts and 2 Lock Bolts"),'Straight Cutting'!J13,"")</f>
        <v/>
      </c>
      <c r="HZ7" s="73" t="str">
        <f>IF(AND('Mitred Cutting'!D13="Mist Green",'Job Sheet'!AQ13="T Mullion with Cutouts and 2 Lock Bolts"),'Straight Cutting'!J13,"")</f>
        <v/>
      </c>
      <c r="IA7" s="73" t="str">
        <f>IF(AND('Mitred Cutting'!D13="Primrose",'Job Sheet'!AQ13="T Mullion with Cutouts and 2 Lock Bolts"),'Straight Cutting'!J13,"")</f>
        <v/>
      </c>
      <c r="IB7" s="73" t="str">
        <f>IF(AND('Mitred Cutting'!D13="Ultra Silver",'Job Sheet'!AQ13="T Mullion with Cutouts and 2 Lock Bolts"),'Straight Cutting'!J13,"")</f>
        <v/>
      </c>
      <c r="IC7" s="73" t="str">
        <f>IF(AND('Mitred Cutting'!D13="Woodland Grey(Green Tone)",'Job Sheet'!AQ13="T Mullion with Cutouts and 2 Lock Bolts"),'Straight Cutting'!J13,"")</f>
        <v/>
      </c>
      <c r="ID7" s="73" t="str">
        <f>IF(AND('Mitred Cutting'!D13="Pearl White",'Job Sheet'!AQ13="T Mullion with Cutouts and 2 Lock Bolts"),'Straight Cutting'!J13,"")</f>
        <v/>
      </c>
      <c r="IE7" s="73" t="str">
        <f>IF(AND('Mitred Cutting'!D13="Monument",'Job Sheet'!AQ13="T Mullion with Cutouts and 2 Lock Bolts"),'Straight Cutting'!J13,"")</f>
        <v/>
      </c>
      <c r="IF7" s="73" t="str">
        <f>IF(AND('Mitred Cutting'!D13="Surfmist",'Job Sheet'!AQ13="T Mullion with Cutouts and 2 Lock Bolts"),'Straight Cutting'!J13,"")</f>
        <v/>
      </c>
      <c r="IG7" s="73" t="str">
        <f>IF(AND('Mitred Cutting'!D13="Dune",'Job Sheet'!AQ13="T Mullion with Cutouts and 2 Lock Bolts"),'Straight Cutting'!J13,"")</f>
        <v/>
      </c>
      <c r="IH7" s="73" t="str">
        <f>IF(AND('Job Sheet'!Z13="Custom Powdercoat",'Job Sheet'!AQ13="T Mullion with Cutouts and 2 Lock Bolts"),'Straight Cutting'!J13,"")</f>
        <v/>
      </c>
      <c r="II7" s="73" t="str">
        <f>IF(AND('Mitred Cutting'!D13="Apo Grey",'Straight Cutting'!E13="Bug Strip Frame"),'Job Sheet'!BH13-2+'Job Sheet'!BI13-50,IF(AND('Mitred Cutting'!D13="Apo Grey",'Straight Cutting'!E13&lt;&gt;"Bug Strip Frame"),'Straight Cutting'!D13,""))</f>
        <v/>
      </c>
      <c r="IJ7" s="73" t="str">
        <f>IF(AND('Mitred Cutting'!D13="White Birch",'Straight Cutting'!E13="Bug Strip Frame"),'Job Sheet'!BH13-2+'Job Sheet'!BI13-50,IF(AND('Mitred Cutting'!D13="White Birch",'Straight Cutting'!E13&lt;&gt;"Bug Strip Frame"),'Straight Cutting'!D13,""))</f>
        <v/>
      </c>
      <c r="IK7" s="73" t="str">
        <f>IF(AND('Mitred Cutting'!D13="Black",'Straight Cutting'!E13="Bug Strip Frame"),'Job Sheet'!BH13-2+'Job Sheet'!BI13-50,IF(AND('Mitred Cutting'!D13="Black",'Straight Cutting'!E13&lt;&gt;"Bug Strip Frame"),'Straight Cutting'!D13,""))</f>
        <v/>
      </c>
      <c r="IL7" s="73" t="str">
        <f>IF(AND('Mitred Cutting'!D13="Brown",'Straight Cutting'!E13="Bug Strip Frame"),'Job Sheet'!BH13-2+'Job Sheet'!BI13-50,IF(AND('Mitred Cutting'!D13="Brown",'Straight Cutting'!E13&lt;&gt;"Bug Strip Frame"),'Straight Cutting'!D13,""))</f>
        <v/>
      </c>
      <c r="IM7" s="73" t="str">
        <f>IF(AND('Mitred Cutting'!D13="Deep Ocean",'Straight Cutting'!E13="Bug Strip Frame"),'Job Sheet'!BH13-2+'Job Sheet'!BI13-50,IF(AND('Mitred Cutting'!D13="Deep Ocean",'Straight Cutting'!E13&lt;&gt;"Bug Strip Frame"),'Straight Cutting'!D13,""))</f>
        <v/>
      </c>
      <c r="IN7" s="73" t="str">
        <f>IF(AND('Mitred Cutting'!D13="Jasper",'Straight Cutting'!E13="Bug Strip Frame"),'Job Sheet'!BH13-2+'Job Sheet'!BI13-50,IF(AND('Mitred Cutting'!D13="Jasper",'Straight Cutting'!E13&lt;&gt;"Bug Strip Frame"),'Straight Cutting'!D13,""))</f>
        <v/>
      </c>
      <c r="IO7" s="73">
        <f>IF(AND('Mitred Cutting'!D13="Paperbark",'Straight Cutting'!E13="Bug Strip Frame"),'Job Sheet'!BH13-2+'Job Sheet'!BI13-50,IF(AND('Mitred Cutting'!D13="Paperbark",'Straight Cutting'!E13&lt;&gt;"Bug Strip Frame"),'Straight Cutting'!D13,""))</f>
        <v>899</v>
      </c>
      <c r="IP7" s="73" t="str">
        <f>IF(AND('Mitred Cutting'!D13="Mist Green",'Straight Cutting'!E13="Bug Strip Frame"),'Job Sheet'!BH13-2+'Job Sheet'!BI13-50,IF(AND('Mitred Cutting'!D13="Mist Green",'Straight Cutting'!E13&lt;&gt;"Bug Strip Frame"),'Straight Cutting'!D13,""))</f>
        <v/>
      </c>
      <c r="IQ7" s="73" t="str">
        <f>IF(AND('Mitred Cutting'!D13="Primrose",'Straight Cutting'!E13="Bug Strip Frame"),'Job Sheet'!BH13-2+'Job Sheet'!BI13-50,IF(AND('Mitred Cutting'!D13="Primrose",'Straight Cutting'!E13&lt;&gt;"Bug Strip Frame"),'Straight Cutting'!D13,""))</f>
        <v/>
      </c>
      <c r="IR7" s="73" t="str">
        <f>IF(AND('Mitred Cutting'!D13="Ultra Silver",'Straight Cutting'!E13="Bug Strip Frame"),'Job Sheet'!BH13-2+'Job Sheet'!BI13-50,IF(AND('Mitred Cutting'!D13="Ultra Silver",'Straight Cutting'!E13&lt;&gt;"Bug Strip Frame"),'Straight Cutting'!D13,""))</f>
        <v/>
      </c>
      <c r="IS7" s="73" t="str">
        <f>IF(AND('Mitred Cutting'!D13="Woodland Grey(Green Tone)",'Straight Cutting'!E13="Bug Strip Frame"),'Job Sheet'!BH13-2+'Job Sheet'!BI13-50,IF(AND('Mitred Cutting'!D13="Woodland Grey(Green Tone)",'Straight Cutting'!E13&lt;&gt;"Bug Strip Frame"),'Straight Cutting'!D13,""))</f>
        <v/>
      </c>
      <c r="IT7" s="73" t="str">
        <f>IF(AND('Mitred Cutting'!D13="Pearl White",'Straight Cutting'!E13="Bug Strip Frame"),'Job Sheet'!BH13-2+'Job Sheet'!BI13-50,IF(AND('Mitred Cutting'!D13="Pearl White",'Straight Cutting'!E13&lt;&gt;"Bug Strip Frame"),'Straight Cutting'!D13,""))</f>
        <v/>
      </c>
      <c r="IU7" s="73" t="str">
        <f>IF(AND('Mitred Cutting'!D13="Monument",'Straight Cutting'!E13="Bug Strip Frame"),'Job Sheet'!BH13-2+'Job Sheet'!BI13-50,IF(AND('Mitred Cutting'!D13="Monument",'Straight Cutting'!E13&lt;&gt;"Bug Strip Frame"),'Straight Cutting'!D13,""))</f>
        <v/>
      </c>
      <c r="IV7" s="73" t="str">
        <f>IF(AND('Mitred Cutting'!D13="Surfmist",'Straight Cutting'!E13="Bug Strip Frame"),'Job Sheet'!BH13-2+'Job Sheet'!BI13-50,IF(AND('Mitred Cutting'!D13="Surfmist",'Straight Cutting'!E13&lt;&gt;"Bug Strip Frame"),'Straight Cutting'!D13,""))</f>
        <v/>
      </c>
      <c r="IW7" s="73" t="str">
        <f>IF(AND('Mitred Cutting'!D13="Dune",'Straight Cutting'!E13="Bug Strip Frame"),'Job Sheet'!BH13-2+'Job Sheet'!BI13-50,IF(AND('Mitred Cutting'!D13="Dune",'Straight Cutting'!E13&lt;&gt;"Bug Strip Frame"),'Straight Cutting'!D13,""))</f>
        <v/>
      </c>
      <c r="IX7" s="73" t="str">
        <f>IF(AND('Job Sheet'!AA13="Woodland Grey (Dulux)",'Straight Cutting'!E13="Bug Strip Frame"),'Job Sheet'!BH13-2+'Job Sheet'!BI13-50,IF(AND('Job Sheet'!AA13="Woodland Grey (Dulux)",'Straight Cutting'!E13&lt;&gt;"Bug Strip Frame"),'Straight Cutting'!D13,""))</f>
        <v/>
      </c>
      <c r="IY7" s="73" t="str">
        <f>IF(AND('Job Sheet'!Z13="Custom Powdercoat",'Job Sheet'!AA13&lt;&gt;"Woodland Grey (Dulux)",'Straight Cutting'!E13="Bug Strip Frame"),'Job Sheet'!BH13-2+'Job Sheet'!BI13-50,IF(AND('Job Sheet'!Z13="Custom Powdercoat",'Job Sheet'!AA13&lt;&gt;"Woodland Grey (Dulux)",'Straight Cutting'!E13&lt;&gt;"Bug Strip Frame"),'Straight Cutting'!D13,""))</f>
        <v/>
      </c>
      <c r="IZ7" s="73" t="str">
        <f>IF(AND('Straight Cutting'!L13="U Channel",'Mitred Cutting'!D13="APO Grey"),'Straight Cutting'!L13,"")</f>
        <v/>
      </c>
      <c r="JA7" s="73" t="str">
        <f>IF(AND('Straight Cutting'!K13="U Channel",'Mitred Cutting'!D13="White Birch"),'Straight Cutting'!L13,"")</f>
        <v/>
      </c>
      <c r="JB7" s="73" t="str">
        <f>IF(AND('Straight Cutting'!K13="U Channel",'Mitred Cutting'!D13="Black"),'Straight Cutting'!L13,"")</f>
        <v/>
      </c>
      <c r="JC7" s="73" t="str">
        <f>IF(AND('Straight Cutting'!K13="U Channel",'Mitred Cutting'!D13="Brown"),'Straight Cutting'!L13,"")</f>
        <v/>
      </c>
      <c r="JD7" s="73" t="str">
        <f>IF(AND('Straight Cutting'!K13="U Channel",'Mitred Cutting'!D13="Deep Ocean"),'Straight Cutting'!L13,"")</f>
        <v/>
      </c>
      <c r="JE7" s="73" t="str">
        <f>IF(AND('Straight Cutting'!K13="U Channel",'Mitred Cutting'!D13="Jasper"),'Straight Cutting'!L13,"")</f>
        <v/>
      </c>
      <c r="JF7" s="73" t="str">
        <f>IF(AND('Straight Cutting'!K13="U Channel",'Mitred Cutting'!D13="Paperbark"),'Straight Cutting'!L13,"")</f>
        <v/>
      </c>
      <c r="JG7" s="73" t="str">
        <f>IF(AND('Straight Cutting'!K13="U Channel",'Mitred Cutting'!D13="Mist Green"),'Straight Cutting'!L13,"")</f>
        <v/>
      </c>
      <c r="JH7" s="73" t="str">
        <f>IF(AND('Straight Cutting'!K13="U Channel",'Mitred Cutting'!D13="Primrose"),'Straight Cutting'!L13,"")</f>
        <v/>
      </c>
      <c r="JI7" s="73" t="str">
        <f>IF(AND('Straight Cutting'!K13="U Channel",'Mitred Cutting'!D13="Ultra Silver"),'Straight Cutting'!L13,"")</f>
        <v/>
      </c>
      <c r="JJ7" s="73" t="str">
        <f>IF(AND('Straight Cutting'!K13="U Channel",'Mitred Cutting'!D13="Woodland Grey(Green Tone)"),'Straight Cutting'!L13,"")</f>
        <v/>
      </c>
      <c r="JK7" s="73" t="str">
        <f>IF(AND('Straight Cutting'!K13="U Channel",'Mitred Cutting'!D13="Pearl White"),'Straight Cutting'!L13,"")</f>
        <v/>
      </c>
      <c r="JL7" s="73" t="str">
        <f>IF(AND('Straight Cutting'!K13="U Channel",'Mitred Cutting'!D13="Monument"),'Straight Cutting'!L13,"")</f>
        <v/>
      </c>
      <c r="JM7" s="73" t="str">
        <f>IF(AND('Straight Cutting'!K13="U Channel",'Mitred Cutting'!D13="Surfmist"),'Straight Cutting'!L13,"")</f>
        <v/>
      </c>
      <c r="JN7" s="73" t="str">
        <f>IF(AND('Straight Cutting'!K13="U Channel",'Mitred Cutting'!D13="Dune"),'Straight Cutting'!L13,"")</f>
        <v/>
      </c>
      <c r="JO7" s="73" t="str">
        <f>IF(AND('Straight Cutting'!K13="U Channel",'Job Sheet'!Z13="Custom Powdercoat"),'Straight Cutting'!L13,"")</f>
        <v/>
      </c>
      <c r="JP7" s="73" t="str">
        <f>IF(AND('Straight Cutting'!K13="U Channel with Pip",'Mitred Cutting'!D13="APO Grey"),'Straight Cutting'!L13,"")</f>
        <v/>
      </c>
      <c r="JQ7" s="73" t="str">
        <f>IF(AND('Straight Cutting'!K13="U Channel with Pip",'Mitred Cutting'!D13="White Birch"),'Straight Cutting'!L13,"")</f>
        <v/>
      </c>
      <c r="JR7" s="73" t="str">
        <f>IF(AND('Straight Cutting'!K13="U Channel with Pip",'Mitred Cutting'!D13="Black"),'Straight Cutting'!L13,"")</f>
        <v/>
      </c>
      <c r="JS7" s="73" t="str">
        <f>IF(AND('Straight Cutting'!K13="U Channel with Pip",'Mitred Cutting'!D13="Brown"),'Straight Cutting'!L13,"")</f>
        <v/>
      </c>
      <c r="JT7" s="73" t="str">
        <f>IF(AND('Straight Cutting'!K13="U Channel with Pip",'Mitred Cutting'!D13="Deep Ocean"),'Straight Cutting'!L13,"")</f>
        <v/>
      </c>
      <c r="JU7" s="73" t="str">
        <f>IF(AND('Straight Cutting'!K13="U Channel with Pip",'Mitred Cutting'!D13="Jasper"),'Straight Cutting'!L13,"")</f>
        <v/>
      </c>
      <c r="JV7" s="73" t="str">
        <f>IF(AND('Straight Cutting'!K13="U Channel with Pip",'Mitred Cutting'!D13="Paperbark"),'Straight Cutting'!L13,"")</f>
        <v/>
      </c>
      <c r="JW7" s="73" t="str">
        <f>IF(AND('Straight Cutting'!K13="U Channel with Pip",'Mitred Cutting'!D13="Mist Green"),'Straight Cutting'!L13,"")</f>
        <v/>
      </c>
      <c r="JX7" s="73" t="str">
        <f>IF(AND('Straight Cutting'!K13="U Channel with Pip",'Mitred Cutting'!D13="Primrose"),'Straight Cutting'!L13,"")</f>
        <v/>
      </c>
      <c r="JY7" s="73" t="str">
        <f>IF(AND('Straight Cutting'!K13="U Channel with Pip",'Mitred Cutting'!D13="Ultra Silver"),'Straight Cutting'!L13,"")</f>
        <v/>
      </c>
      <c r="JZ7" s="73" t="str">
        <f>IF(AND('Straight Cutting'!K13="U Channel with Pip",'Mitred Cutting'!D13="Woodland Grey(Green Tone)"),'Straight Cutting'!L13,"")</f>
        <v/>
      </c>
      <c r="KA7" s="73" t="str">
        <f>IF(AND('Straight Cutting'!K13="U Channel with Pip",'Mitred Cutting'!D13="Pearl White"),'Straight Cutting'!L13,"")</f>
        <v/>
      </c>
      <c r="KB7" s="73" t="str">
        <f>IF(AND('Straight Cutting'!K13="U Channel with Pip",'Mitred Cutting'!D13="Monument"),'Straight Cutting'!L13,"")</f>
        <v/>
      </c>
      <c r="KC7" s="73" t="str">
        <f>IF(AND('Straight Cutting'!K13="U Channel with Pip",'Mitred Cutting'!D13="Surfmist"),'Straight Cutting'!L13,"")</f>
        <v/>
      </c>
      <c r="KD7" s="73" t="str">
        <f>IF(AND('Straight Cutting'!K13="U Channel with Pip",'Mitred Cutting'!D13="Dune"),'Straight Cutting'!L13,"")</f>
        <v/>
      </c>
      <c r="KE7" s="73" t="str">
        <f>IF(AND('Straight Cutting'!K13="U Channel with Pip",'Job Sheet'!Z13="Custom Powdercoat"),'Straight Cutting'!L13,"")</f>
        <v/>
      </c>
      <c r="KF7" s="73" t="str">
        <f>IF(AND('Mitred Cutting'!D13="APO Grey",(OR('Straight Cutting'!M13="Bottom Fix Bottom Track",'Straight Cutting'!M13="U Channel &amp; Bottom Fix Bottom Track"))),'Straight Cutting'!N13,"")</f>
        <v/>
      </c>
      <c r="KG7" s="73" t="str">
        <f>IF(AND('Mitred Cutting'!D13="White Birch",(OR('Straight Cutting'!M13="Bottom Fix Bottom Track",'Straight Cutting'!M13="U Channel &amp; Bottom Fix Bottom Track"))),'Straight Cutting'!N13,"")</f>
        <v/>
      </c>
      <c r="KH7" s="73" t="str">
        <f>IF(AND('Mitred Cutting'!D13="Black",(OR('Straight Cutting'!M13="Bottom Fix Bottom Track",'Straight Cutting'!M13="U Channel &amp; Bottom Fix Bottom Track"))),'Straight Cutting'!N13,"")</f>
        <v/>
      </c>
      <c r="KI7" s="73" t="str">
        <f>IF(AND('Mitred Cutting'!D13="Brown",(OR('Straight Cutting'!M13="Bottom Fix Bottom Track",'Straight Cutting'!M13="U Channel &amp; Bottom Fix Bottom Track"))),'Straight Cutting'!N13,"")</f>
        <v/>
      </c>
      <c r="KJ7" s="73" t="str">
        <f>IF(AND('Mitred Cutting'!D13="Deep Ocean",(OR('Straight Cutting'!M13="Bottom Fix Bottom Track",'Straight Cutting'!M13="U Channel &amp; Bottom Fix Bottom Track"))),'Straight Cutting'!N13,"")</f>
        <v/>
      </c>
      <c r="KK7" s="73" t="str">
        <f>IF(AND('Mitred Cutting'!D13="Jasper",(OR('Straight Cutting'!M13="Bottom Fix Bottom Track",'Straight Cutting'!M13="U Channel &amp; Bottom Fix Bottom Track"))),'Straight Cutting'!N13,"")</f>
        <v/>
      </c>
      <c r="KL7" s="73" t="str">
        <f>IF(AND('Mitred Cutting'!D13="Paperbark",(OR('Straight Cutting'!M13="Bottom Fix Bottom Track",'Straight Cutting'!M13="U Channel &amp; Bottom Fix Bottom Track"))),'Straight Cutting'!N13,"")</f>
        <v/>
      </c>
      <c r="KM7" s="73" t="str">
        <f>IF(AND('Mitred Cutting'!D13="Mist Green",(OR('Straight Cutting'!M13="Bottom Fix Bottom Track",'Straight Cutting'!M13="U Channel &amp; Bottom Fix Bottom Track"))),'Straight Cutting'!N13,"")</f>
        <v/>
      </c>
      <c r="KN7" s="73" t="str">
        <f>IF(AND('Mitred Cutting'!D13="Primrose",(OR('Straight Cutting'!M13="Bottom Fix Bottom Track",'Straight Cutting'!M13="U Channel &amp; Bottom Fix Bottom Track"))),'Straight Cutting'!N13,"")</f>
        <v/>
      </c>
      <c r="KO7" s="73" t="str">
        <f>IF(AND('Mitred Cutting'!D13="Ultra Silver",(OR('Straight Cutting'!M13="Bottom Fix Bottom Track",'Straight Cutting'!M13="U Channel &amp; Bottom Fix Bottom Track"))),'Straight Cutting'!N13,"")</f>
        <v/>
      </c>
      <c r="KP7" s="73" t="str">
        <f>IF(AND('Mitred Cutting'!D13="Woodland Grey(Green Tone)",(OR('Straight Cutting'!M13="Bottom Fix Bottom Track",'Straight Cutting'!M13="U Channel &amp; Bottom Fix Bottom Track"))),'Straight Cutting'!N13,"")</f>
        <v/>
      </c>
      <c r="KQ7" s="73" t="str">
        <f>IF(AND('Mitred Cutting'!D13="Pearl White",(OR('Straight Cutting'!M13="Bottom Fix Bottom Track",'Straight Cutting'!M13="U Channel &amp; Bottom Fix Bottom Track"))),'Straight Cutting'!N13,"")</f>
        <v/>
      </c>
      <c r="KR7" s="73" t="str">
        <f>IF(AND('Mitred Cutting'!D13="Monument",(OR('Straight Cutting'!M13="Bottom Fix Bottom Track",'Straight Cutting'!M13="U Channel &amp; Bottom Fix Bottom Track"))),'Straight Cutting'!N13,"")</f>
        <v/>
      </c>
      <c r="KS7" s="73" t="str">
        <f>IF(AND('Mitred Cutting'!D13="Surfmist",(OR('Straight Cutting'!M13="Bottom Fix Bottom Track",'Straight Cutting'!M13="U Channel &amp; Bottom Fix Bottom Track"))),'Straight Cutting'!N13,"")</f>
        <v/>
      </c>
      <c r="KT7" s="73" t="str">
        <f>IF(AND('Mitred Cutting'!D13="Dune",(OR('Straight Cutting'!M13="Bottom Fix Bottom Track",'Straight Cutting'!M13="U Channel &amp; Bottom Fix Bottom Track"))),'Straight Cutting'!N13,"")</f>
        <v/>
      </c>
      <c r="KU7" s="73" t="str">
        <f>IF(AND('Job Sheet'!Z13="Custom Powdercoat",(OR('Straight Cutting'!M13="Bottom Fix Bottom Track",'Straight Cutting'!M13="U Channel &amp; Bottom Fix Bottom Track"))),'Straight Cutting'!N13,"")</f>
        <v/>
      </c>
      <c r="KV7" s="73" t="str">
        <f>IF(AND('Mitred Cutting'!D13="APO Grey",(OR('Straight Cutting'!M13="Face Fix Bottom Track",'Straight Cutting'!M13="U Channel &amp; Face Fix Bottom Track"))),'Straight Cutting'!N13,"")</f>
        <v/>
      </c>
      <c r="KW7" s="73" t="str">
        <f>IF(AND('Mitred Cutting'!D13="White Birch",(OR('Straight Cutting'!M13="Face Fix Bottom Track",'Straight Cutting'!M13="U Channel &amp; Face Fix Bottom Track"))),'Straight Cutting'!N13,"")</f>
        <v/>
      </c>
      <c r="KX7" s="73" t="str">
        <f>IF(AND('Mitred Cutting'!D13="Black",(OR('Straight Cutting'!M13="Face Fix Bottom Track",'Straight Cutting'!M13="U Channel &amp; Face Fix Bottom Track"))),'Straight Cutting'!N13,"")</f>
        <v/>
      </c>
      <c r="KY7" s="73" t="str">
        <f>IF(AND('Mitred Cutting'!D13="Brown",(OR('Straight Cutting'!M13="Face Fix Bottom Track",'Straight Cutting'!M13="U Channel &amp; Face Fix Bottom Track"))),'Straight Cutting'!N13,"")</f>
        <v/>
      </c>
      <c r="KZ7" s="73" t="str">
        <f>IF(AND('Mitred Cutting'!D13="Deep Ocean",(OR('Straight Cutting'!M13="Face Fix Bottom Track",'Straight Cutting'!M13="U Channel &amp; Face Fix Bottom Track"))),'Straight Cutting'!N13,"")</f>
        <v/>
      </c>
      <c r="LA7" s="73" t="str">
        <f>IF(AND('Mitred Cutting'!D13="Jasper",(OR('Straight Cutting'!M13="Face Fix Bottom Track",'Straight Cutting'!M13="U Channel &amp; Face Fix Bottom Track"))),'Straight Cutting'!N13,"")</f>
        <v/>
      </c>
      <c r="LB7" s="73" t="str">
        <f>IF(AND('Mitred Cutting'!D13="Paperbark",(OR('Straight Cutting'!M13="Face Fix Bottom Track",'Straight Cutting'!M13="U Channel &amp; Face Fix Bottom Track"))),'Straight Cutting'!N13,"")</f>
        <v/>
      </c>
      <c r="LC7" s="73" t="str">
        <f>IF(AND('Mitred Cutting'!D13="Mist Green",(OR('Straight Cutting'!M13="Face Fix Bottom Track",'Straight Cutting'!M13="U Channel &amp; Face Fix Bottom Track"))),'Straight Cutting'!N13,"")</f>
        <v/>
      </c>
      <c r="LD7" s="73" t="str">
        <f>IF(AND('Mitred Cutting'!D13="Primrose",(OR('Straight Cutting'!M13="Face Fix Bottom Track",'Straight Cutting'!M13="U Channel &amp; Face Fix Bottom Track"))),'Straight Cutting'!N13,"")</f>
        <v/>
      </c>
      <c r="LE7" s="73" t="str">
        <f>IF(AND('Mitred Cutting'!D13="Ultra Silver",(OR('Straight Cutting'!M13="Face Fix Bottom Track",'Straight Cutting'!M13="U Channel &amp; Face Fix Bottom Track"))),'Straight Cutting'!N13,"")</f>
        <v/>
      </c>
      <c r="LF7" s="73" t="str">
        <f>IF(AND('Mitred Cutting'!D13="Woodland Grey(Green Tone)",(OR('Straight Cutting'!M13="Face Fix Bottom Track",'Straight Cutting'!M13="U Channel &amp; Face Fix Bottom Track"))),'Straight Cutting'!N13,"")</f>
        <v/>
      </c>
      <c r="LG7" s="73" t="str">
        <f>IF(AND('Mitred Cutting'!D13="Pearl White",(OR('Straight Cutting'!M13="Face Fix Bottom Track",'Straight Cutting'!M13="U Channel &amp; Face Fix Bottom Track"))),'Straight Cutting'!N13,"")</f>
        <v/>
      </c>
      <c r="LH7" s="73" t="str">
        <f>IF(AND('Mitred Cutting'!D13="Monument",(OR('Straight Cutting'!M13="Face Fix Bottom Track",'Straight Cutting'!M13="U Channel &amp; Face Fix Bottom Track"))),'Straight Cutting'!N13,"")</f>
        <v/>
      </c>
      <c r="LI7" s="73" t="str">
        <f>IF(AND('Mitred Cutting'!D13="Surfmist",(OR('Straight Cutting'!M13="Face Fix Bottom Track",'Straight Cutting'!M13="U Channel &amp; Face Fix Bottom Track"))),'Straight Cutting'!N13,"")</f>
        <v/>
      </c>
      <c r="LJ7" s="73" t="str">
        <f>IF(AND('Mitred Cutting'!D13="Dune",(OR('Straight Cutting'!M13="Face Fix Bottom Track",'Straight Cutting'!M13="U Channel &amp; Face Fix Bottom Track"))),'Straight Cutting'!N13,"")</f>
        <v/>
      </c>
      <c r="LK7" s="73" t="str">
        <f>IF(AND('Job Sheet'!Z13="Custom Powdercoat",(OR('Straight Cutting'!M13="Face Fix Bottom Track",'Straight Cutting'!M13="U Channel &amp; Face Fix Bottom Track"))),'Straight Cutting'!N13,"")</f>
        <v/>
      </c>
      <c r="LL7" s="73" t="str">
        <f>IF(AND('Straight Cutting'!H13&lt;&gt;"",'Mitred Cutting'!D13="APO Grey"),'Straight Cutting'!H13/4300,"")</f>
        <v/>
      </c>
      <c r="LM7" s="73" t="str">
        <f>IF(AND('Straight Cutting'!H13&lt;&gt;"",'Mitred Cutting'!D13="White Birch"),'Straight Cutting'!H13,"")</f>
        <v/>
      </c>
      <c r="LN7" s="73" t="str">
        <f>IF(AND('Straight Cutting'!H13&lt;&gt;"",'Mitred Cutting'!D13="Black"),'Straight Cutting'!H13,"")</f>
        <v/>
      </c>
      <c r="LO7" s="73" t="str">
        <f>IF(AND('Straight Cutting'!H13&lt;&gt;"",'Mitred Cutting'!D13="Brown"),'Straight Cutting'!H13,"")</f>
        <v/>
      </c>
      <c r="LP7" s="73" t="str">
        <f>IF(AND('Straight Cutting'!H13&lt;&gt;"",'Mitred Cutting'!D13="Deep Ocean"),'Straight Cutting'!H13,"")</f>
        <v/>
      </c>
      <c r="LQ7" s="73" t="str">
        <f>IF(AND('Straight Cutting'!H13&lt;&gt;"",'Mitred Cutting'!D13="Jasper"),'Straight Cutting'!H13,"")</f>
        <v/>
      </c>
      <c r="LR7" s="73" t="str">
        <f>IF(AND('Straight Cutting'!H13&lt;&gt;"",'Mitred Cutting'!D13="Paperbark"),'Straight Cutting'!H13,"")</f>
        <v/>
      </c>
      <c r="LS7" s="73" t="str">
        <f>IF(AND('Straight Cutting'!H13&lt;&gt;"",'Mitred Cutting'!D13="Mist Green"),'Straight Cutting'!H13,"")</f>
        <v/>
      </c>
      <c r="LT7" s="73" t="str">
        <f>IF(AND('Straight Cutting'!H13&lt;&gt;"",'Mitred Cutting'!D13="Primrose"),'Straight Cutting'!H13,"")</f>
        <v/>
      </c>
      <c r="LU7" s="73" t="str">
        <f>IF(AND('Straight Cutting'!H13&lt;&gt;"",'Mitred Cutting'!D13="Ultra Silver"),'Straight Cutting'!H13,"")</f>
        <v/>
      </c>
      <c r="LV7" s="73" t="str">
        <f>IF(AND('Straight Cutting'!H13&lt;&gt;"",'Mitred Cutting'!D13="Woodland Grey(Green Tone)"),'Straight Cutting'!H13,"")</f>
        <v/>
      </c>
      <c r="LW7" s="73" t="str">
        <f>IF(AND('Straight Cutting'!H13&lt;&gt;"",'Mitred Cutting'!D13="Pearl White"),'Straight Cutting'!H13,"")</f>
        <v/>
      </c>
      <c r="LX7" s="73" t="str">
        <f>IF(AND('Straight Cutting'!H13&lt;&gt;"",'Mitred Cutting'!D13="Monument"),'Straight Cutting'!H13,"")</f>
        <v/>
      </c>
      <c r="LY7" s="73" t="str">
        <f>IF(AND('Straight Cutting'!H13&lt;&gt;"",'Mitred Cutting'!D13="Surfmist"),'Straight Cutting'!H13,"")</f>
        <v/>
      </c>
      <c r="LZ7" s="73" t="str">
        <f>IF(AND('Straight Cutting'!H13&lt;&gt;"",'Mitred Cutting'!D13="Dune"),'Straight Cutting'!H13,"")</f>
        <v/>
      </c>
      <c r="MA7" s="73" t="str">
        <f>IF(AND('Straight Cutting'!H13&lt;&gt;"",'Job Sheet'!Z13="Custom Powdercoat"),'Straight Cutting'!H13,"")</f>
        <v/>
      </c>
      <c r="MB7" s="73" t="str">
        <f>IF(AND('Mitred Cutting'!D13="APO Grey",OR('Straight Cutting'!M13="H Shaped Bottom Track",'Straight Cutting'!M13="U Channel &amp; H Shaped Bottom Track")),'Straight Cutting'!N13,"")</f>
        <v/>
      </c>
      <c r="MC7" s="73" t="str">
        <f>IF(AND('Mitred Cutting'!D13="Birch White",OR('Straight Cutting'!M13="H Shaped Bottom Track",'Straight Cutting'!M13="U Channel &amp; H Shaped Bottom Track")),'Straight Cutting'!N13,"")</f>
        <v/>
      </c>
      <c r="MD7" s="73" t="str">
        <f>IF(AND('Mitred Cutting'!D13="Black",OR('Straight Cutting'!M13="H Shaped Bottom Track",'Straight Cutting'!M13="U Channel &amp; H Shaped Bottom Track")),'Straight Cutting'!N13,"")</f>
        <v/>
      </c>
      <c r="ME7" s="73" t="str">
        <f>IF(AND('Mitred Cutting'!D13="Brown",OR('Straight Cutting'!M13="H Shaped Bottom Track",'Straight Cutting'!M13="U Channel &amp; H Shaped Bottom Track")),'Straight Cutting'!N13,"")</f>
        <v/>
      </c>
      <c r="MF7" s="73" t="str">
        <f>IF(AND('Mitred Cutting'!D13="Deep Ocean",OR('Straight Cutting'!M13="H Shaped Bottom Track",'Straight Cutting'!M13="U Channel &amp; H Shaped Bottom Track")),'Straight Cutting'!N13,"")</f>
        <v/>
      </c>
      <c r="MG7" s="73" t="str">
        <f>IF(AND('Mitred Cutting'!D13="Jasper",OR('Straight Cutting'!M13="H Shaped Bottom Track",'Straight Cutting'!M13="U Channel &amp; H Shaped Bottom Track")),'Straight Cutting'!N13,"")</f>
        <v/>
      </c>
      <c r="MH7" s="73" t="str">
        <f>IF(AND('Mitred Cutting'!D13="Paperbark",OR('Straight Cutting'!M13="H Shaped Bottom Track",'Straight Cutting'!M13="U Channel &amp; H Shaped Bottom Track")),'Straight Cutting'!N13,"")</f>
        <v/>
      </c>
      <c r="MI7" s="73" t="str">
        <f>IF(AND('Mitred Cutting'!D13="Mist Green",OR('Straight Cutting'!M13="H Shaped Bottom Track",'Straight Cutting'!M13="U Channel &amp; H Shaped Bottom Track")),'Straight Cutting'!N13,"")</f>
        <v/>
      </c>
      <c r="MJ7" s="73" t="str">
        <f>IF(AND('Mitred Cutting'!D13="Primrose",OR('Straight Cutting'!M13="H Shaped Bottom Track",'Straight Cutting'!M13="U Channel &amp; H Shaped Bottom Track")),'Straight Cutting'!N13,"")</f>
        <v/>
      </c>
      <c r="MK7" s="73" t="str">
        <f>IF(AND('Mitred Cutting'!D13="Ultra Silver",OR('Straight Cutting'!M13="H Shaped Bottom Track",'Straight Cutting'!M13="U Channel &amp; H Shaped Bottom Track")),'Straight Cutting'!N13,"")</f>
        <v/>
      </c>
      <c r="ML7" s="73" t="str">
        <f>IF(AND('Mitred Cutting'!D13="Woodland Grey(Green Tone)",OR('Straight Cutting'!M13="H Shaped Bottom Track",'Straight Cutting'!M13="U Channel &amp; H Shaped Bottom Track")),'Straight Cutting'!N13,"")</f>
        <v/>
      </c>
      <c r="MM7" s="73" t="str">
        <f>IF(AND('Mitred Cutting'!D13="Pearl White",OR('Straight Cutting'!M13="H Shaped Bottom Track",'Straight Cutting'!M13="U Channel &amp; H Shaped Bottom Track")),'Straight Cutting'!N13,"")</f>
        <v/>
      </c>
      <c r="MN7" s="73" t="str">
        <f>IF(AND('Mitred Cutting'!D13="Monument",OR('Straight Cutting'!M13="H Shaped Bottom Track",'Straight Cutting'!M13="U Channel &amp; H Shaped Bottom Track")),'Straight Cutting'!N13,"")</f>
        <v/>
      </c>
      <c r="MO7" s="73" t="str">
        <f>IF(AND('Mitred Cutting'!D13="Surfmist",OR('Straight Cutting'!M13="H Shaped Bottom Track",'Straight Cutting'!M13="U Channel &amp; H Shaped Bottom Track")),'Straight Cutting'!N13,"")</f>
        <v/>
      </c>
      <c r="MP7" s="73" t="str">
        <f>IF(AND('Mitred Cutting'!D13="Dune",OR('Straight Cutting'!M13="H Shaped Bottom Track",'Straight Cutting'!M13="U Channel &amp; H Shaped Bottom Track")),'Straight Cutting'!N13,"")</f>
        <v/>
      </c>
      <c r="MQ7" s="73" t="str">
        <f>IF(AND('Job Sheet'!Z13="Custom Powdercoat",OR('Straight Cutting'!M13="H Shaped Bottom Track",'Straight Cutting'!M13="U Channel &amp; H Shaped Bottom Track")),'Straight Cutting'!N13,"")</f>
        <v/>
      </c>
      <c r="MR7" s="73" t="str">
        <f>IF(AND('Straight Cutting'!P13="APO Grey",(OR('Job Sheet'!AI13="Yes",'Job Sheet'!AI13="Yes - Centre"))),'Straight Cutting'!Q13,"")</f>
        <v/>
      </c>
      <c r="MS7" s="73" t="str">
        <f>IF(AND('Straight Cutting'!P13="White Birch",(OR('Job Sheet'!AI13="Yes",'Job Sheet'!AI13="Yes - Centre"))),'Straight Cutting'!Q13,"")</f>
        <v/>
      </c>
      <c r="MT7" s="73" t="str">
        <f>IF(AND('Straight Cutting'!P13="Black",(OR('Job Sheet'!AI13="Yes",'Job Sheet'!AI13="Yes - Centre"))),'Straight Cutting'!Q13,"")</f>
        <v/>
      </c>
      <c r="MU7" s="73" t="str">
        <f>IF(AND('Straight Cutting'!P13="Brown",(OR('Job Sheet'!AI13="Yes",'Job Sheet'!AI13="Yes - Centre"))),'Straight Cutting'!Q13,"")</f>
        <v/>
      </c>
      <c r="MV7" s="73" t="str">
        <f>IF(AND('Straight Cutting'!P13="Deep Ocean",(OR('Job Sheet'!AI13="Yes",'Job Sheet'!AI13="Yes - Centre"))),'Straight Cutting'!Q13,"")</f>
        <v/>
      </c>
      <c r="MW7" s="73" t="str">
        <f>IF(AND('Straight Cutting'!P13="Jasper",(OR('Job Sheet'!AI13="Yes",'Job Sheet'!AI13="Yes - Centre"))),'Straight Cutting'!Q13,"")</f>
        <v/>
      </c>
      <c r="MX7" s="73" t="str">
        <f>IF(AND('Straight Cutting'!P13="Paperbark",(OR('Job Sheet'!AI13="Yes",'Job Sheet'!AI13="Yes - Centre"))),'Straight Cutting'!Q13,"")</f>
        <v/>
      </c>
      <c r="MY7" s="73" t="str">
        <f>IF(AND('Straight Cutting'!P13="Mist Green",(OR('Job Sheet'!AI13="Yes",'Job Sheet'!AI13="Yes - Centre"))),'Straight Cutting'!Q13,"")</f>
        <v/>
      </c>
      <c r="MZ7" s="73" t="str">
        <f>IF(AND('Straight Cutting'!P13="Primrose",(OR('Job Sheet'!AI13="Yes",'Job Sheet'!AI13="Yes - Centre"))),'Straight Cutting'!Q13,"")</f>
        <v/>
      </c>
      <c r="NA7" s="73" t="str">
        <f>IF(AND('Straight Cutting'!P13="Ultra Silver",(OR('Job Sheet'!AI13="Yes",'Job Sheet'!AI13="Yes - Centre"))),'Straight Cutting'!Q13,"")</f>
        <v/>
      </c>
      <c r="NB7" s="73" t="str">
        <f>IF(AND('Straight Cutting'!P13="Woodland Grey(Green Tone)",(OR('Job Sheet'!AI13="Yes",'Job Sheet'!AI13="Yes - Centre"))),'Straight Cutting'!Q13,"")</f>
        <v/>
      </c>
      <c r="NC7" s="73" t="str">
        <f>IF(AND('Straight Cutting'!P13="Pearl White",(OR('Job Sheet'!AI13="Yes",'Job Sheet'!AI13="Yes - Centre"))),'Straight Cutting'!Q13,"")</f>
        <v/>
      </c>
      <c r="ND7" s="73" t="str">
        <f>IF(AND('Straight Cutting'!P13="Monument",(OR('Job Sheet'!AI13="Yes",'Job Sheet'!AI13="Yes - Centre"))),'Straight Cutting'!Q13,"")</f>
        <v/>
      </c>
      <c r="NE7" s="73" t="str">
        <f>IF(AND('Straight Cutting'!P13="Surfmist",(OR('Job Sheet'!AI13="Yes",'Job Sheet'!AI13="Yes - Centre"))),'Straight Cutting'!Q13,"")</f>
        <v/>
      </c>
      <c r="NF7" s="73" t="str">
        <f>IF(AND('Straight Cutting'!P13="Dune",(OR('Job Sheet'!AI13="Yes",'Job Sheet'!AI13="Yes - Centre"))),'Straight Cutting'!Q13,"")</f>
        <v/>
      </c>
      <c r="NH7" s="73" t="str">
        <f>IF(AND('Straight Cutting'!P13="APO Grey",(OR('Job Sheet'!AI13="Yes",'Job Sheet'!AI13="Yes - Centre"))),'Straight Cutting'!R13,"")</f>
        <v/>
      </c>
      <c r="NI7" s="73" t="str">
        <f>IF(AND('Straight Cutting'!P13="White Birch",(OR('Job Sheet'!AI13="Yes",'Job Sheet'!AI13="Yes - Centre"))),'Straight Cutting'!R13,"")</f>
        <v/>
      </c>
      <c r="NJ7" s="73" t="str">
        <f>IF(AND('Straight Cutting'!P13="Black",(OR('Job Sheet'!AI13="Yes",'Job Sheet'!AI13="Yes - Centre"))),'Straight Cutting'!R13,"")</f>
        <v/>
      </c>
      <c r="NK7" s="73" t="str">
        <f>IF(AND('Straight Cutting'!P13="Brown",(OR('Job Sheet'!AI13="Yes",'Job Sheet'!AI13="Yes - Centre"))),'Straight Cutting'!R13,"")</f>
        <v/>
      </c>
      <c r="NL7" s="73" t="str">
        <f>IF(AND('Straight Cutting'!P13="Deep Ocean",(OR('Job Sheet'!AI13="Yes",'Job Sheet'!AI13="Yes - Centre"))),'Straight Cutting'!R13,"")</f>
        <v/>
      </c>
      <c r="NM7" s="73" t="str">
        <f>IF(AND('Straight Cutting'!P13="Jasper",(OR('Job Sheet'!AI13="Yes",'Job Sheet'!AI13="Yes - Centre"))),'Straight Cutting'!R13,"")</f>
        <v/>
      </c>
      <c r="NN7" s="73" t="str">
        <f>IF(AND('Straight Cutting'!P13="Paperbark",(OR('Job Sheet'!AI13="Yes",'Job Sheet'!AI13="Yes - Centre"))),'Straight Cutting'!R13,"")</f>
        <v/>
      </c>
      <c r="NO7" s="73" t="str">
        <f>IF(AND('Straight Cutting'!P13="Mist Green",(OR('Job Sheet'!AI13="Yes",'Job Sheet'!AI13="Yes - Centre"))),'Straight Cutting'!R13,"")</f>
        <v/>
      </c>
      <c r="NP7" s="73" t="str">
        <f>IF(AND('Straight Cutting'!P13="Primrose",(OR('Job Sheet'!AI13="Yes",'Job Sheet'!AI13="Yes - Centre"))),'Straight Cutting'!R13,"")</f>
        <v/>
      </c>
      <c r="NQ7" s="73" t="str">
        <f>IF(AND('Straight Cutting'!P13="Ultra Silver",(OR('Job Sheet'!AI13="Yes",'Job Sheet'!AI13="Yes - Centre"))),'Straight Cutting'!R13,"")</f>
        <v/>
      </c>
      <c r="NR7" s="73" t="str">
        <f>IF(AND('Straight Cutting'!P13="Woodland Grey(Green Tone)",(OR('Job Sheet'!AI13="Yes",'Job Sheet'!AI13="Yes - Centre"))),'Straight Cutting'!R13,"")</f>
        <v/>
      </c>
      <c r="NS7" s="73" t="str">
        <f>IF(AND('Straight Cutting'!P13="Pearl White",(OR('Job Sheet'!AI13="Yes",'Job Sheet'!AI13="Yes - Centre"))),'Straight Cutting'!R13,"")</f>
        <v/>
      </c>
      <c r="NT7" s="73" t="str">
        <f>IF(AND('Straight Cutting'!P13="Monument",(OR('Job Sheet'!AI13="Yes",'Job Sheet'!AI13="Yes - Centre"))),'Straight Cutting'!R13,"")</f>
        <v/>
      </c>
      <c r="NU7" s="73" t="str">
        <f>IF(AND('Straight Cutting'!P13="Surfmist",(OR('Job Sheet'!AI13="Yes",'Job Sheet'!AI13="Yes - Centre"))),'Straight Cutting'!R13,"")</f>
        <v/>
      </c>
      <c r="NV7" s="73" t="str">
        <f>IF(AND('Straight Cutting'!P13="Dune",(OR('Job Sheet'!AI13="Yes",'Job Sheet'!AI13="Yes - Centre"))),'Straight Cutting'!R13,"")</f>
        <v/>
      </c>
      <c r="ON7" s="73">
        <f>IF(Data!AW13="","",IF(VLOOKUP(CONCATENATE(Data!BO13,'Job Sheet'!AE13),DoorType,4,FALSE)="Yes",(('Job Sheet'!BH13-98)*2+('Job Sheet'!BI13-96)*2)/2700,""))</f>
        <v>2.05777777777778</v>
      </c>
      <c r="OO7" s="73">
        <f>IF(Data!AW13="","",IF('Mitred Cutting'!F13="1.6mm",(('Job Sheet'!BH13-114)*2+('Job Sheet'!BI13-114)*2)/3100,""))</f>
        <v>1.77032258064516</v>
      </c>
      <c r="OP7" s="73" t="str">
        <f>IF(Data!AW13="","",IF('Mitred Cutting'!F13="2mm",(('Job Sheet'!BH13-114)*2+('Job Sheet'!BI13-114)*2)/3100,""))</f>
        <v/>
      </c>
      <c r="OQ7" s="48" t="str">
        <f>IF(Data!AW13="","",IF('Straight Cutting'!R13&lt;&gt;"",(('Job Sheet'!BO13*4)+('Job Sheet'!BQ13*2)+('Job Sheet'!BP13*2))/4000,IF('Mitred Cutting'!C13="Invisi-Gard",(('Job Sheet'!BO13+'Job Sheet'!BP13)*2)/4000,"")))</f>
        <v/>
      </c>
      <c r="OR7" s="48" t="str">
        <f t="shared" si="2"/>
        <v/>
      </c>
      <c r="OS7" s="48" t="str">
        <f t="shared" si="3"/>
        <v/>
      </c>
      <c r="OT7" s="73">
        <f>IF(D7="","",'Job Sheet'!BH13-2)</f>
        <v>902</v>
      </c>
      <c r="OU7" s="73" t="str">
        <f>IF(OR('Job Sheet'!AE13="Fibreglass Mesh",'Job Sheet'!AE13="Tuff Mesh",'Job Sheet'!AE13="Pet Mesh",'Job Sheet'!AE13="Aluminium Mesh"),'Job Sheet'!BH13*2+'Job Sheet'!BI13*2-200,"")</f>
        <v/>
      </c>
      <c r="OV7" s="73" t="str">
        <f>IF('Job Sheet'!M13="Not Required","",IF(Punching!K13="Hinged High",1,""))</f>
        <v/>
      </c>
      <c r="OW7" s="73" t="str">
        <f>IF('Job Sheet'!M13="Not Required","",IF(Punching!K13="Hinged Low",1,""))</f>
        <v/>
      </c>
      <c r="OX7" s="73" t="str">
        <f>IF('Job Sheet'!M13="Not Required","",IF(Punching!K13="Hinged Pool",1,""))</f>
        <v/>
      </c>
      <c r="OY7" s="73" t="str">
        <f>IF('Job Sheet'!M13="Not Required","",IF(Punching!K13="Hinged Adjustable",1,""))</f>
        <v/>
      </c>
      <c r="OZ7" s="73" t="str">
        <f>IF('Job Sheet'!M13="Not Required","",IF(Punching!K13="Sliding High",1,""))</f>
        <v/>
      </c>
      <c r="PA7" s="73" t="str">
        <f>IF('Job Sheet'!M13="Not Required","",IF(Punching!K13="Sliding Low",1,""))</f>
        <v/>
      </c>
      <c r="PB7" s="73" t="str">
        <f>IF('Job Sheet'!M13="Not Required","",IF(Punching!K13="Sliding Pool",1,""))</f>
        <v/>
      </c>
      <c r="PC7" s="73" t="str">
        <f>IF('Job Sheet'!M13="Not Required","",IF(Punching!K13="Sliding Adjustable",1,""))</f>
        <v/>
      </c>
      <c r="PD7" s="73">
        <f t="shared" si="0"/>
        <v>4</v>
      </c>
      <c r="PH7" s="73" t="str">
        <f>IF('Job Sheet'!AV13&lt;&gt;"Yes","",IF(OR('Job Sheet'!AY13="Left",'Job Sheet'!AY13="Right"),"1","2"))</f>
        <v/>
      </c>
      <c r="PO7" s="73" t="str">
        <f>IF('Job Sheet'!M13="Bass Latch",1,"")</f>
        <v/>
      </c>
      <c r="PP7" s="73" t="str">
        <f>IF('Job Sheet'!AU13="Yes","2","")</f>
        <v>2</v>
      </c>
      <c r="PQ7" s="73" t="str">
        <f>IF('Job Sheet'!U13="Black",1,"")</f>
        <v/>
      </c>
      <c r="PR7" s="73" t="str">
        <f>IF('Job Sheet'!U13="Dune",1,"")</f>
        <v/>
      </c>
      <c r="PS7" s="73" t="str">
        <f>IF('Job Sheet'!U13="Jasper",1,"")</f>
        <v/>
      </c>
      <c r="PT7" s="73" t="str">
        <f>IF('Job Sheet'!U13="Monument",1,"")</f>
        <v/>
      </c>
      <c r="PU7" s="73" t="str">
        <f>IF('Job Sheet'!U13="Paperbark",1,"")</f>
        <v/>
      </c>
      <c r="PV7" s="73" t="str">
        <f>IF('Job Sheet'!U13="Primrose",1,"")</f>
        <v/>
      </c>
      <c r="PW7" s="73" t="str">
        <f>IF('Job Sheet'!U13="Surfmist",1,"")</f>
        <v/>
      </c>
      <c r="PX7" s="73" t="str">
        <f>IF('Job Sheet'!U13="White",1,"")</f>
        <v/>
      </c>
      <c r="PY7" s="73" t="str">
        <f>IF('Job Sheet'!U13="Woodland Grey(Green Tone)",1,"")</f>
        <v/>
      </c>
      <c r="PZ7" s="73" t="str">
        <f>IF(AND(OR('Job Sheet'!M13="Single Lock",'Job Sheet'!M13="Triple Lock"),'Job Sheet'!J13="Hinged",'Job Sheet'!Q13="Black"),1,"")</f>
        <v/>
      </c>
      <c r="QA7" s="73" t="str">
        <f>IF(AND(OR('Job Sheet'!M13="Single Lock",'Job Sheet'!M13="Triple Lock"),'Job Sheet'!J13="Hinged",'Job Sheet'!Q13="Dune"),1,"")</f>
        <v/>
      </c>
      <c r="QB7" s="73" t="str">
        <f>IF(AND(OR('Job Sheet'!M13="Single Lock",'Job Sheet'!M13="Triple Lock"),'Job Sheet'!J13="Hinged",'Job Sheet'!Q13="Jasper"),1,"")</f>
        <v/>
      </c>
      <c r="QC7" s="73" t="str">
        <f>IF(AND(OR('Job Sheet'!M13="Single Lock",'Job Sheet'!M13="Triple Lock"),'Job Sheet'!J13="Hinged",'Job Sheet'!Q13="Monument"),1,"")</f>
        <v/>
      </c>
      <c r="QD7" s="73" t="str">
        <f>IF(AND(OR('Job Sheet'!M13="Single Lock",'Job Sheet'!M13="Triple Lock"),'Job Sheet'!J13="Hinged",'Job Sheet'!Q13="Paperbark"),1,"")</f>
        <v/>
      </c>
      <c r="QE7" s="73" t="str">
        <f>IF(AND(OR('Job Sheet'!M13="Single Lock",'Job Sheet'!M13="Triple Lock"),'Job Sheet'!J13="Hinged",'Job Sheet'!Q13="Primrose"),1,"")</f>
        <v/>
      </c>
      <c r="QF7" s="73" t="str">
        <f>IF(AND(OR('Job Sheet'!M13="Single Lock",'Job Sheet'!M13="Triple Lock"),'Job Sheet'!J13="Hinged",'Job Sheet'!Q13="Surfmist"),1,"")</f>
        <v/>
      </c>
      <c r="QG7" s="73" t="str">
        <f>IF(AND(OR('Job Sheet'!M13="Single Lock",'Job Sheet'!M13="Triple Lock"),'Job Sheet'!J13="Hinged",'Job Sheet'!Q13="White"),1,"")</f>
        <v/>
      </c>
      <c r="QH7" s="73" t="str">
        <f>IF(AND(OR('Job Sheet'!M13="Single Lock",'Job Sheet'!M13="Triple Lock"),'Job Sheet'!J13="Hinged",'Job Sheet'!Q13="Woodland Grey(Green Tone)"),1,"")</f>
        <v/>
      </c>
      <c r="QI7" s="73" t="str">
        <f>IF(AND(OR('Job Sheet'!M13="Push 2 Go Single Lock",'Job Sheet'!M13="Push 2 Go Triple Lock"),'Job Sheet'!J13="Hinged",'Job Sheet'!Q13="Black"),1,"")</f>
        <v/>
      </c>
      <c r="QJ7" s="73" t="str">
        <f>IF(AND(OR('Job Sheet'!M13="Push 2 Go Single Lock",'Job Sheet'!M13="Push 2 Go Triple Lock"),'Job Sheet'!J13="Hinged",'Job Sheet'!Q13="Dune"),1,"")</f>
        <v/>
      </c>
      <c r="QK7" s="73" t="str">
        <f>IF(AND(OR('Job Sheet'!M13="Push 2 Go Single Lock",'Job Sheet'!M13="Push 2 Go Triple Lock"),'Job Sheet'!J13="Hinged",'Job Sheet'!Q13="Jasper"),1,"")</f>
        <v/>
      </c>
      <c r="QL7" s="73" t="str">
        <f>IF(AND(OR('Job Sheet'!M13="Push 2 Go Single Lock",'Job Sheet'!M13="Push 2 Go Triple Lock"),'Job Sheet'!J13="Hinged",'Job Sheet'!Q13="Monument"),1,"")</f>
        <v/>
      </c>
      <c r="QM7" s="73" t="str">
        <f>IF(AND(OR('Job Sheet'!M13="Push 2 Go Single Lock",'Job Sheet'!M13="Push 2 Go Triple Lock"),'Job Sheet'!J13="Hinged",'Job Sheet'!Q13="Paperbark"),1,"")</f>
        <v/>
      </c>
      <c r="QN7" s="73" t="str">
        <f>IF(AND(OR('Job Sheet'!M13="Push 2 Go Single Lock",'Job Sheet'!M13="Push 2 Go Triple Lock"),'Job Sheet'!J13="Hinged",'Job Sheet'!Q13="Primrose"),1,"")</f>
        <v/>
      </c>
      <c r="QO7" s="73" t="str">
        <f>IF(AND(OR('Job Sheet'!M13="Push 2 Go Single Lock",'Job Sheet'!M13="Push 2 Go Triple Lock"),'Job Sheet'!J13="Hinged",'Job Sheet'!Q13="Surfmist"),1,"")</f>
        <v/>
      </c>
      <c r="QP7" s="73" t="str">
        <f>IF(AND(OR('Job Sheet'!M13="Push 2 Go Single Lock",'Job Sheet'!M13="Push 2 Go Triple Lock"),'Job Sheet'!J13="Hinged",'Job Sheet'!Q13="White"),1,"")</f>
        <v/>
      </c>
      <c r="QQ7" s="73" t="str">
        <f>IF(AND(OR('Job Sheet'!M13="Push 2 Go Single Lock",'Job Sheet'!M13="Push 2 Go Triple Lock"),'Job Sheet'!J13="Hinged",'Job Sheet'!Q13="Woodland Grey(Green Tone)"),1,"")</f>
        <v/>
      </c>
      <c r="QR7" s="73" t="str">
        <f>IF('Job Sheet'!M13="Bass Latch","",IF(AND(OR('Job Sheet'!J13="Sliding",'Job Sheet'!J13="Stacker"),'Job Sheet'!Q13="Black"),1,""))</f>
        <v/>
      </c>
      <c r="QS7" s="73" t="str">
        <f>IF('Job Sheet'!M13="Bass Latch","",IF(AND(OR('Job Sheet'!J13="Sliding",'Job Sheet'!J13="Stacker"),'Job Sheet'!Q13="Dune"),1,""))</f>
        <v/>
      </c>
      <c r="QT7" s="73" t="str">
        <f>IF('Job Sheet'!M13="Bass Latch","",IF(AND(OR('Job Sheet'!J13="Sliding",'Job Sheet'!J13="Stacker"),'Job Sheet'!Q13="Jasper"),1,""))</f>
        <v/>
      </c>
      <c r="QU7" s="73" t="str">
        <f>IF('Job Sheet'!M13="Bass Latch","",IF(AND(OR('Job Sheet'!J13="Sliding",'Job Sheet'!J13="Stacker"),'Job Sheet'!Q13="Monument"),1,""))</f>
        <v/>
      </c>
      <c r="QV7" s="73">
        <f>IF('Job Sheet'!M13="Bass Latch","",IF(AND(OR('Job Sheet'!J13="Sliding",'Job Sheet'!J13="Stacker"),'Job Sheet'!Q13="Paperbark"),1,""))</f>
        <v>1</v>
      </c>
      <c r="QW7" s="73" t="str">
        <f>IF('Job Sheet'!M13="Bass Latch","",IF(AND(OR('Job Sheet'!J13="Sliding",'Job Sheet'!J13="Stacker"),'Job Sheet'!Q13="Primrose"),1,""))</f>
        <v/>
      </c>
      <c r="QX7" s="73" t="str">
        <f>IF('Job Sheet'!M13="Bass Latch","",IF(AND(OR('Job Sheet'!J13="Sliding",'Job Sheet'!J13="Stacker"),'Job Sheet'!Q13="Surfmist"),1,""))</f>
        <v/>
      </c>
      <c r="QY7" s="73" t="str">
        <f>IF('Job Sheet'!M13="Bass Latch","",IF(AND('Job Sheet'!J13="Sliding",'Job Sheet'!Q13="White"),1,""))</f>
        <v/>
      </c>
      <c r="QZ7" s="73" t="str">
        <f>IF('Job Sheet'!M13="Bass Latch","",IF(AND(OR('Job Sheet'!J13="Sliding",'Job Sheet'!J13="Stacker"),'Job Sheet'!Q13="Woodland Grey(Green Tone)"),1,""))</f>
        <v/>
      </c>
      <c r="RA7" s="73">
        <f>IF(OR('Job Sheet'!M13="Single Lock",'Job Sheet'!M13="Triple Lock"),1,"")</f>
        <v>1</v>
      </c>
      <c r="RB7" s="73" t="str">
        <f>IF('Job Sheet'!R13="Extended",1,"")</f>
        <v/>
      </c>
      <c r="RC7" s="73">
        <f>IF(OR('Job Sheet'!J13="Sliding",'Job Sheet'!J13="Stacker"),4,"")</f>
        <v>4</v>
      </c>
      <c r="RD7" s="73" t="str">
        <f>IF('Job Sheet'!J13="Hinged",3,"")</f>
        <v/>
      </c>
      <c r="RF7" s="73" t="str">
        <f>IF(AND('Job Sheet'!AW13="Small 190mm x 240mm",'Job Sheet'!AX13="Black"),1,"")</f>
        <v/>
      </c>
      <c r="RG7" s="73" t="str">
        <f>IF(AND('Job Sheet'!AW13="Medium 225mm x 305mm",'Job Sheet'!AX13="Black"),1,"")</f>
        <v/>
      </c>
      <c r="RH7" s="73" t="str">
        <f>IF(AND('Job Sheet'!AW13="Large 260mm x 400mm",'Job Sheet'!AX13="Black"),1,"")</f>
        <v/>
      </c>
      <c r="RI7" s="73" t="str">
        <f>IF(AND('Job Sheet'!AW13="Small 190mm x 240mm",'Job Sheet'!AX13="White"),1,"")</f>
        <v/>
      </c>
      <c r="RJ7" s="73" t="str">
        <f>IF(AND('Job Sheet'!AW13="Medium 225mm x 305mm",'Job Sheet'!AX13="White"),1,"")</f>
        <v/>
      </c>
      <c r="RK7" s="73" t="str">
        <f>IF(AND('Job Sheet'!AW13="Large 260mm x 400mm",'Job Sheet'!AX13="White"),1,"")</f>
        <v/>
      </c>
      <c r="RL7" s="73" t="str">
        <f>IF('Job Sheet'!AQ13="T Mullion with Cutouts and 2 Lock Bolts",2,"")</f>
        <v/>
      </c>
      <c r="RM7" s="73" t="str">
        <f>IF('Job Sheet'!U13="Water Closer",1,"")</f>
        <v/>
      </c>
      <c r="RN7" s="73" t="str">
        <f>IF('Job Sheet'!AO13="Yes, Included in other Door","",IF(OR('Mitred Cutting'!I13="Long Leg Left, Right and Top",'Mitred Cutting'!I13="Short Leg Left, Right and Top"),2,""))</f>
        <v/>
      </c>
      <c r="RO7" s="73" t="str">
        <f>IF(AND('Mitred Cutting'!C13="Invisi-Gard",(OR('Job Sheet'!AI13="Yes",'Job Sheet'!AI13="Yes - Centre"))),2,"")</f>
        <v/>
      </c>
      <c r="RQ7" s="73" t="str">
        <f>IF('Job Sheet'!M13="Ultra Secua Digital Triple Lock",1,"")</f>
        <v/>
      </c>
      <c r="RT7" s="73" t="str">
        <f>IF(AND('Job Sheet'!BL13="750 x 2000",(OR('Job Sheet'!BK13="Woven Stainless Steel",'Job Sheet'!BK13="Invisi-Gard Woven Stainless Steel"))),1,"")</f>
        <v/>
      </c>
      <c r="RU7" s="73" t="str">
        <f>IF(AND('Job Sheet'!BL13="750 x 2400",(OR('Job Sheet'!BK13="Woven Stainless Steel",'Job Sheet'!BK13="Invisi-Gard Woven Stainless Steel"))),1,"")</f>
        <v/>
      </c>
      <c r="RV7" s="73" t="str">
        <f>IF(AND('Job Sheet'!BL13="750 x 3000",(OR('Job Sheet'!BK13="Woven Stainless Steel",'Job Sheet'!BK13="Invisi-Gard Woven Stainless Steel"))),1,"")</f>
        <v/>
      </c>
      <c r="RW7" s="73" t="str">
        <f>IF(AND('Job Sheet'!BL13="900 x 2000",(OR('Job Sheet'!BK13="Woven Stainless Steel",'Job Sheet'!BK13="Invisi-Gard Woven Stainless Steel"))),1,"")</f>
        <v/>
      </c>
      <c r="RX7" s="73" t="str">
        <f>IF(AND('Job Sheet'!BL13="900 x 2400",(OR('Job Sheet'!BK13="Woven Stainless Steel",'Job Sheet'!BK13="Invisi-Gard Woven Stainless Steel"))),1,"")</f>
        <v/>
      </c>
      <c r="RY7" s="73" t="str">
        <f>IF(AND('Job Sheet'!BL13="900 x 3000",(OR('Job Sheet'!BK13="Woven Stainless Steel",'Job Sheet'!BK13="Invisi-Gard Woven Stainless Steel"))),1,"")</f>
        <v/>
      </c>
      <c r="RZ7" s="73" t="str">
        <f>IF(AND('Job Sheet'!BL13="1200 x 2000",(OR('Job Sheet'!BK13="Woven Stainless Steel",'Job Sheet'!BK13="Invisi-Gard Woven Stainless Steel"))),1,"")</f>
        <v/>
      </c>
      <c r="SA7" s="73" t="str">
        <f>IF(AND('Job Sheet'!BL13="1200 x 2400",(OR('Job Sheet'!BK13="Woven Stainless Steel",'Job Sheet'!BK13="Invisi-Gard Woven Stainless Steel"))),1,"")</f>
        <v/>
      </c>
      <c r="SB7" s="73" t="str">
        <f>IF(AND('Job Sheet'!BL13="1200 x 3000",(OR('Job Sheet'!BK13="Woven Stainless Steel",'Job Sheet'!BK13="Invisi-Gard Woven Stainless Steel"))),1,"")</f>
        <v/>
      </c>
      <c r="SC7" s="73" t="str">
        <f>IF(AND('Job Sheet'!BL13="1500 x 2000",(OR('Job Sheet'!BK13="Woven Stainless Steel",'Job Sheet'!BK13="Invisi-Gard Woven Stainless Steel"))),1,"")</f>
        <v/>
      </c>
      <c r="SD7" s="73" t="str">
        <f>IF(AND('Job Sheet'!BL13="1500 x 2400",(OR('Job Sheet'!BK13="Woven Stainless Steel",'Job Sheet'!BK13="Invisi-Gard Woven Stainless Steel"))),1,"")</f>
        <v/>
      </c>
      <c r="SE7" s="73" t="str">
        <f>IF(AND('Job Sheet'!BL13="1500 x 3000",(OR('Job Sheet'!BK13="Woven Stainless Steel",'Job Sheet'!BK13="Invisi-Gard Woven Stainless Steel"))),1,"")</f>
        <v/>
      </c>
      <c r="SF7" s="73" t="str">
        <f>IF(AND('Job Sheet'!BK13="Alu-Gard Perforated Aluminium",'Job Sheet'!BL13="750 x 2000"),1,"")</f>
        <v/>
      </c>
      <c r="SG7" s="73" t="str">
        <f>IF(AND('Job Sheet'!BK13="Alu-Gard Perforated Aluminium",'Job Sheet'!BL13="750 x 2400"),1,"")</f>
        <v/>
      </c>
      <c r="SH7" s="73" t="str">
        <f>IF(AND('Job Sheet'!BK13="Alu-Gard Perforated Aluminium",'Job Sheet'!BL13="750 x 3000"),1,"")</f>
        <v/>
      </c>
      <c r="SI7" s="73">
        <f>IF(AND('Job Sheet'!BK13="Alu-Gard Perforated Aluminium",'Job Sheet'!BL13="900 x 2000"),1,"")</f>
        <v>1</v>
      </c>
      <c r="SJ7" s="73" t="str">
        <f>IF(AND('Job Sheet'!BK13="Alu-Gard Perforated Aluminium",'Job Sheet'!BL13="900 x 2400"),1,"")</f>
        <v/>
      </c>
      <c r="SK7" s="73" t="str">
        <f>IF(AND('Job Sheet'!BK13="Alu-Gard Perforated Aluminium",'Job Sheet'!BL13="900 x 3000"),1,"")</f>
        <v/>
      </c>
      <c r="SL7" s="73" t="str">
        <f>IF(AND('Job Sheet'!BK13="Alu-Gard Perforated Aluminium",'Job Sheet'!BL13="1200 x 2000"),1,"")</f>
        <v/>
      </c>
      <c r="SM7" s="73" t="str">
        <f>IF(AND('Job Sheet'!BK13="Alu-Gard Perforated Aluminium",'Job Sheet'!BL13="1200 x 2400"),1,"")</f>
        <v/>
      </c>
      <c r="SN7" s="73" t="str">
        <f>IF(AND('Job Sheet'!BK13="Alu-Gard Perforated Aluminium",'Job Sheet'!BL13="1200 x 3000"),1,"")</f>
        <v/>
      </c>
      <c r="SO7" s="73" t="str">
        <f>IF(AND('Job Sheet'!BK13="Alu-Gard Perforated Aluminium",'Job Sheet'!BL13="1500 x 2000"),1,"")</f>
        <v/>
      </c>
      <c r="SP7" s="73" t="str">
        <f>IF(AND('Job Sheet'!BK13="Alu-Gard Perforated Aluminium",'Job Sheet'!BL13="1500 x 2400"),1,"")</f>
        <v/>
      </c>
      <c r="SQ7" s="73" t="str">
        <f>IF(AND('Job Sheet'!BK13="Alu-Gard Perforated Aluminium",'Job Sheet'!BL13="1500 x 3000"),1,"")</f>
        <v/>
      </c>
      <c r="SR7" s="73" t="str">
        <f>IF(AND('Job Sheet'!BK13="Privacy-Gard",'Job Sheet'!BL13="750 x 2000"),1,"")</f>
        <v/>
      </c>
      <c r="SS7" s="73" t="str">
        <f>IF(AND('Job Sheet'!BK13="Privacy-Gard",'Job Sheet'!BL13="750 x 2400"),1,"")</f>
        <v/>
      </c>
      <c r="ST7" s="73" t="str">
        <f>IF(AND('Job Sheet'!BK13="Privacy-Gard",'Job Sheet'!BL13="900 x 2000"),1,"")</f>
        <v/>
      </c>
      <c r="SU7" s="73" t="str">
        <f>IF(AND('Job Sheet'!BK13="Privacy-Gard",'Job Sheet'!BL13="900 x 2400"),1,"")</f>
        <v/>
      </c>
      <c r="SV7" s="73" t="str">
        <f>IF(AND('Job Sheet'!BK13="Privacy-Gard",'Job Sheet'!BL13="1200 x 2000"),1,"")</f>
        <v/>
      </c>
      <c r="SW7" s="73" t="str">
        <f>IF(AND('Job Sheet'!BK13="Privacy-Gard",'Job Sheet'!BL13="1200 x 2400"),1,"")</f>
        <v/>
      </c>
      <c r="SX7" s="73" t="str">
        <f>IF(AND('Job Sheet'!BK13="Standard Diamond",'Job Sheet'!BL13="750 x 2050",'Job Sheet'!AB13="APO Grey"),1,"")</f>
        <v/>
      </c>
      <c r="SY7" s="73" t="str">
        <f>IF(AND('Job Sheet'!BK13="Standard Diamond",'Job Sheet'!BL13="750 x 2050",'Job Sheet'!AB13="White Birch"),1,"")</f>
        <v/>
      </c>
      <c r="SZ7" s="73" t="str">
        <f>IF(AND('Job Sheet'!BK13="Standard Diamond",'Job Sheet'!BL13="750 x 2050",'Job Sheet'!AB13="Black"),1,"")</f>
        <v/>
      </c>
      <c r="TA7" s="73" t="str">
        <f>IF(AND('Job Sheet'!BK13="Standard Diamond",'Job Sheet'!BL13="750 x 2050",'Job Sheet'!AB13="Brown"),1,"")</f>
        <v/>
      </c>
      <c r="TB7" s="73" t="str">
        <f>IF(AND('Job Sheet'!BK13="Standard Diamond",'Job Sheet'!BL13="750 x 2050",'Job Sheet'!AB13="Deep Ocean"),1,"")</f>
        <v/>
      </c>
      <c r="TC7" s="73" t="str">
        <f>IF(AND('Job Sheet'!BK13="Standard Diamond",'Job Sheet'!BL13="750 x 2050",'Job Sheet'!AB13="Jasper"),1,"")</f>
        <v/>
      </c>
      <c r="TD7" s="73" t="str">
        <f>IF(AND('Job Sheet'!BK13="Standard Diamond",'Job Sheet'!BL13="750 x 2050",'Job Sheet'!AB13="Paperbark"),1,"")</f>
        <v/>
      </c>
      <c r="TE7" s="73" t="str">
        <f>IF(AND('Job Sheet'!BK13="Standard Diamond",'Job Sheet'!BL13="750 x 2050",'Job Sheet'!AB13="Mist Green"),1,"")</f>
        <v/>
      </c>
      <c r="TF7" s="73" t="str">
        <f>IF(AND('Job Sheet'!BK13="Standard Diamond",'Job Sheet'!BL13="750 x 2050",'Job Sheet'!AB13="Primrose"),1,"")</f>
        <v/>
      </c>
      <c r="TG7" s="73" t="str">
        <f>IF(AND('Job Sheet'!BK13="Standard Diamond",'Job Sheet'!BL13="750 x 2050",'Job Sheet'!AB13="Ultra Silver"),1,"")</f>
        <v/>
      </c>
      <c r="TH7" s="73" t="str">
        <f>IF(AND('Job Sheet'!BK13="Standard Diamond",'Job Sheet'!BL13="750 x 2050",'Job Sheet'!AB13="Woodland Grey(Green Tone)"),1,"")</f>
        <v/>
      </c>
      <c r="TI7" s="73" t="str">
        <f>IF(AND('Job Sheet'!BK13="Standard Diamond",'Job Sheet'!BL13="750 x 2050",'Job Sheet'!AB13="Pearl White"),1,"")</f>
        <v/>
      </c>
      <c r="TJ7" s="73" t="str">
        <f>IF(AND('Job Sheet'!BK13="Standard Diamond",'Job Sheet'!BL13="750 x 2050",'Job Sheet'!AB13="Monument"),1,"")</f>
        <v/>
      </c>
      <c r="TK7" s="73" t="str">
        <f>IF(AND('Job Sheet'!BK13="Standard Diamond",'Job Sheet'!BL13="750 x 2050",'Job Sheet'!AB13="Surfmist"),1,"")</f>
        <v/>
      </c>
      <c r="TL7" s="73" t="str">
        <f>IF(AND('Job Sheet'!BK13="Standard Diamond",'Job Sheet'!BL13="750 x 2050",'Job Sheet'!AB13="Dune"),1,"")</f>
        <v/>
      </c>
      <c r="TM7" s="73" t="str">
        <f>IF(AND('Job Sheet'!BK13="Standard Diamond",'Job Sheet'!BL13="750 x 2050",'Job Sheet'!AB13="Custom Powdercoat"),1,"")</f>
        <v/>
      </c>
      <c r="TN7" s="73" t="str">
        <f>IF(AND('Job Sheet'!BK13="Standard Diamond",'Job Sheet'!BL13="835 x 2050",'Job Sheet'!AB13="APO Grey"),1,"")</f>
        <v/>
      </c>
      <c r="TO7" s="73" t="str">
        <f>IF(AND('Job Sheet'!BK13="Standard Diamond",'Job Sheet'!BL13="835 x 2050",'Job Sheet'!AB13="White Birch"),1,"")</f>
        <v/>
      </c>
      <c r="TP7" s="73" t="str">
        <f>IF(AND('Job Sheet'!BK13="Standard Diamond",'Job Sheet'!BL13="835 x 2050",'Job Sheet'!AB13="Black"),1,"")</f>
        <v/>
      </c>
      <c r="TQ7" s="73" t="str">
        <f>IF(AND('Job Sheet'!BK13="Standard Diamond",'Job Sheet'!BL13="835 x 2050",'Job Sheet'!AB13="Brown"),1,"")</f>
        <v/>
      </c>
      <c r="TR7" s="73" t="str">
        <f>IF(AND('Job Sheet'!BK13="Standard Diamond",'Job Sheet'!BL13="835 x 2050",'Job Sheet'!AB13="Deep Ocean"),1,"")</f>
        <v/>
      </c>
      <c r="TS7" s="73" t="str">
        <f>IF(AND('Job Sheet'!BK13="Standard Diamond",'Job Sheet'!BL13="835 x 2050",'Job Sheet'!AB13="Jasper"),1,"")</f>
        <v/>
      </c>
      <c r="TT7" s="73" t="str">
        <f>IF(AND('Job Sheet'!BK13="Standard Diamond",'Job Sheet'!BL13="835 x 2050",'Job Sheet'!AB13="Paperbark"),1,"")</f>
        <v/>
      </c>
      <c r="TU7" s="73" t="str">
        <f>IF(AND('Job Sheet'!BK13="Standard Diamond",'Job Sheet'!BL13="835 x 2050",'Job Sheet'!AB13="Mist Green"),1,"")</f>
        <v/>
      </c>
      <c r="TV7" s="73" t="str">
        <f>IF(AND('Job Sheet'!BK13="Standard Diamond",'Job Sheet'!BL13="835 x 2050",'Job Sheet'!AB13="Primrose"),1,"")</f>
        <v/>
      </c>
      <c r="TW7" s="73" t="str">
        <f>IF(AND('Job Sheet'!BK13="Standard Diamond",'Job Sheet'!BL13="835 x 2050",'Job Sheet'!AB13="Ultra Silver"),1,"")</f>
        <v/>
      </c>
      <c r="TX7" s="73" t="str">
        <f>IF(AND('Job Sheet'!BK13="Standard Diamond",'Job Sheet'!BL13="835 x 2050",'Job Sheet'!AB13="Woodland Grey(Green Tone)"),1,"")</f>
        <v/>
      </c>
      <c r="TY7" s="73" t="str">
        <f>IF(AND('Job Sheet'!BK13="Standard Diamond",'Job Sheet'!BL13="835 x 2050",'Job Sheet'!AB13="Pearl White"),1,"")</f>
        <v/>
      </c>
      <c r="TZ7" s="73" t="str">
        <f>IF(AND('Job Sheet'!BK13="Standard Diamond",'Job Sheet'!BL13="835 x 2050",'Job Sheet'!AB13="Monument"),1,"")</f>
        <v/>
      </c>
      <c r="UA7" s="73" t="str">
        <f>IF(AND('Job Sheet'!BK13="Standard Diamond",'Job Sheet'!BL13="835 x 2050",'Job Sheet'!AB13="Surfmist"),1,"")</f>
        <v/>
      </c>
      <c r="UB7" s="73" t="str">
        <f>IF(AND('Job Sheet'!BK13="Standard Diamond",'Job Sheet'!BL13="835 x 2050",'Job Sheet'!AB13="Dune"),1,"")</f>
        <v/>
      </c>
      <c r="UC7" s="73" t="str">
        <f>IF(AND('Job Sheet'!BK13="Standard Diamond",'Job Sheet'!BL13="835 x 2050",'Job Sheet'!AB13="Custom Powdercoat"),1,"")</f>
        <v/>
      </c>
      <c r="UD7" s="73" t="str">
        <f>IF(AND('Job Sheet'!BK13="Standard Diamond",'Job Sheet'!BL13="920 x 2050",'Job Sheet'!AB13="APO Grey"),1,"")</f>
        <v/>
      </c>
      <c r="UE7" s="73" t="str">
        <f>IF(AND('Job Sheet'!BK13="Standard Diamond",'Job Sheet'!BL13="920 x 2050",'Job Sheet'!AB13="White Birch"),1,"")</f>
        <v/>
      </c>
      <c r="UF7" s="73" t="str">
        <f>IF(AND('Job Sheet'!BK13="Standard Diamond",'Job Sheet'!BL13="920 x 2050",'Job Sheet'!AB13="Black"),1,"")</f>
        <v/>
      </c>
      <c r="UG7" s="73" t="str">
        <f>IF(AND('Job Sheet'!BK13="Standard Diamond",'Job Sheet'!BL13="920 x 2050",'Job Sheet'!AB13="Brown"),1,"")</f>
        <v/>
      </c>
      <c r="UH7" s="73" t="str">
        <f>IF(AND('Job Sheet'!BK13="Standard Diamond",'Job Sheet'!BL13="920 x 2050",'Job Sheet'!AB13="Deep Ocean"),1,"")</f>
        <v/>
      </c>
      <c r="UI7" s="73" t="str">
        <f>IF(AND('Job Sheet'!BK13="Standard Diamond",'Job Sheet'!BL13="920 x 2050",'Job Sheet'!AB13="Jasper"),1,"")</f>
        <v/>
      </c>
      <c r="UJ7" s="73" t="str">
        <f>IF(AND('Job Sheet'!BK13="Standard Diamond",'Job Sheet'!BL13="920 x 2050",'Job Sheet'!AB13="Paperbark"),1,"")</f>
        <v/>
      </c>
      <c r="UK7" s="73" t="str">
        <f>IF(AND('Job Sheet'!BK13="Standard Diamond",'Job Sheet'!BL13="920 x 2050",'Job Sheet'!AB13="Mist Green"),1,"")</f>
        <v/>
      </c>
      <c r="UL7" s="73" t="str">
        <f>IF(AND('Job Sheet'!BK13="Standard Diamond",'Job Sheet'!BL13="920 x 2050",'Job Sheet'!AB13="Primrose"),1,"")</f>
        <v/>
      </c>
      <c r="UM7" s="73" t="str">
        <f>IF(AND('Job Sheet'!BK13="Standard Diamond",'Job Sheet'!BL13="920 x 2050",'Job Sheet'!AB13="Ultra Silver"),1,"")</f>
        <v/>
      </c>
      <c r="UN7" s="73" t="str">
        <f>IF(AND('Job Sheet'!BK13="Standard Diamond",'Job Sheet'!BL13="920 x 2050",'Job Sheet'!AB13="Woodland Grey(Green Tone)"),1,"")</f>
        <v/>
      </c>
      <c r="UO7" s="73" t="str">
        <f>IF(AND('Job Sheet'!BK13="Standard Diamond",'Job Sheet'!BL13="920 x 2050",'Job Sheet'!AB13="Pearl White"),1,"")</f>
        <v/>
      </c>
      <c r="UP7" s="73" t="str">
        <f>IF(AND('Job Sheet'!BK13="Standard Diamond",'Job Sheet'!BL13="920 x 2050",'Job Sheet'!AB13="Monument"),1,"")</f>
        <v/>
      </c>
      <c r="UQ7" s="73" t="str">
        <f>IF(AND('Job Sheet'!BK13="Standard Diamond",'Job Sheet'!BL13="920 x 2050",'Job Sheet'!AB13="Surfmist"),1,"")</f>
        <v/>
      </c>
      <c r="UR7" s="73" t="str">
        <f>IF(AND('Job Sheet'!BK13="Standard Diamond",'Job Sheet'!BL13="920 x 2050",'Job Sheet'!AB13="Dune"),1,"")</f>
        <v/>
      </c>
      <c r="US7" s="73" t="str">
        <f>IF(AND('Job Sheet'!BK13="Standard Diamond",'Job Sheet'!BL13="920 x 2050",'Job Sheet'!AB13="Custom Powdercoat"),1,"")</f>
        <v/>
      </c>
      <c r="UT7" s="73" t="str">
        <f>IF(AND('Job Sheet'!BK13="Standard Diamond",'Job Sheet'!BL13="1200 x 2050",'Job Sheet'!AB13="APO Grey"),1,"")</f>
        <v/>
      </c>
      <c r="UU7" s="73" t="str">
        <f>IF(AND('Job Sheet'!BK13="Standard Diamond",'Job Sheet'!BL13="1200 x 2050",'Job Sheet'!AB13="White Birch"),1,"")</f>
        <v/>
      </c>
      <c r="UV7" s="73" t="str">
        <f>IF(AND('Job Sheet'!BK13="Standard Diamond",'Job Sheet'!BL13="1200 x 2050",'Job Sheet'!AB13="Black"),1,"")</f>
        <v/>
      </c>
      <c r="UW7" s="73" t="str">
        <f>IF(AND('Job Sheet'!BK13="Standard Diamond",'Job Sheet'!BL13="1200 x 2050",'Job Sheet'!AB13="Brown"),1,"")</f>
        <v/>
      </c>
      <c r="UX7" s="73" t="str">
        <f>IF(AND('Job Sheet'!BK13="Standard Diamond",'Job Sheet'!BL13="1200 x 2050",'Job Sheet'!AB13="Deep Ocean"),1,"")</f>
        <v/>
      </c>
      <c r="UY7" s="73" t="str">
        <f>IF(AND('Job Sheet'!BK13="Standard Diamond",'Job Sheet'!BL13="1200 x 2050",'Job Sheet'!AB13="Jasper"),1,"")</f>
        <v/>
      </c>
      <c r="UZ7" s="73" t="str">
        <f>IF(AND('Job Sheet'!BK13="Standard Diamond",'Job Sheet'!BL13="1200 x 2050",'Job Sheet'!AB13="Paperbark"),1,"")</f>
        <v/>
      </c>
      <c r="VA7" s="73" t="str">
        <f>IF(AND('Job Sheet'!BK13="Standard Diamond",'Job Sheet'!BL13="1200 x 2050",'Job Sheet'!AB13="Mist Green"),1,"")</f>
        <v/>
      </c>
      <c r="VB7" s="73" t="str">
        <f>IF(AND('Job Sheet'!BK13="Standard Diamond",'Job Sheet'!BL13="1200 x 2050",'Job Sheet'!AB13="Primrose"),1,"")</f>
        <v/>
      </c>
      <c r="VC7" s="73" t="str">
        <f>IF(AND('Job Sheet'!BK13="Standard Diamond",'Job Sheet'!BL13="1200 x 2050",'Job Sheet'!AB13="Ultra Silver"),1,"")</f>
        <v/>
      </c>
      <c r="VD7" s="73" t="str">
        <f>IF(AND('Job Sheet'!BK13="Standard Diamond",'Job Sheet'!BL13="1200 x 2050",'Job Sheet'!AB13="Woodland Grey(Green Tone)"),1,"")</f>
        <v/>
      </c>
      <c r="VE7" s="73" t="str">
        <f>IF(AND('Job Sheet'!BK13="Standard Diamond",'Job Sheet'!BL13="1200 x 2050",'Job Sheet'!AB13="Pearl White"),1,"")</f>
        <v/>
      </c>
      <c r="VF7" s="73" t="str">
        <f>IF(AND('Job Sheet'!BK13="Standard Diamond",'Job Sheet'!BL13="1200 x 2050",'Job Sheet'!AB13="Monument"),1,"")</f>
        <v/>
      </c>
      <c r="VG7" s="73" t="str">
        <f>IF(AND('Job Sheet'!BK13="Standard Diamond",'Job Sheet'!BL13="1200 x 2050",'Job Sheet'!AB13="Surfmist"),1,"")</f>
        <v/>
      </c>
      <c r="VH7" s="73" t="str">
        <f>IF(AND('Job Sheet'!BK13="Standard Diamond",'Job Sheet'!BL13="1200 x 2050",'Job Sheet'!AB13="Dune"),1,"")</f>
        <v/>
      </c>
      <c r="VI7" s="73" t="str">
        <f>IF(AND('Job Sheet'!BK13="Standard Diamond",'Job Sheet'!BL13="1200 x 2050",'Job Sheet'!AB13="Custom Powdercoat"),1,"")</f>
        <v/>
      </c>
      <c r="VJ7" s="73" t="str">
        <f>IF(AND('Job Sheet'!BK13="Standard Diamond",'Job Sheet'!BL13="920 x 2450",'Job Sheet'!AB13="APO Grey"),1,"")</f>
        <v/>
      </c>
      <c r="VK7" s="73" t="str">
        <f>IF(AND('Job Sheet'!BK13="Standard Diamond",'Job Sheet'!BL13="920 x 2450",'Job Sheet'!AB13="White Birch"),1,"")</f>
        <v/>
      </c>
      <c r="VL7" s="73" t="str">
        <f>IF(AND('Job Sheet'!BK13="Standard Diamond",'Job Sheet'!BL13="920 x 2450",'Job Sheet'!AB13="Black"),1,"")</f>
        <v/>
      </c>
      <c r="VM7" s="73" t="str">
        <f>IF(AND('Job Sheet'!BK13="Standard Diamond",'Job Sheet'!BL13="920 x 2450",'Job Sheet'!AB13="Brown"),1,"")</f>
        <v/>
      </c>
      <c r="VN7" s="73" t="str">
        <f>IF(AND('Job Sheet'!BK13="Standard Diamond",'Job Sheet'!BL13="920 x 2450",'Job Sheet'!AB13="Deep Ocean"),1,"")</f>
        <v/>
      </c>
      <c r="VO7" s="73" t="str">
        <f>IF(AND('Job Sheet'!BK13="Standard Diamond",'Job Sheet'!BL13="920 x 2450",'Job Sheet'!AB13="Jasper"),1,"")</f>
        <v/>
      </c>
      <c r="VP7" s="73" t="str">
        <f>IF(AND('Job Sheet'!BK13="Standard Diamond",'Job Sheet'!BL13="920 x 2450",'Job Sheet'!AB13="Paperbark"),1,"")</f>
        <v/>
      </c>
      <c r="VQ7" s="73" t="str">
        <f>IF(AND('Job Sheet'!BK13="Standard Diamond",'Job Sheet'!BL13="920 x 2450",'Job Sheet'!AB13="Mist Green"),1,"")</f>
        <v/>
      </c>
      <c r="VR7" s="73" t="str">
        <f>IF(AND('Job Sheet'!BK13="Standard Diamond",'Job Sheet'!BL13="920 x 2450",'Job Sheet'!AB13="Primrose"),1,"")</f>
        <v/>
      </c>
      <c r="VS7" s="73" t="str">
        <f>IF(AND('Job Sheet'!BK13="Standard Diamond",'Job Sheet'!BL13="920 x 2450",'Job Sheet'!AB13="Ultra Silver"),1,"")</f>
        <v/>
      </c>
      <c r="VT7" s="73" t="str">
        <f>IF(AND('Job Sheet'!BK13="Standard Diamond",'Job Sheet'!BL13="920 x 2450",'Job Sheet'!AB13="Woodland Grey(Green Tone)"),1,"")</f>
        <v/>
      </c>
      <c r="VU7" s="73" t="str">
        <f>IF(AND('Job Sheet'!BK13="Standard Diamond",'Job Sheet'!BL13="920 x 2450",'Job Sheet'!AB13="Pearl White"),1,"")</f>
        <v/>
      </c>
      <c r="VV7" s="73" t="str">
        <f>IF(AND('Job Sheet'!BK13="Standard Diamond",'Job Sheet'!BL13="920 x 2450",'Job Sheet'!AB13="Monument"),1,"")</f>
        <v/>
      </c>
      <c r="VW7" s="73" t="str">
        <f>IF(AND('Job Sheet'!BK13="Standard Diamond",'Job Sheet'!BL13="920 x 2450",'Job Sheet'!AB13="Surfmist"),1,"")</f>
        <v/>
      </c>
      <c r="VX7" s="73" t="str">
        <f>IF(AND('Job Sheet'!BK13="Standard Diamond",'Job Sheet'!BL13="920 x 2450",'Job Sheet'!AB13="Dune"),1,"")</f>
        <v/>
      </c>
      <c r="VY7" s="73" t="str">
        <f>IF(AND('Job Sheet'!BK13="Standard Diamond",'Job Sheet'!BL13="920 x 2450",'Job Sheet'!AB13="Custom Powdercoat"),1,"")</f>
        <v/>
      </c>
      <c r="VZ7" s="73" t="str">
        <f>IF(AND('Job Sheet'!BK13="Standard Diamond",'Job Sheet'!BL13="1200 x 2450",'Job Sheet'!AB13="APO Grey"),1,"")</f>
        <v/>
      </c>
      <c r="WA7" s="73" t="str">
        <f>IF(AND('Job Sheet'!BK13="Standard Diamond",'Job Sheet'!BL13="1200 x 2450",'Job Sheet'!AB13="White Birch"),1,"")</f>
        <v/>
      </c>
      <c r="WB7" s="73" t="str">
        <f>IF(AND('Job Sheet'!BK13="Standard Diamond",'Job Sheet'!BL13="1200 x 2450",'Job Sheet'!AB13="Black"),1,"")</f>
        <v/>
      </c>
      <c r="WC7" s="73" t="str">
        <f>IF(AND('Job Sheet'!BK13="Standard Diamond",'Job Sheet'!BL13="1200 x 2450",'Job Sheet'!AB13="Brown"),1,"")</f>
        <v/>
      </c>
      <c r="WD7" s="73" t="str">
        <f>IF(AND('Job Sheet'!BK13="Standard Diamond",'Job Sheet'!BL13="1200 x 2450",'Job Sheet'!AB13="Deep Ocean"),1,"")</f>
        <v/>
      </c>
      <c r="WE7" s="73" t="str">
        <f>IF(AND('Job Sheet'!BK13="Standard Diamond",'Job Sheet'!BL13="1200 x 2450",'Job Sheet'!AB13="Jasper"),1,"")</f>
        <v/>
      </c>
      <c r="WF7" s="73" t="str">
        <f>IF(AND('Job Sheet'!BK13="Standard Diamond",'Job Sheet'!BL13="1200 x 2450",'Job Sheet'!AB13="Paperbark"),1,"")</f>
        <v/>
      </c>
      <c r="WG7" s="73" t="str">
        <f>IF(AND('Job Sheet'!BK13="Standard Diamond",'Job Sheet'!BL13="1200 x 2450",'Job Sheet'!AB13="Mist Green"),1,"")</f>
        <v/>
      </c>
      <c r="WH7" s="73" t="str">
        <f>IF(AND('Job Sheet'!BK13="Standard Diamond",'Job Sheet'!BL13="1200 x 2450",'Job Sheet'!AB13="Primrose"),1,"")</f>
        <v/>
      </c>
      <c r="WI7" s="73" t="str">
        <f>IF(AND('Job Sheet'!BK13="Standard Diamond",'Job Sheet'!BL13="1200 x 2450",'Job Sheet'!AB13="Ultra Silver"),1,"")</f>
        <v/>
      </c>
      <c r="WJ7" s="73" t="str">
        <f>IF(AND('Job Sheet'!BK13="Standard Diamond",'Job Sheet'!BL13="1200 x 2450",'Job Sheet'!AB13="Woodland Grey(Green Tone)"),1,"")</f>
        <v/>
      </c>
      <c r="WK7" s="73" t="str">
        <f>IF(AND('Job Sheet'!BK13="Standard Diamond",'Job Sheet'!BL13="1200 x 2450",'Job Sheet'!AB13="Pearl White"),1,"")</f>
        <v/>
      </c>
      <c r="WL7" s="73" t="str">
        <f>IF(AND('Job Sheet'!BK13="Standard Diamond",'Job Sheet'!BL13="1200 x 2450",'Job Sheet'!AB13="Monument"),1,"")</f>
        <v/>
      </c>
      <c r="WM7" s="73" t="str">
        <f>IF(AND('Job Sheet'!BK13="Standard Diamond",'Job Sheet'!BL13="1200 x 2450",'Job Sheet'!AB13="Surfmist"),1,"")</f>
        <v/>
      </c>
      <c r="WN7" s="73" t="str">
        <f>IF(AND('Job Sheet'!BK13="Standard Diamond",'Job Sheet'!BL13="1200 x 2450",'Mitred Cutting'!D13="Dune"),1,"")</f>
        <v/>
      </c>
      <c r="WO7" s="73" t="str">
        <f>IF(AND('Job Sheet'!BK13="Standard Diamond",'Job Sheet'!BL13="1200 x 2450",'Job Sheet'!AB13="Custom Powdercoat"),1,"")</f>
        <v/>
      </c>
      <c r="WP7" s="73" t="str">
        <f>IF(AND('Job Sheet'!BK13="Decorative Diamond",'Job Sheet'!BL13="770 x 2050",'Job Sheet'!AB13="APO Grey"),1,"")</f>
        <v/>
      </c>
      <c r="WQ7" s="73" t="str">
        <f>IF(AND('Job Sheet'!BK13="Decorative Diamond",'Job Sheet'!BL13="770 x 2050",'Job Sheet'!AB13="White Birch"),1,"")</f>
        <v/>
      </c>
      <c r="WR7" s="73" t="str">
        <f>IF(AND('Job Sheet'!BK13="Decorative Diamond",'Job Sheet'!BL13="770 x 2050",'Job Sheet'!AB13="Black"),1,"")</f>
        <v/>
      </c>
      <c r="WS7" s="73" t="str">
        <f>IF(AND('Job Sheet'!BK13="Decorative Diamond",'Job Sheet'!BL13="770 x 2050",'Job Sheet'!AB13="Brown"),1,"")</f>
        <v/>
      </c>
      <c r="WT7" s="73" t="str">
        <f>IF(AND('Job Sheet'!BK13="Decorative Diamond",'Job Sheet'!BL13="770 x 2050",'Job Sheet'!AB13="Deep Ocean"),1,"")</f>
        <v/>
      </c>
      <c r="WU7" s="73" t="str">
        <f>IF(AND('Job Sheet'!BK13="Decorative Diamond",'Job Sheet'!BL13="770 x 2050",'Job Sheet'!AB13="Jasper"),1,"")</f>
        <v/>
      </c>
      <c r="WV7" s="73" t="str">
        <f>IF(AND('Job Sheet'!BK13="Decorative Diamond",'Job Sheet'!BL13="770 x 2050",'Job Sheet'!AB13="Paperbark"),1,"")</f>
        <v/>
      </c>
      <c r="WW7" s="73" t="str">
        <f>IF(AND('Job Sheet'!BK13="Decorative Diamond",'Job Sheet'!BL13="770 x 2050",'Job Sheet'!AB13="Mist Green"),1,"")</f>
        <v/>
      </c>
      <c r="WX7" s="73" t="str">
        <f>IF(AND('Job Sheet'!BK13="Decorative Diamond",'Job Sheet'!BL13="770 x 2050",'Job Sheet'!AB13="Primrose"),1,"")</f>
        <v/>
      </c>
      <c r="WY7" s="73" t="str">
        <f>IF(AND('Job Sheet'!BK13="Decorative Diamond",'Job Sheet'!BL13="770 x 2050",'Job Sheet'!AB13="Ultra Silver"),1,"")</f>
        <v/>
      </c>
      <c r="WZ7" s="73" t="str">
        <f>IF(AND('Job Sheet'!BK13="Decorative Diamond",'Job Sheet'!BL13="770 x 2050",'Job Sheet'!AB13="Woodland Grey(Green Tone)"),1,"")</f>
        <v/>
      </c>
      <c r="XA7" s="73" t="str">
        <f>IF(AND('Job Sheet'!BK13="Decorative Diamond",'Job Sheet'!BL13="770 x 2050",'Job Sheet'!AB13="Pearl White"),1,"")</f>
        <v/>
      </c>
      <c r="XB7" s="73" t="str">
        <f>IF(AND('Job Sheet'!BK13="Decorative Diamond",'Job Sheet'!BL13="770 x 2050",'Job Sheet'!AB13="Monument"),1,"")</f>
        <v/>
      </c>
      <c r="XC7" s="73" t="str">
        <f>IF(AND('Job Sheet'!BK13="Decorative Diamond",'Job Sheet'!BL13="770 x 2050",'Job Sheet'!AB13="Surfmist"),1,"")</f>
        <v/>
      </c>
      <c r="XD7" s="73" t="str">
        <f>IF(AND('Job Sheet'!BK13="Decorative Diamond",'Job Sheet'!BL13="770 x 2050",'Job Sheet'!AB13="Dune"),1,"")</f>
        <v/>
      </c>
      <c r="XE7" s="73" t="str">
        <f>IF(AND('Job Sheet'!BK13="Decorative Diamond",'Job Sheet'!BL13="770 x 2050",'Job Sheet'!AB13="Custom Powdercoat"),1,"")</f>
        <v/>
      </c>
      <c r="XF7" s="73" t="str">
        <f>IF(AND('Job Sheet'!BK13="Decorative Diamond",'Job Sheet'!BL13="900 x 2050",'Job Sheet'!AB13="APO Grey"),1,"")</f>
        <v/>
      </c>
      <c r="XG7" s="73" t="str">
        <f>IF(AND('Job Sheet'!BK13="Decorative Diamond",'Job Sheet'!BL13="900 x 2050",'Job Sheet'!AB13="White Birch"),1,"")</f>
        <v/>
      </c>
      <c r="XH7" s="73" t="str">
        <f>IF(AND('Job Sheet'!BK13="Decorative Diamond",'Job Sheet'!BL13="900 x 2050",'Job Sheet'!AB13="Black"),1,"")</f>
        <v/>
      </c>
      <c r="XI7" s="73" t="str">
        <f>IF(AND('Job Sheet'!BK13="Decorative Diamond",'Job Sheet'!BL13="900 x 2050",'Job Sheet'!AB13="Brown"),1,"")</f>
        <v/>
      </c>
      <c r="XJ7" s="73" t="str">
        <f>IF(AND('Job Sheet'!BK13="Decorative Diamond",'Job Sheet'!BL13="900 x 2050",'Job Sheet'!AB13="Deep Ocean"),1,"")</f>
        <v/>
      </c>
      <c r="XK7" s="73" t="str">
        <f>IF(AND('Job Sheet'!BK13="Decorative Diamond",'Job Sheet'!BL13="900 x 2050",'Job Sheet'!AB13="Jasper"),1,"")</f>
        <v/>
      </c>
      <c r="XL7" s="73" t="str">
        <f>IF(AND('Job Sheet'!BK13="Decorative Diamond",'Job Sheet'!BL13="900 x 2050",'Job Sheet'!AB13="Paperbark"),1,"")</f>
        <v/>
      </c>
      <c r="XM7" s="73" t="str">
        <f>IF(AND('Job Sheet'!BK13="Decorative Diamond",'Job Sheet'!BL13="900 x 2050",'Job Sheet'!AB13="Mist Green"),1,"")</f>
        <v/>
      </c>
      <c r="XN7" s="73" t="str">
        <f>IF(AND('Job Sheet'!BK13="Decorative Diamond",'Job Sheet'!BL13="900 x 2050",'Job Sheet'!AB13="Primrose"),1,"")</f>
        <v/>
      </c>
      <c r="XO7" s="73" t="str">
        <f>IF(AND('Job Sheet'!BK13="Decorative Diamond",'Job Sheet'!BL13="900 x 2050",'Job Sheet'!AB13="Ultra Silver"),1,"")</f>
        <v/>
      </c>
      <c r="XP7" s="73" t="str">
        <f>IF(AND('Job Sheet'!BK13="Decorative Diamond",'Job Sheet'!BL13="900 x 2050",'Job Sheet'!AB13="Woodland Grey(Green Tone)"),1,"")</f>
        <v/>
      </c>
      <c r="XQ7" s="73" t="str">
        <f>IF(AND('Job Sheet'!BK13="Decorative Diamond",'Job Sheet'!BL13="900 x 2050",'Job Sheet'!AB13="Pearl White"),1,"")</f>
        <v/>
      </c>
      <c r="XR7" s="73" t="str">
        <f>IF(AND('Job Sheet'!BK13="Decorative Diamond",'Job Sheet'!BL13="900 x 2050",'Job Sheet'!AB13="Monument"),1,"")</f>
        <v/>
      </c>
      <c r="XS7" s="73" t="str">
        <f>IF(AND('Job Sheet'!BK13="Decorative Diamond",'Job Sheet'!BL13="900 x 2050",'Job Sheet'!AB13="Surfmist"),1,"")</f>
        <v/>
      </c>
      <c r="XT7" s="73" t="str">
        <f>IF(AND('Job Sheet'!BK13="Decorative Diamond",'Job Sheet'!BL13="900 x 2050",'Job Sheet'!AB13="Dune"),1,"")</f>
        <v/>
      </c>
      <c r="XU7" s="73" t="str">
        <f>IF(AND('Job Sheet'!BK13="Decorative Diamond",'Job Sheet'!BL13="900 x 2050",'Job Sheet'!AB13="Custom Powdercoat"),1,"")</f>
        <v/>
      </c>
      <c r="XV7" s="73" t="str">
        <f>IF(AND('Job Sheet'!BK13="Decorative Diamond",'Job Sheet'!BL13="1150 x 2050",'Job Sheet'!AB13="APO Grey"),1,"")</f>
        <v/>
      </c>
      <c r="XW7" s="73" t="str">
        <f>IF(AND('Job Sheet'!BK13="Decorative Diamond",'Job Sheet'!BL13="1150 x 2050",'Job Sheet'!AB13="White Birch"),1,"")</f>
        <v/>
      </c>
      <c r="XX7" s="73" t="str">
        <f>IF(AND('Job Sheet'!BK13="Decorative Diamond",'Job Sheet'!BL13="1150 x 2050",'Job Sheet'!AB13="Black"),1,"")</f>
        <v/>
      </c>
      <c r="XY7" s="73" t="str">
        <f>IF(AND('Job Sheet'!BK13="Decorative Diamond",'Job Sheet'!BL13="1150 x 2050",'Job Sheet'!AB13="Brown"),1,"")</f>
        <v/>
      </c>
      <c r="XZ7" s="73" t="str">
        <f>IF(AND('Job Sheet'!BK13="Decorative Diamond",'Job Sheet'!BL13="1150 x 2050",'Job Sheet'!AB13="Deep Ocean"),1,"")</f>
        <v/>
      </c>
      <c r="YA7" s="73" t="str">
        <f>IF(AND('Job Sheet'!BK13="Decorative Diamond",'Job Sheet'!BL13="1150 x 2050",'Job Sheet'!AB13="Jasper"),1,"")</f>
        <v/>
      </c>
      <c r="YB7" s="73" t="str">
        <f>IF(AND('Job Sheet'!BK13="Decorative Diamond",'Job Sheet'!BL13="1150 x 2050",'Job Sheet'!AB13="Paperbark"),1,"")</f>
        <v/>
      </c>
      <c r="YC7" s="73" t="str">
        <f>IF(AND('Job Sheet'!BK13="Decorative Diamond",'Job Sheet'!BL13="1150 x 2050",'Job Sheet'!AB13="Mist Green"),1,"")</f>
        <v/>
      </c>
      <c r="YD7" s="73" t="str">
        <f>IF(AND('Job Sheet'!BK13="Decorative Diamond",'Job Sheet'!BL13="1150 x 2050",'Job Sheet'!AB13="Primrose"),1,"")</f>
        <v/>
      </c>
      <c r="YE7" s="73" t="str">
        <f>IF(AND('Job Sheet'!BK13="Decorative Diamond",'Job Sheet'!BL13="1150 x 2050",'Job Sheet'!AB13="Ultra Silver"),1,"")</f>
        <v/>
      </c>
      <c r="YF7" s="73" t="str">
        <f>IF(AND('Job Sheet'!BK13="Decorative Diamond",'Job Sheet'!BL13="1150 x 2050",'Job Sheet'!AB13="Woodland Grey(Green Tone)"),1,"")</f>
        <v/>
      </c>
      <c r="YG7" s="73" t="str">
        <f>IF(AND('Job Sheet'!BK13="Decorative Diamond",'Job Sheet'!BL13="1150 x 2050",'Job Sheet'!AB13="Pearl White"),1,"")</f>
        <v/>
      </c>
      <c r="YH7" s="73" t="str">
        <f>IF(AND('Job Sheet'!BK13="Decorative Diamond",'Job Sheet'!BL13="1150 x 2050",'Job Sheet'!AB13="Monument"),1,"")</f>
        <v/>
      </c>
      <c r="YI7" s="73" t="str">
        <f>IF(AND('Job Sheet'!BK13="Decorative Diamond",'Job Sheet'!BL13="1150 x 2050",'Job Sheet'!AB13="Surfmist"),1,"")</f>
        <v/>
      </c>
      <c r="YJ7" s="73" t="str">
        <f>IF(AND('Job Sheet'!BK13="Decorative Diamond",'Job Sheet'!BL13="1150 x 2050",'Job Sheet'!AB13="Dune"),1,"")</f>
        <v/>
      </c>
      <c r="YK7" s="73" t="str">
        <f>IF(AND('Job Sheet'!BK13="Decorative Diamond",'Job Sheet'!BL13="1150 x 2050",'Job Sheet'!AB13="Custom Powdercoat"),1,"")</f>
        <v/>
      </c>
      <c r="YL7" s="73" t="str">
        <f>IF(AND('Job Sheet'!AE13="DVA Mesh",'Job Sheet'!BR13="750 x 2000",'Job Sheet'!AF13="Apo Grey"),1,"")</f>
        <v/>
      </c>
      <c r="YM7" s="73" t="str">
        <f>IF(AND('Job Sheet'!AE13="DVA Mesh",'Job Sheet'!BR13="750 x 2000",'Job Sheet'!AF13="Birch White"),1,"")</f>
        <v/>
      </c>
      <c r="YN7" s="73" t="str">
        <f>IF(AND('Job Sheet'!AE13="DVA Mesh",'Job Sheet'!BR13="750 x 2000",'Job Sheet'!AF13="Black"),1,"")</f>
        <v/>
      </c>
      <c r="YO7" s="73" t="str">
        <f>IF(AND('Job Sheet'!AE13="DVA Mesh",'Job Sheet'!BR13="750 x 2000",'Job Sheet'!AF13="Brown"),1,"")</f>
        <v/>
      </c>
      <c r="YP7" s="73" t="str">
        <f>IF(AND('Job Sheet'!AE13="DVA Mesh",'Job Sheet'!BR13="750 x 2000",'Job Sheet'!AF13="Deep Ocean"),1,"")</f>
        <v/>
      </c>
      <c r="YQ7" s="73" t="str">
        <f>IF(AND('Job Sheet'!AE13="DVA Mesh",'Job Sheet'!BR13="750 x 2000",'Job Sheet'!AF13="Jasper"),1,"")</f>
        <v/>
      </c>
      <c r="YR7" s="73" t="str">
        <f>IF(AND('Job Sheet'!AE13="DVA Mesh",'Job Sheet'!BR13="750 x 2000",'Job Sheet'!AF13="Paperbark"),1,"")</f>
        <v/>
      </c>
      <c r="YS7" s="73" t="str">
        <f>IF(AND('Job Sheet'!AE13="DVA Mesh",'Job Sheet'!BR13="750 x 2000",'Job Sheet'!AF13="Mist Green"),1,"")</f>
        <v/>
      </c>
      <c r="YT7" s="73" t="str">
        <f>IF(AND('Job Sheet'!AE13="DVA Mesh",'Job Sheet'!BR13="750 x 2000",'Job Sheet'!AF13="Primrose"),1,"")</f>
        <v/>
      </c>
      <c r="YU7" s="73" t="str">
        <f>IF(AND('Job Sheet'!AE13="DVA Mesh",'Job Sheet'!BR13="750 x 2000",'Job Sheet'!AF13="Ultra Silver"),1,"")</f>
        <v/>
      </c>
      <c r="YV7" s="73" t="str">
        <f>IF(AND('Job Sheet'!AE13="DVA Mesh",'Job Sheet'!BR13="750 x 2000",'Job Sheet'!AF13="Woodland Grey(Green Tone)"),1,"")</f>
        <v/>
      </c>
      <c r="YW7" s="73" t="str">
        <f>IF(AND('Job Sheet'!AE13="DVA Mesh",'Job Sheet'!BR13="750 x 2000",'Job Sheet'!AF13="Pearl White"),1,"")</f>
        <v/>
      </c>
      <c r="YX7" s="73" t="str">
        <f>IF(AND('Job Sheet'!AE13="DVA Mesh",'Job Sheet'!BR13="750 x 2000",'Job Sheet'!AF13="Monument"),1,"")</f>
        <v/>
      </c>
      <c r="YY7" s="73" t="str">
        <f>IF(AND('Job Sheet'!AE13="DVA Mesh",'Job Sheet'!BR13="750 x 2000",'Job Sheet'!AF13="Surfmist"),1,"")</f>
        <v/>
      </c>
      <c r="YZ7" s="73" t="str">
        <f>IF(AND('Job Sheet'!AE13="DVA Mesh",'Job Sheet'!BR13="750 x 2000",'Job Sheet'!AF13="Dune"),1,"")</f>
        <v/>
      </c>
      <c r="ZA7" s="73" t="str">
        <f>IF(AND('Job Sheet'!AE13="DVA Mesh",'Job Sheet'!BR13="750 x 2000",'Job Sheet'!AF13="Custom Powdercoat"),1,"")</f>
        <v/>
      </c>
      <c r="ZB7" s="73" t="str">
        <f>IF(AND('Job Sheet'!AE13="DVA Mesh",'Job Sheet'!BR13="825 x 2000",'Job Sheet'!AF13="Apo Grey"),1,"")</f>
        <v/>
      </c>
      <c r="ZC7" s="73" t="str">
        <f>IF(AND('Job Sheet'!AE13="DVA Mesh",'Job Sheet'!BR13="825 x 2000",'Job Sheet'!AF13="Birch White"),1,"")</f>
        <v/>
      </c>
      <c r="ZD7" s="73" t="str">
        <f>IF(AND('Job Sheet'!AE13="DVA Mesh",'Job Sheet'!BR13="825 x 2000",'Job Sheet'!AF13="Black"),1,"")</f>
        <v/>
      </c>
      <c r="ZE7" s="73" t="str">
        <f>IF(AND('Job Sheet'!AE13="DVA Mesh",'Job Sheet'!BR13="825 x 2000",'Job Sheet'!AF13="Brown"),1,"")</f>
        <v/>
      </c>
      <c r="ZF7" s="73" t="str">
        <f>IF(AND('Job Sheet'!AE13="DVA Mesh",'Job Sheet'!BR13="825 x 2000",'Job Sheet'!AF13="Deep Ocean"),1,"")</f>
        <v/>
      </c>
      <c r="ZG7" s="73" t="str">
        <f>IF(AND('Job Sheet'!AE13="DVA Mesh",'Job Sheet'!BR13="825 x 2000",'Job Sheet'!AF13="Jasper"),1,"")</f>
        <v/>
      </c>
      <c r="ZH7" s="73" t="str">
        <f>IF(AND('Job Sheet'!AE13="DVA Mesh",'Job Sheet'!BR13="825 x 2000",'Job Sheet'!AF13="Paperbark"),1,"")</f>
        <v/>
      </c>
      <c r="ZI7" s="73" t="str">
        <f>IF(AND('Job Sheet'!AE13="DVA Mesh",'Job Sheet'!BR13="825 x 2000",'Job Sheet'!AF13="Mist Green"),1,"")</f>
        <v/>
      </c>
      <c r="ZJ7" s="73" t="str">
        <f>IF(AND('Job Sheet'!AE13="DVA Mesh",'Job Sheet'!BR13="825 x 2000",'Job Sheet'!AF13="Primrose"),1,"")</f>
        <v/>
      </c>
      <c r="ZK7" s="73" t="str">
        <f>IF(AND('Job Sheet'!AE13="DVA Mesh",'Job Sheet'!BR13="825 x 2000",'Job Sheet'!AF13="Ultra Silver"),1,"")</f>
        <v/>
      </c>
      <c r="ZL7" s="73" t="str">
        <f>IF(AND('Job Sheet'!AE13="DVA Mesh",'Job Sheet'!BR13="825 x 2000",'Job Sheet'!AF13="Woodland Grey(Green Tone)"),1,"")</f>
        <v/>
      </c>
      <c r="ZM7" s="73" t="str">
        <f>IF(AND('Job Sheet'!AE13="DVA Mesh",'Job Sheet'!BR13="825 x 2000",'Job Sheet'!AF13="Pearl White"),1,"")</f>
        <v/>
      </c>
      <c r="ZN7" s="73" t="str">
        <f>IF(AND('Job Sheet'!AE13="DVA Mesh",'Job Sheet'!BR13="825 x 2000",'Job Sheet'!AF13="Monument"),1,"")</f>
        <v/>
      </c>
      <c r="ZO7" s="73" t="str">
        <f>IF(AND('Job Sheet'!AE13="DVA Mesh",'Job Sheet'!BR13="825 x 2000",'Job Sheet'!AF13="Surfmist"),1,"")</f>
        <v/>
      </c>
      <c r="ZP7" s="73" t="str">
        <f>IF(AND('Job Sheet'!AE13="DVA Mesh",'Job Sheet'!BR13="825 x 2000",'Job Sheet'!AF13="Dune"),1,"")</f>
        <v/>
      </c>
      <c r="ZQ7" s="73" t="str">
        <f>IF(AND('Job Sheet'!AE13="DVA Mesh",'Job Sheet'!BR13="825 x 2000",'Job Sheet'!AF13="Custom Powdercoat"),1,"")</f>
        <v/>
      </c>
      <c r="ZR7" s="73" t="str">
        <f>IF(AND('Job Sheet'!AE13="DVA Mesh",'Job Sheet'!BR13="900 x 2200",'Job Sheet'!AF13="Apo Grey"),1,"")</f>
        <v/>
      </c>
      <c r="ZS7" s="73" t="str">
        <f>IF(AND('Job Sheet'!AE13="DVA Mesh",'Job Sheet'!BR13="900 x 2200",'Job Sheet'!AF13="Birch White"),1,"")</f>
        <v/>
      </c>
      <c r="ZT7" s="73" t="str">
        <f>IF(AND('Job Sheet'!AE13="DVA Mesh",'Job Sheet'!BR13="900 x 2200",'Job Sheet'!AF13="Black"),1,"")</f>
        <v/>
      </c>
      <c r="ZU7" s="73" t="str">
        <f>IF(AND('Job Sheet'!AE13="DVA Mesh",'Job Sheet'!BR13="900 x 2200",'Job Sheet'!AF13="Brown"),1,"")</f>
        <v/>
      </c>
      <c r="ZV7" s="73" t="str">
        <f>IF(AND('Job Sheet'!AE13="DVA Mesh",'Job Sheet'!BR13="900 x 2200",'Job Sheet'!AF13="Deep Ocean"),1,"")</f>
        <v/>
      </c>
      <c r="ZW7" s="73" t="str">
        <f>IF(AND('Job Sheet'!AE13="DVA Mesh",'Job Sheet'!BR13="900 x 2200",'Job Sheet'!AF13="Jasper"),1,"")</f>
        <v/>
      </c>
      <c r="ZX7" s="73" t="str">
        <f>IF(AND('Job Sheet'!AE13="DVA Mesh",'Job Sheet'!BR13="900 x 2200",'Job Sheet'!AF13="Paperbark"),1,"")</f>
        <v/>
      </c>
      <c r="ZY7" s="73" t="str">
        <f>IF(AND('Job Sheet'!AE13="DVA Mesh",'Job Sheet'!BR13="900 x 2200",'Job Sheet'!AF13="Mist Green"),1,"")</f>
        <v/>
      </c>
      <c r="ZZ7" s="73" t="str">
        <f>IF(AND('Job Sheet'!AE13="DVA Mesh",'Job Sheet'!BR13="900 x 2200",'Job Sheet'!AF13="Primrose"),1,"")</f>
        <v/>
      </c>
      <c r="AAA7" s="73" t="str">
        <f>IF(AND('Job Sheet'!AE13="DVA Mesh",'Job Sheet'!BR13="900 x 2200",'Job Sheet'!AF13="Ultra Silver"),1,"")</f>
        <v/>
      </c>
      <c r="AAB7" s="73" t="str">
        <f>IF(AND('Job Sheet'!AE13="DVA Mesh",'Job Sheet'!BR13="900 x 2200",'Job Sheet'!AF13="Woodland Grey(Green Tone)"),1,"")</f>
        <v/>
      </c>
      <c r="AAC7" s="73" t="str">
        <f>IF(AND('Job Sheet'!AE13="DVA Mesh",'Job Sheet'!BR13="900 x 2200",'Job Sheet'!AF13="Pearl White"),1,"")</f>
        <v/>
      </c>
      <c r="AAD7" s="73" t="str">
        <f>IF(AND('Job Sheet'!AE13="DVA Mesh",'Job Sheet'!BR13="900 x 2200",'Job Sheet'!AF13="Monument"),1,"")</f>
        <v/>
      </c>
      <c r="AAE7" s="73" t="str">
        <f>IF(AND('Job Sheet'!AE13="DVA Mesh",'Job Sheet'!BR13="900 x 2200",'Job Sheet'!AF13="Surfmist"),1,"")</f>
        <v/>
      </c>
      <c r="AAF7" s="73" t="str">
        <f>IF(AND('Job Sheet'!AE13="DVA Mesh",'Job Sheet'!BR13="900 x 2200",'Job Sheet'!AF13="Dune"),1,"")</f>
        <v/>
      </c>
      <c r="AAG7" s="73" t="str">
        <f>IF(AND('Job Sheet'!AE13="DVA Mesh",'Job Sheet'!BR13="900 x 2200",'Job Sheet'!AF13="Custom Powdercoat"),1,"")</f>
        <v/>
      </c>
      <c r="AAH7" s="73" t="str">
        <f>IF(AND('Job Sheet'!AE13="DVA Mesh",'Job Sheet'!BR13="900 x 2400",'Job Sheet'!AF13="Apo Grey"),1,"")</f>
        <v/>
      </c>
      <c r="AAI7" s="73" t="str">
        <f>IF(AND('Job Sheet'!AE13="DVA Mesh",'Job Sheet'!BR13="900 x 2400",'Job Sheet'!AF13="Birch White"),1,"")</f>
        <v/>
      </c>
      <c r="AAJ7" s="73" t="str">
        <f>IF(AND('Job Sheet'!AE13="DVA Mesh",'Job Sheet'!BR13="900 x 2400",'Job Sheet'!AF13="Black"),1,"")</f>
        <v/>
      </c>
      <c r="AAK7" s="73" t="str">
        <f>IF(AND('Job Sheet'!AE13="DVA Mesh",'Job Sheet'!BR13="900 x 2400",'Job Sheet'!AF13="Brown"),1,"")</f>
        <v/>
      </c>
      <c r="AAL7" s="73" t="str">
        <f>IF(AND('Job Sheet'!AE13="DVA Mesh",'Job Sheet'!BR13="900 x 2400",'Job Sheet'!AF13="Deep Ocean"),1,"")</f>
        <v/>
      </c>
      <c r="AAM7" s="73" t="str">
        <f>IF(AND('Job Sheet'!AE13="DVA Mesh",'Job Sheet'!BR13="900 x 2400",'Job Sheet'!AF13="Jasper"),1,"")</f>
        <v/>
      </c>
      <c r="AAN7" s="73" t="str">
        <f>IF(AND('Job Sheet'!AE13="DVA Mesh",'Job Sheet'!BR13="900 x 2400",'Job Sheet'!AF13="Paperbark"),1,"")</f>
        <v/>
      </c>
      <c r="AAO7" s="73" t="str">
        <f>IF(AND('Job Sheet'!AE13="DVA Mesh",'Job Sheet'!BR13="900 x 2400",'Job Sheet'!AF13="Mist Green"),1,"")</f>
        <v/>
      </c>
      <c r="AAP7" s="73" t="str">
        <f>IF(AND('Job Sheet'!AE13="DVA Mesh",'Job Sheet'!BR13="900 x 2400",'Job Sheet'!AF13="Primrose"),1,"")</f>
        <v/>
      </c>
      <c r="AAQ7" s="73" t="str">
        <f>IF(AND('Job Sheet'!AE13="DVA Mesh",'Job Sheet'!BR13="900 x 2400",'Job Sheet'!AF13="Ultra Silver"),1,"")</f>
        <v/>
      </c>
      <c r="AAR7" s="73" t="str">
        <f>IF(AND('Job Sheet'!AE13="DVA Mesh",'Job Sheet'!BR13="900 x 2400",'Job Sheet'!AF13="Woodland Grey(Green Tone)"),1,"")</f>
        <v/>
      </c>
      <c r="AAS7" s="73" t="str">
        <f>IF(AND('Job Sheet'!AE13="DVA Mesh",'Job Sheet'!BR13="900 x 2400",'Job Sheet'!AF13="Pearl White"),1,"")</f>
        <v/>
      </c>
      <c r="AAT7" s="73" t="str">
        <f>IF(AND('Job Sheet'!AE13="DVA Mesh",'Job Sheet'!BR13="900 x 2400",'Job Sheet'!AF13="Monument"),1,"")</f>
        <v/>
      </c>
      <c r="AAU7" s="73" t="str">
        <f>IF(AND('Job Sheet'!AE13="DVA Mesh",'Job Sheet'!BR13="900 x 2400",'Job Sheet'!AF13="Surfmist"),1,"")</f>
        <v/>
      </c>
      <c r="AAV7" s="73" t="str">
        <f>IF(AND('Job Sheet'!AE13="DVA Mesh",'Job Sheet'!BR13="900 x 2400",'Job Sheet'!AF13="Dune"),1,"")</f>
        <v/>
      </c>
      <c r="AAW7" s="73" t="str">
        <f>IF(AND('Job Sheet'!AE13="DVA Mesh",'Job Sheet'!BR13="900 x 2400",'Job Sheet'!AF13="Custom Powdercoat"),1,"")</f>
        <v/>
      </c>
      <c r="AAX7" s="73" t="str">
        <f>IF(AND('Job Sheet'!AE13="DVA Mesh",'Job Sheet'!BR13="1200 x 2200",'Job Sheet'!AF13="Apo Grey"),1,"")</f>
        <v/>
      </c>
      <c r="AAY7" s="73" t="str">
        <f>IF(AND('Job Sheet'!AE13="DVA Mesh",'Job Sheet'!BR13="1200 x 2200",'Job Sheet'!AF13="Birch White"),1,"")</f>
        <v/>
      </c>
      <c r="AAZ7" s="73" t="str">
        <f>IF(AND('Job Sheet'!AE13="DVA Mesh",'Job Sheet'!BR13="1200 x 2200",'Job Sheet'!AF13="Black"),1,"")</f>
        <v/>
      </c>
      <c r="ABA7" s="73" t="str">
        <f>IF(AND('Job Sheet'!AE13="DVA Mesh",'Job Sheet'!BR13="1200 x 2200",'Job Sheet'!AF13="Brown"),1,"")</f>
        <v/>
      </c>
      <c r="ABB7" s="73" t="str">
        <f>IF(AND('Job Sheet'!AE13="DVA Mesh",'Job Sheet'!BR13="1200 x 2200",'Job Sheet'!AF13="Deep Ocean"),1,"")</f>
        <v/>
      </c>
      <c r="ABC7" s="73" t="str">
        <f>IF(AND('Job Sheet'!AE13="DVA Mesh",'Job Sheet'!BR13="1200 x 2200",'Job Sheet'!AF13="Jasper"),1,"")</f>
        <v/>
      </c>
      <c r="ABD7" s="73" t="str">
        <f>IF(AND('Job Sheet'!AE13="DVA Mesh",'Job Sheet'!BR13="1200 x 2200",'Job Sheet'!AF13="Paperbark"),1,"")</f>
        <v/>
      </c>
      <c r="ABE7" s="73" t="str">
        <f>IF(AND('Job Sheet'!AE13="DVA Mesh",'Job Sheet'!BR13="1200 x 2200",'Job Sheet'!AF13="Mist Green"),1,"")</f>
        <v/>
      </c>
      <c r="ABF7" s="73" t="str">
        <f>IF(AND('Job Sheet'!AE13="DVA Mesh",'Job Sheet'!BR13="1200 x 2200",'Job Sheet'!AF13="Primrose"),1,"")</f>
        <v/>
      </c>
      <c r="ABG7" s="73" t="str">
        <f>IF(AND('Job Sheet'!AE13="DVA Mesh",'Job Sheet'!BR13="1200 x 2200",'Job Sheet'!AF13="Ultra Silver"),1,"")</f>
        <v/>
      </c>
      <c r="ABH7" s="73" t="str">
        <f>IF(AND('Job Sheet'!AE13="DVA Mesh",'Job Sheet'!BR13="1200 x 2200",'Job Sheet'!AF13="Woodland Grey(Green Tone)"),1,"")</f>
        <v/>
      </c>
      <c r="ABI7" s="73" t="str">
        <f>IF(AND('Job Sheet'!AE13="DVA Mesh",'Job Sheet'!BR13="1200 x 2200",'Job Sheet'!AF13="Pearl White"),1,"")</f>
        <v/>
      </c>
      <c r="ABJ7" s="73" t="str">
        <f>IF(AND('Job Sheet'!AE13="DVA Mesh",'Job Sheet'!BR13="1200 x 2200",'Job Sheet'!AF13="Monument"),1,"")</f>
        <v/>
      </c>
      <c r="ABK7" s="73" t="str">
        <f>IF(AND('Job Sheet'!AE13="DVA Mesh",'Job Sheet'!BR13="1200 x 2200",'Job Sheet'!AF13="Surfmist"),1,"")</f>
        <v/>
      </c>
      <c r="ABL7" s="73" t="str">
        <f>IF(AND('Job Sheet'!AE13="DVA Mesh",'Job Sheet'!BR13="1200 x 2200",'Job Sheet'!AF13="Dune"),1,"")</f>
        <v/>
      </c>
      <c r="ABM7" s="73" t="str">
        <f>IF(AND('Job Sheet'!AE13="DVA Mesh",'Job Sheet'!BR13="1200 x 2200",'Job Sheet'!AF13="Custom Powdercoat"),1,"")</f>
        <v/>
      </c>
      <c r="ABN7" s="73" t="str">
        <f>IF(AND('Job Sheet'!AE13="DVA Mesh",'Job Sheet'!BR13="1200 x 2400",'Job Sheet'!AF13="Apo Grey"),1,"")</f>
        <v/>
      </c>
      <c r="ABO7" s="73" t="str">
        <f>IF(AND('Job Sheet'!AE13="DVA Mesh",'Job Sheet'!BR13="1200 x 2400",'Job Sheet'!AF13="Birch White"),1,"")</f>
        <v/>
      </c>
      <c r="ABP7" s="73" t="str">
        <f>IF(AND('Job Sheet'!AE13="DVA Mesh",'Job Sheet'!BR13="1200 x 2400",'Job Sheet'!AF13="Black"),1,"")</f>
        <v/>
      </c>
      <c r="ABQ7" s="73" t="str">
        <f>IF(AND('Job Sheet'!AE13="DVA Mesh",'Job Sheet'!BR13="1200 x 2400",'Job Sheet'!AF13="Brown"),1,"")</f>
        <v/>
      </c>
      <c r="ABR7" s="73" t="str">
        <f>IF(AND('Job Sheet'!AE13="DVA Mesh",'Job Sheet'!BR13="1200 x 2400",'Job Sheet'!AF13="Deep Ocean"),1,"")</f>
        <v/>
      </c>
      <c r="ABS7" s="73" t="str">
        <f>IF(AND('Job Sheet'!AE13="DVA Mesh",'Job Sheet'!BR13="1200 x 2400",'Job Sheet'!AF13="Jasper"),1,"")</f>
        <v/>
      </c>
      <c r="ABT7" s="73" t="str">
        <f>IF(AND('Job Sheet'!AE13="DVA Mesh",'Job Sheet'!BR13="1200 x 2400",'Job Sheet'!AF13="Paperbark"),1,"")</f>
        <v/>
      </c>
      <c r="ABU7" s="73" t="str">
        <f>IF(AND('Job Sheet'!AE13="DVA Mesh",'Job Sheet'!BR13="1200 x 2400",'Job Sheet'!AF13="Mist Green"),1,"")</f>
        <v/>
      </c>
      <c r="ABV7" s="73" t="str">
        <f>IF(AND('Job Sheet'!AE13="DVA Mesh",'Job Sheet'!BR13="1200 x 2400",'Job Sheet'!AF13="Primrose"),1,"")</f>
        <v/>
      </c>
      <c r="ABW7" s="73" t="str">
        <f>IF(AND('Job Sheet'!AE13="DVA Mesh",'Job Sheet'!BR13="1200 x 2400",'Job Sheet'!AF13="Ultra Silver"),1,"")</f>
        <v/>
      </c>
      <c r="ABX7" s="73" t="str">
        <f>IF(AND('Job Sheet'!AE13="DVA Mesh",'Job Sheet'!BR13="1200 x 2400",'Job Sheet'!AF13="Woodland Grey(Green Tone)"),1,"")</f>
        <v/>
      </c>
      <c r="ABY7" s="73" t="str">
        <f>IF(AND('Job Sheet'!AE13="DVA Mesh",'Job Sheet'!BR13="1200 x 2400",'Job Sheet'!AF13="Pearl White"),1,"")</f>
        <v/>
      </c>
      <c r="ABZ7" s="73" t="str">
        <f>IF(AND('Job Sheet'!AE13="DVA Mesh",'Job Sheet'!BR13="1200 x 2400",'Job Sheet'!AF13="Monument"),1,"")</f>
        <v/>
      </c>
      <c r="ACA7" s="73" t="str">
        <f>IF(AND('Job Sheet'!AE13="DVA Mesh",'Job Sheet'!BR13="1200 x 2400",'Job Sheet'!AF13="Surfmist"),1,"")</f>
        <v/>
      </c>
      <c r="ACB7" s="73" t="str">
        <f>IF(AND('Job Sheet'!AE13="DVA Mesh",'Job Sheet'!BR13="1200 x 2400",'Job Sheet'!AF13="Dune"),1,"")</f>
        <v/>
      </c>
      <c r="ACC7" s="73" t="str">
        <f>IF(AND('Job Sheet'!AE13="DVA Mesh",'Job Sheet'!BR13="1200 x 2400",'Job Sheet'!AF13="Custom Powdercoat"),1,"")</f>
        <v/>
      </c>
      <c r="ACD7" s="73" t="str">
        <f>IF('Job Sheet'!AE13="Fibreglass Mesh",CONCATENATE('Job Sheet'!BH13," x ",'Job Sheet'!BI13),"")</f>
        <v/>
      </c>
      <c r="ACE7" s="73" t="str">
        <f>IF('Job Sheet'!AE13="Aluminium Mesh",CONCATENATE('Job Sheet'!BH13," x ",'Job Sheet'!BI13),"")</f>
        <v/>
      </c>
      <c r="ACF7" s="73" t="str">
        <f>IF('Job Sheet'!AE13="Tuff Mesh",CONCATENATE('Job Sheet'!BH13," x ",'Job Sheet'!BI13),"")</f>
        <v/>
      </c>
      <c r="ACI7" s="73" t="str">
        <f>IF('Job Sheet'!AE13="Pet Mesh",CONCATENATE('Job Sheet'!BH13," x ",'Job Sheet'!BI13),"")</f>
        <v/>
      </c>
      <c r="ACJ7" s="73"/>
      <c r="ACK7" t="str">
        <f>IF(Guillotine!F14="SP13AB Apo Grey",1,"")</f>
        <v/>
      </c>
      <c r="ACL7" t="str">
        <f>IF(Guillotine!F14="SP13AB White Birch",1,"")</f>
        <v/>
      </c>
      <c r="ACM7" t="str">
        <f>IF(Guillotine!F14="SP13AB Black",1,"")</f>
        <v/>
      </c>
      <c r="ACN7" t="str">
        <f>IF(Guillotine!F14="SP13AB Brown",1,"")</f>
        <v/>
      </c>
      <c r="ACO7" t="str">
        <f>IF(Guillotine!F14="SP13AB Deep Ocean",1,"")</f>
        <v/>
      </c>
      <c r="ACP7" t="str">
        <f>IF(Guillotine!F14="SP13AB Jasper",1,"")</f>
        <v/>
      </c>
      <c r="ACQ7" t="str">
        <f>IF(Guillotine!F14="SP13AB Paperbark",1,"")</f>
        <v/>
      </c>
      <c r="ACR7" t="str">
        <f>IF(Guillotine!F14="SP13AB Mist Green",1,"")</f>
        <v/>
      </c>
      <c r="ACS7" t="str">
        <f>IF(Guillotine!F14="SP13AB Primrose",1,"")</f>
        <v/>
      </c>
      <c r="ACT7" t="str">
        <f>IF(Guillotine!F14="SP13AB Ultra Silver",1,"")</f>
        <v/>
      </c>
      <c r="ACU7" t="str">
        <f>IF(Guillotine!F14="SP13AB Woodland Grey(Green Tone)",1,"")</f>
        <v/>
      </c>
      <c r="ACV7" t="str">
        <f>IF(Guillotine!F14="SP13AB Pearl White",1,"")</f>
        <v/>
      </c>
      <c r="ACW7" t="str">
        <f>IF(Guillotine!F14="SP13AB Monument",1,"")</f>
        <v/>
      </c>
      <c r="ACX7" t="str">
        <f>IF(Guillotine!F14="SP13AB Surfmist",1,"")</f>
        <v/>
      </c>
      <c r="ACY7" t="str">
        <f>IF(Guillotine!F14="SP13AB Dune",1,"")</f>
        <v/>
      </c>
      <c r="ACZ7" t="str">
        <f>IF(Guillotine!F14="SP13AB Powdercoat",1,"")</f>
        <v/>
      </c>
      <c r="ADA7" t="str">
        <f>IF(Guillotine!F14="SP13BB Apo Grey",1,"")</f>
        <v/>
      </c>
      <c r="ADB7" t="str">
        <f>IF(Guillotine!F14="SP13BB White Birch",1,"")</f>
        <v/>
      </c>
      <c r="ADC7" t="str">
        <f>IF(Guillotine!F14="SP13BB Black",1,"")</f>
        <v/>
      </c>
      <c r="ADD7" t="str">
        <f>IF(Guillotine!F14="SP13BB Brown",1,"")</f>
        <v/>
      </c>
      <c r="ADE7" t="str">
        <f>IF(Guillotine!F14="SP13BB Deep Ocean",1,"")</f>
        <v/>
      </c>
      <c r="ADF7" t="str">
        <f>IF(Guillotine!F14="SP13BB Jasper",1,"")</f>
        <v/>
      </c>
      <c r="ADG7" t="str">
        <f>IF(Guillotine!F14="SP13BB Paperbark",1,"")</f>
        <v/>
      </c>
      <c r="ADH7" t="str">
        <f>IF(Guillotine!F14="SP13BB Mist Green",1,"")</f>
        <v/>
      </c>
      <c r="ADI7" t="str">
        <f>IF(Guillotine!F14="SP13BB Primrose",1,"")</f>
        <v/>
      </c>
      <c r="ADJ7" t="str">
        <f>IF(Guillotine!F14="SP13BB Ultra Silver",1,"")</f>
        <v/>
      </c>
      <c r="ADK7" t="str">
        <f>IF(Guillotine!F14="SP13BB Woodland Grey(Green Tone)",1,"")</f>
        <v/>
      </c>
      <c r="ADL7" t="str">
        <f>IF(Guillotine!F14="SP13BB Pearl White",1,"")</f>
        <v/>
      </c>
      <c r="ADM7" t="str">
        <f>IF(Guillotine!F14="SP13BB Monument",1,"")</f>
        <v/>
      </c>
      <c r="ADN7" t="str">
        <f>IF(Guillotine!F14="SP13BB Surfmist",1,"")</f>
        <v/>
      </c>
      <c r="ADO7" t="str">
        <f>IF(Guillotine!F14="SP13BB Dune",1,"")</f>
        <v/>
      </c>
      <c r="ADP7" t="str">
        <f>IF(Guillotine!F14="SP13BB Powdercoat",1,"")</f>
        <v/>
      </c>
      <c r="ADQ7" t="str">
        <f>IF(Guillotine!F14="SP14AB Apo Grey",1,"")</f>
        <v/>
      </c>
      <c r="ADR7" t="str">
        <f>IF(Guillotine!F14="SP14AB White Birch",1,"")</f>
        <v/>
      </c>
      <c r="ADS7" t="str">
        <f>IF(Guillotine!F14="SP14AB Black",1,"")</f>
        <v/>
      </c>
      <c r="ADT7" t="str">
        <f>IF(Guillotine!F14="SP14AB Brown",1,"")</f>
        <v/>
      </c>
      <c r="ADU7" t="str">
        <f>IF(Guillotine!F14="SP14AB Deep Ocean",1,"")</f>
        <v/>
      </c>
      <c r="ADV7" t="str">
        <f>IF(Guillotine!F14="SP14AB Jasper",1,"")</f>
        <v/>
      </c>
      <c r="ADW7" t="str">
        <f>IF(Guillotine!F14="SP14AB Paperbark",1,"")</f>
        <v/>
      </c>
      <c r="ADX7" t="str">
        <f>IF(Guillotine!F14="SP14AB Mist Green",1,"")</f>
        <v/>
      </c>
      <c r="ADY7" t="str">
        <f>IF(Guillotine!F14="SP14AB Primrose",1,"")</f>
        <v/>
      </c>
      <c r="ADZ7" t="str">
        <f>IF(Guillotine!F14="SP14AB Ultra Silver",1,"")</f>
        <v/>
      </c>
      <c r="AEA7" t="str">
        <f>IF(Guillotine!F14="SP14AB Woodland Grey(Green Tone)",1,"")</f>
        <v/>
      </c>
      <c r="AEB7" t="str">
        <f>IF(Guillotine!F14="SP14AB Pearl White",1,"")</f>
        <v/>
      </c>
      <c r="AEC7" t="str">
        <f>IF(Guillotine!F14="SP14AB Monument",1,"")</f>
        <v/>
      </c>
      <c r="AED7" t="str">
        <f>IF(Guillotine!F14="SP14AB Surfmist",1,"")</f>
        <v/>
      </c>
      <c r="AEE7" t="str">
        <f>IF(Guillotine!F14="SP14AB Dune",1,"")</f>
        <v/>
      </c>
      <c r="AEF7" t="str">
        <f>IF(Guillotine!F14="SP14AB Powdercoat",1,"")</f>
        <v/>
      </c>
      <c r="AEG7" t="str">
        <f>IF(Guillotine!F14="SP17AB Apo Grey",1,"")</f>
        <v/>
      </c>
      <c r="AEH7" t="str">
        <f>IF(Guillotine!F14="SP17AB White Birch",1,"")</f>
        <v/>
      </c>
      <c r="AEI7" t="str">
        <f>IF(Guillotine!F14="SP17AB Black",1,"")</f>
        <v/>
      </c>
      <c r="AEJ7" t="str">
        <f>IF(Guillotine!F14="SP17AB Brown",1,"")</f>
        <v/>
      </c>
      <c r="AEK7" t="str">
        <f>IF(Guillotine!F14="SP17AB Deep Ocean",1,"")</f>
        <v/>
      </c>
      <c r="AEL7" t="str">
        <f>IF(Guillotine!F14="SP17AB Jasper",1,"")</f>
        <v/>
      </c>
      <c r="AEM7" t="str">
        <f>IF(Guillotine!F14="SP17AB Paperbark",1,"")</f>
        <v/>
      </c>
      <c r="AEN7" t="str">
        <f>IF(Guillotine!F14="SP17AB Mist Green",1,"")</f>
        <v/>
      </c>
      <c r="AEO7" t="str">
        <f>IF(Guillotine!F14="SP17AB Primrose",1,"")</f>
        <v/>
      </c>
      <c r="AEP7" t="str">
        <f>IF(Guillotine!F14="SP17AB Ultra Silver",1,"")</f>
        <v/>
      </c>
      <c r="AEQ7" t="str">
        <f>IF(Guillotine!F14="SP17AB Woodland Grey(Green Tone)",1,"")</f>
        <v/>
      </c>
      <c r="AER7" t="str">
        <f>IF(Guillotine!F14="SP17AB Pearl White",1,"")</f>
        <v/>
      </c>
      <c r="AES7" t="str">
        <f>IF(Guillotine!F14="SP17AB Monument",1,"")</f>
        <v/>
      </c>
      <c r="AET7" t="str">
        <f>IF(Guillotine!F14="SP17AB Surfmist",1,"")</f>
        <v/>
      </c>
      <c r="AEU7" t="str">
        <f>IF(Guillotine!F14="SP17AB Dune",1,"")</f>
        <v/>
      </c>
      <c r="AEV7" t="str">
        <f>IF(Guillotine!F14="SP17AB Powdercoat",1,"")</f>
        <v/>
      </c>
      <c r="AEW7" t="str">
        <f>IF(Guillotine!F14="SP27AB Apo Grey",1,"")</f>
        <v/>
      </c>
      <c r="AEX7" t="str">
        <f>IF(Guillotine!F14="SP27AB White Birch",1,"")</f>
        <v/>
      </c>
      <c r="AEY7" t="str">
        <f>IF(Guillotine!F14="SP27AB Black",1,"")</f>
        <v/>
      </c>
      <c r="AEZ7" t="str">
        <f>IF(Guillotine!F14="SP27AB Brown",1,"")</f>
        <v/>
      </c>
      <c r="AFA7" t="str">
        <f>IF(Guillotine!F14="SP27AB Deep Ocean",1,"")</f>
        <v/>
      </c>
      <c r="AFB7" t="str">
        <f>IF(Guillotine!F14="SP27AB Jasper",1,"")</f>
        <v/>
      </c>
      <c r="AFC7" t="str">
        <f>IF(Guillotine!F14="SP27AB Paperbark",1,"")</f>
        <v/>
      </c>
      <c r="AFD7" t="str">
        <f>IF(Guillotine!F14="SP27AB Mist Green",1,"")</f>
        <v/>
      </c>
      <c r="AFE7" t="str">
        <f>IF(Guillotine!F14="SP27AB Primrose",1,"")</f>
        <v/>
      </c>
      <c r="AFF7" t="str">
        <f>IF(Guillotine!F14="SP27AB Ultra Silver",1,"")</f>
        <v/>
      </c>
      <c r="AFG7" t="str">
        <f>IF(Guillotine!F14="SP27AB Woodland Grey(Green Tone)",1,"")</f>
        <v/>
      </c>
      <c r="AFH7" t="str">
        <f>IF(Guillotine!F14="SP27AB Pearl White",1,"")</f>
        <v/>
      </c>
      <c r="AFI7" t="str">
        <f>IF(Guillotine!F14="SP27AB Monument",1,"")</f>
        <v/>
      </c>
      <c r="AFJ7" t="str">
        <f>IF(Guillotine!F14="SP27AB Surfmist",1,"")</f>
        <v/>
      </c>
      <c r="AFK7" t="str">
        <f>IF(Guillotine!F14="SP27AB Dune",1,"")</f>
        <v/>
      </c>
      <c r="AFL7" t="str">
        <f>IF(Guillotine!F14="SP27AB Powdercoat",1,"")</f>
        <v/>
      </c>
      <c r="AFM7" t="str">
        <f>IF(Guillotine!F14="SP29AB Apo Grey",1,"")</f>
        <v/>
      </c>
      <c r="AFN7" t="str">
        <f>IF(Guillotine!F14="SP29AB White Birch",1,"")</f>
        <v/>
      </c>
      <c r="AFO7" t="str">
        <f>IF(Guillotine!F14="SP29AB Black",1,"")</f>
        <v/>
      </c>
      <c r="AFP7" t="str">
        <f>IF(Guillotine!F14="SP29AB Brown",1,"")</f>
        <v/>
      </c>
      <c r="AFQ7" t="str">
        <f>IF(Guillotine!F14="SP29AB Deep Ocean",1,"")</f>
        <v/>
      </c>
      <c r="AFR7" t="str">
        <f>IF(Guillotine!F14="SP29AB Jasper",1,"")</f>
        <v/>
      </c>
      <c r="AFS7" t="str">
        <f>IF(Guillotine!F14="SP29AB Paperbark",1,"")</f>
        <v/>
      </c>
      <c r="AFT7" t="str">
        <f>IF(Guillotine!F14="SP29AB Mist Green",1,"")</f>
        <v/>
      </c>
      <c r="AFU7" t="str">
        <f>IF(Guillotine!F14="SP29AB Primrose",1,"")</f>
        <v/>
      </c>
      <c r="AFV7" t="str">
        <f>IF(Guillotine!F14="SP29AB Ultra Silver",1,"")</f>
        <v/>
      </c>
      <c r="AFW7" t="str">
        <f>IF(Guillotine!F14="SP29AB Woodland Grey(Green Tone)",1,"")</f>
        <v/>
      </c>
      <c r="AFX7" t="str">
        <f>IF(Guillotine!F14="SP29AB Pearl White",1,"")</f>
        <v/>
      </c>
      <c r="AFY7" t="str">
        <f>IF(Guillotine!F14="SP29AB Monument",1,"")</f>
        <v/>
      </c>
      <c r="AFZ7" t="str">
        <f>IF(Guillotine!F14="SP29AB Surfmist",1,"")</f>
        <v/>
      </c>
      <c r="AGA7" t="str">
        <f>IF(Guillotine!F14="SP29AB Dune",1,"")</f>
        <v/>
      </c>
      <c r="AGB7" t="str">
        <f>IF(Guillotine!F14="SP29AB Powdercoat",1,"")</f>
        <v/>
      </c>
      <c r="AGC7" t="str">
        <f>IF(Guillotine!F14="SP34AB Apo Grey",1,"")</f>
        <v/>
      </c>
      <c r="AGD7" t="str">
        <f>IF(Guillotine!F14="SP34AB White Birch",1,"")</f>
        <v/>
      </c>
      <c r="AGE7" t="str">
        <f>IF(Guillotine!F14="SP34AB Black",1,"")</f>
        <v/>
      </c>
      <c r="AGF7" t="str">
        <f>IF(Guillotine!F14="SP34AB Brown",1,"")</f>
        <v/>
      </c>
      <c r="AGG7" t="str">
        <f>IF(Guillotine!F14="SP34AB Deep Ocean",1,"")</f>
        <v/>
      </c>
      <c r="AGH7" t="str">
        <f>IF(Guillotine!F14="SP34AB Jasper",1,"")</f>
        <v/>
      </c>
      <c r="AGI7" t="str">
        <f>IF(Guillotine!F14="SP34AB Paperbark",1,"")</f>
        <v/>
      </c>
      <c r="AGJ7" t="str">
        <f>IF(Guillotine!F14="SP34AB Mist Green",1,"")</f>
        <v/>
      </c>
      <c r="AGK7" t="str">
        <f>IF(Guillotine!F14="SP34AB Primrose",1,"")</f>
        <v/>
      </c>
      <c r="AGL7" t="str">
        <f>IF(Guillotine!F14="SP34AB Ultra Silver",1,"")</f>
        <v/>
      </c>
      <c r="AGM7" t="str">
        <f>IF(Guillotine!F14="SP34AB Woodland Grey(Green Tone)",1,"")</f>
        <v/>
      </c>
      <c r="AGN7" t="str">
        <f>IF(Guillotine!F14="SP34AB Pearl White",1,"")</f>
        <v/>
      </c>
      <c r="AGO7" t="str">
        <f>IF(Guillotine!F14="SP34AB Monument",1,"")</f>
        <v/>
      </c>
      <c r="AGP7" t="str">
        <f>IF(Guillotine!F14="SP34AB Surfmist",1,"")</f>
        <v/>
      </c>
      <c r="AGQ7" t="str">
        <f>IF(Guillotine!F14="SP34AB Dune",1,"")</f>
        <v/>
      </c>
      <c r="AGR7" t="str">
        <f>IF(Guillotine!F14="SP34AB Powdercoat",1,"")</f>
        <v/>
      </c>
      <c r="AGS7" t="str">
        <f>IF(Guillotine!F14="SP37AB Apo Grey",1,"")</f>
        <v/>
      </c>
      <c r="AGT7" t="str">
        <f>IF(Guillotine!F14="SP37AB White Birch",1,"")</f>
        <v/>
      </c>
      <c r="AGU7" t="str">
        <f>IF(Guillotine!F14="SP37AB Black",1,"")</f>
        <v/>
      </c>
      <c r="AGV7" t="str">
        <f>IF(Guillotine!F14="SP37AB Brown",1,"")</f>
        <v/>
      </c>
      <c r="AGW7" t="str">
        <f>IF(Guillotine!F14="SP37AB Deep Ocean",1,"")</f>
        <v/>
      </c>
      <c r="AGX7" t="str">
        <f>IF(Guillotine!F14="SP37AB Jasper",1,"")</f>
        <v/>
      </c>
      <c r="AGY7" t="str">
        <f>IF(Guillotine!F14="SP37AB Paperbark",1,"")</f>
        <v/>
      </c>
      <c r="AGZ7" t="str">
        <f>IF(Guillotine!F14="SP37AB Mist Green",1,"")</f>
        <v/>
      </c>
      <c r="AHA7" t="str">
        <f>IF(Guillotine!F14="SP37AB Primrose",1,"")</f>
        <v/>
      </c>
      <c r="AHB7" t="str">
        <f>IF(Guillotine!F14="SP37AB Ultra Silver",1,"")</f>
        <v/>
      </c>
      <c r="AHC7" t="str">
        <f>IF(Guillotine!F14="SP37AB Woodland Grey(Green Tone)",1,"")</f>
        <v/>
      </c>
      <c r="AHD7" t="str">
        <f>IF(Guillotine!F14="SP37AB Pearl White",1,"")</f>
        <v/>
      </c>
      <c r="AHE7" t="str">
        <f>IF(Guillotine!F14="SP37AB Monument",1,"")</f>
        <v/>
      </c>
      <c r="AHF7" t="str">
        <f>IF(Guillotine!F14="SP37AB Surfmist",1,"")</f>
        <v/>
      </c>
      <c r="AHG7" t="str">
        <f>IF(Guillotine!F14="SP37AB Dune",1,"")</f>
        <v/>
      </c>
      <c r="AHH7" t="str">
        <f>IF(Guillotine!F14="SP37AB Powdercoat",1,"")</f>
        <v/>
      </c>
      <c r="AHI7" t="str">
        <f>IF(Guillotine!F14="SP52 Apo Grey",1,"")</f>
        <v/>
      </c>
      <c r="AHJ7" t="str">
        <f>IF(Guillotine!F14="SP52 White Birch",1,"")</f>
        <v/>
      </c>
      <c r="AHK7" t="str">
        <f>IF(Guillotine!F14="SP52 Black",1,"")</f>
        <v/>
      </c>
      <c r="AHL7" t="str">
        <f>IF(Guillotine!F14="SP52 Brown",1,"")</f>
        <v/>
      </c>
      <c r="AHM7" t="str">
        <f>IF(Guillotine!F14="SP52 Deep Ocean",1,"")</f>
        <v/>
      </c>
      <c r="AHN7" t="str">
        <f>IF(Guillotine!F14="SP52 Jasper",1,"")</f>
        <v/>
      </c>
      <c r="AHO7" t="str">
        <f>IF(Guillotine!F14="SP52 Paperbark",1,"")</f>
        <v/>
      </c>
      <c r="AHP7" t="str">
        <f>IF(Guillotine!F14="SP52 Mist Green",1,"")</f>
        <v/>
      </c>
      <c r="AHQ7" t="str">
        <f>IF(Guillotine!F14="SP52 Primrose",1,"")</f>
        <v/>
      </c>
      <c r="AHR7" t="str">
        <f>IF(Guillotine!F14="SP52 Ultra Silver",1,"")</f>
        <v/>
      </c>
      <c r="AHS7" t="str">
        <f>IF(Guillotine!F14="SP52 Woodland Grey(Green Tone)",1,"")</f>
        <v/>
      </c>
      <c r="AHT7" t="str">
        <f>IF(Guillotine!F14="SP52 Pearl White",1,"")</f>
        <v/>
      </c>
      <c r="AHU7" t="str">
        <f>IF(Guillotine!F14="SP52 Monument",1,"")</f>
        <v/>
      </c>
      <c r="AHV7" t="str">
        <f>IF(Guillotine!F14="SP52 Surfmist",1,"")</f>
        <v/>
      </c>
      <c r="AHW7" t="str">
        <f>IF(Guillotine!F14="SP52 Dune",1,"")</f>
        <v/>
      </c>
      <c r="AHX7" t="str">
        <f>IF(Guillotine!F14="SP52 Powdercoat",1,"")</f>
        <v/>
      </c>
      <c r="AHY7" t="str">
        <f>IF(Guillotine!F14="SP53 Apo Grey",1,"")</f>
        <v/>
      </c>
      <c r="AHZ7" t="str">
        <f>IF(Guillotine!F14="SP53 White Birch",1,"")</f>
        <v/>
      </c>
      <c r="AIA7" t="str">
        <f>IF(Guillotine!F14="SP53 Black",1,"")</f>
        <v/>
      </c>
      <c r="AIB7" t="str">
        <f>IF(Guillotine!F14="SP53 Brown",1,"")</f>
        <v/>
      </c>
      <c r="AIC7" t="str">
        <f>IF(Guillotine!F14="SP53 Deep Ocean",1,"")</f>
        <v/>
      </c>
      <c r="AID7" t="str">
        <f>IF(Guillotine!F14="SP53 Jasper",1,"")</f>
        <v/>
      </c>
      <c r="AIE7" t="str">
        <f>IF(Guillotine!F14="SP53 Paperbark",1,"")</f>
        <v/>
      </c>
      <c r="AIF7" t="str">
        <f>IF(Guillotine!F14="SP53 Mist Green",1,"")</f>
        <v/>
      </c>
      <c r="AIG7" t="str">
        <f>IF(Guillotine!F14="SP53 Primrose",1,"")</f>
        <v/>
      </c>
      <c r="AIH7" t="str">
        <f>IF(Guillotine!F14="SP53 Ultra Silver",1,"")</f>
        <v/>
      </c>
      <c r="AII7" t="str">
        <f>IF(Guillotine!F14="SP53 Woodland Grey(Green Tone)",1,"")</f>
        <v/>
      </c>
      <c r="AIJ7" t="str">
        <f>IF(Guillotine!F14="SP53 Pearl White",1,"")</f>
        <v/>
      </c>
      <c r="AIK7" t="str">
        <f>IF(Guillotine!F14="SP53 Monument",1,"")</f>
        <v/>
      </c>
      <c r="AIL7" t="str">
        <f>IF(Guillotine!F14="SP53 Surfmist",1,"")</f>
        <v/>
      </c>
      <c r="AIM7" t="str">
        <f>IF(Guillotine!F14="SP53 Dune",1,"")</f>
        <v/>
      </c>
      <c r="AIN7" t="str">
        <f>IF(Guillotine!F14="SP53 Powdercoat",1,"")</f>
        <v/>
      </c>
      <c r="AIO7" t="str">
        <f>IF(Guillotine!F14="SP55 Apo Grey",1,"")</f>
        <v/>
      </c>
      <c r="AIP7" t="str">
        <f>IF(Guillotine!F14="SP55 White Birch",1,"")</f>
        <v/>
      </c>
      <c r="AIQ7" t="str">
        <f>IF(Guillotine!F14="SP55 Black",1,"")</f>
        <v/>
      </c>
      <c r="AIR7" t="str">
        <f>IF(Guillotine!F14="SP55 Brown",1,"")</f>
        <v/>
      </c>
      <c r="AIS7" t="str">
        <f>IF(Guillotine!F14="SP55 Deep Ocean",1,"")</f>
        <v/>
      </c>
      <c r="AIT7" t="str">
        <f>IF(Guillotine!F14="SP55 Jasper",1,"")</f>
        <v/>
      </c>
      <c r="AIU7" t="str">
        <f>IF(Guillotine!F14="SP55 Paperbark",1,"")</f>
        <v/>
      </c>
      <c r="AIV7" t="str">
        <f>IF(Guillotine!F14="SP55 Mist Green",1,"")</f>
        <v/>
      </c>
      <c r="AIW7" t="str">
        <f>IF(Guillotine!F14="SP55 Primrose",1,"")</f>
        <v/>
      </c>
      <c r="AIX7" t="str">
        <f>IF(Guillotine!F14="SP55 Ultra Silver",1,"")</f>
        <v/>
      </c>
      <c r="AIY7" t="str">
        <f>IF(Guillotine!F14="SP55 Woodland Grey(Green Tone)",1,"")</f>
        <v/>
      </c>
      <c r="AIZ7" t="str">
        <f>IF(Guillotine!F14="SP55 Pearl White",1,"")</f>
        <v/>
      </c>
      <c r="AJA7" t="str">
        <f>IF(Guillotine!F14="SP55 Monument",1,"")</f>
        <v/>
      </c>
      <c r="AJB7" t="str">
        <f>IF(Guillotine!F14="SP55 Surfmist",1,"")</f>
        <v/>
      </c>
      <c r="AJC7" t="str">
        <f>IF(Guillotine!F14="SP55 Dune",1,"")</f>
        <v/>
      </c>
      <c r="AJD7" t="str">
        <f>IF(Guillotine!F14="SP55 Powdercoat",1,"")</f>
        <v/>
      </c>
      <c r="AJE7" t="str">
        <f>IF(Guillotine!F14="SP56 Apo Grey",1,"")</f>
        <v/>
      </c>
      <c r="AJF7" t="str">
        <f>IF(Guillotine!F14="SP56 White Birch",1,"")</f>
        <v/>
      </c>
      <c r="AJG7" t="str">
        <f>IF(Guillotine!F14="SP56 Black",1,"")</f>
        <v/>
      </c>
      <c r="AJH7" t="str">
        <f>IF(Guillotine!F14="SP56 Brown",1,"")</f>
        <v/>
      </c>
      <c r="AJI7" t="str">
        <f>IF(Guillotine!F14="SP56 Deep Ocean",1,"")</f>
        <v/>
      </c>
      <c r="AJJ7" t="str">
        <f>IF(Guillotine!F14="SP56 Jasper",1,"")</f>
        <v/>
      </c>
      <c r="AJK7" t="str">
        <f>IF(Guillotine!F14="SP56 Paperbark",1,"")</f>
        <v/>
      </c>
      <c r="AJL7" t="str">
        <f>IF(Guillotine!F14="SP56 Mist Green",1,"")</f>
        <v/>
      </c>
      <c r="AJM7" t="str">
        <f>IF(Guillotine!F14="SP56 Primrose",1,"")</f>
        <v/>
      </c>
      <c r="AJN7" t="str">
        <f>IF(Guillotine!F14="SP56 Ultra Silver",1,"")</f>
        <v/>
      </c>
      <c r="AJO7" t="str">
        <f>IF(Guillotine!F14="SP56 Woodland Grey(Green Tone)",1,"")</f>
        <v/>
      </c>
      <c r="AJP7" t="str">
        <f>IF(Guillotine!F14="SP56 Pearl White",1,"")</f>
        <v/>
      </c>
      <c r="AJQ7" t="str">
        <f>IF(Guillotine!F14="SP56 Monument",1,"")</f>
        <v/>
      </c>
      <c r="AJR7" t="str">
        <f>IF(Guillotine!F14="SP56 Surfmist",1,"")</f>
        <v/>
      </c>
      <c r="AJS7" t="str">
        <f>IF(Guillotine!F14="SP56 Dune",1,"")</f>
        <v/>
      </c>
      <c r="AJT7" t="str">
        <f>IF(Guillotine!F14="SP56 Powdercoat",1,"")</f>
        <v/>
      </c>
      <c r="AJU7" t="str">
        <f>IF(Guillotine!F14="SP65 Apo Grey",1,"")</f>
        <v/>
      </c>
      <c r="AJV7" t="str">
        <f>IF(Guillotine!F14="SP65 White Birch",1,"")</f>
        <v/>
      </c>
      <c r="AJW7" t="str">
        <f>IF(Guillotine!F14="SP65 Black",1,"")</f>
        <v/>
      </c>
      <c r="AJX7" t="str">
        <f>IF(Guillotine!F14="SP65 Brown",1,"")</f>
        <v/>
      </c>
      <c r="AJY7" t="str">
        <f>IF(Guillotine!F14="SP65 Deep Ocean",1,"")</f>
        <v/>
      </c>
      <c r="AJZ7" t="str">
        <f>IF(Guillotine!F14="SP65 Jasper",1,"")</f>
        <v/>
      </c>
      <c r="AKA7" t="str">
        <f>IF(Guillotine!F14="SP65 Paperbark",1,"")</f>
        <v/>
      </c>
      <c r="AKB7" t="str">
        <f>IF(Guillotine!F14="SP65 Mist Green",1,"")</f>
        <v/>
      </c>
      <c r="AKC7" t="str">
        <f>IF(Guillotine!F14="SP65 Primrose",1,"")</f>
        <v/>
      </c>
      <c r="AKD7" t="str">
        <f>IF(Guillotine!F14="SP65 Ultra Silver",1,"")</f>
        <v/>
      </c>
      <c r="AKE7" t="str">
        <f>IF(Guillotine!F14="SP65 Woodland Grey(Green Tone)",1,"")</f>
        <v/>
      </c>
      <c r="AKF7" t="str">
        <f>IF(Guillotine!F14="SP65 Pearl White",1,"")</f>
        <v/>
      </c>
      <c r="AKG7" t="str">
        <f>IF(Guillotine!F14="SP65 Monument",1,"")</f>
        <v/>
      </c>
      <c r="AKH7" t="str">
        <f>IF(Guillotine!F14="SP65 Surfmist",1,"")</f>
        <v/>
      </c>
      <c r="AKI7" t="str">
        <f>IF(Guillotine!F14="SP65 Dune",1,"")</f>
        <v/>
      </c>
      <c r="AKJ7" t="str">
        <f>IF(Guillotine!F14="SP65 Powdercoat",1,"")</f>
        <v/>
      </c>
      <c r="AKK7" t="str">
        <f>IF(Guillotine!F14="SP72 Apo Grey",1,"")</f>
        <v/>
      </c>
      <c r="AKL7" t="str">
        <f>IF(Guillotine!F14="SP72 White Birch",1,"")</f>
        <v/>
      </c>
      <c r="AKM7" t="str">
        <f>IF(Guillotine!F14="SP72 Black",1,"")</f>
        <v/>
      </c>
      <c r="AKN7" t="str">
        <f>IF(Guillotine!F14="SP72 Brown",1,"")</f>
        <v/>
      </c>
      <c r="AKO7" t="str">
        <f>IF(Guillotine!F14="SP72 Deep Ocean",1,"")</f>
        <v/>
      </c>
      <c r="AKP7" t="str">
        <f>IF(Guillotine!F14="SP72 Jasper",1,"")</f>
        <v/>
      </c>
      <c r="AKQ7" t="str">
        <f>IF(Guillotine!F14="SP72 Paperbark",1,"")</f>
        <v/>
      </c>
      <c r="AKR7" t="str">
        <f>IF(Guillotine!F14="SP72 Mist Green",1,"")</f>
        <v/>
      </c>
      <c r="AKS7" t="str">
        <f>IF(Guillotine!F14="SP72 Primrose",1,"")</f>
        <v/>
      </c>
      <c r="AKT7" t="str">
        <f>IF(Guillotine!F14="SP72 Ultra Silver",1,"")</f>
        <v/>
      </c>
      <c r="AKU7" t="str">
        <f>IF(Guillotine!F14="SP72 Woodland Grey(Green Tone)",1,"")</f>
        <v/>
      </c>
      <c r="AKV7" t="str">
        <f>IF(Guillotine!F14="SP72 Pearl White",1,"")</f>
        <v/>
      </c>
      <c r="AKW7" t="str">
        <f>IF(Guillotine!F14="SP72 Monument",1,"")</f>
        <v/>
      </c>
      <c r="AKX7" t="str">
        <f>IF(Guillotine!F14="SP72 Surfmist",1,"")</f>
        <v/>
      </c>
      <c r="AKY7" t="str">
        <f>IF(Guillotine!F14="SP72 Dune",1,"")</f>
        <v/>
      </c>
      <c r="AKZ7" t="str">
        <f>IF(Guillotine!F14="SP72 Powdercoat",1,"")</f>
        <v/>
      </c>
      <c r="ALA7" t="str">
        <f>IF(Guillotine!F14="SP74 Apo Grey",1,"")</f>
        <v/>
      </c>
      <c r="ALB7" t="str">
        <f>IF(Guillotine!F14="SP74 White Birch",1,"")</f>
        <v/>
      </c>
      <c r="ALC7" t="str">
        <f>IF(Guillotine!F14="SP74 Black",1,"")</f>
        <v/>
      </c>
      <c r="ALD7" t="str">
        <f>IF(Guillotine!F14="SP74 Brown",1,"")</f>
        <v/>
      </c>
      <c r="ALE7" t="str">
        <f>IF(Guillotine!F14="SP74 Deep Ocean",1,"")</f>
        <v/>
      </c>
      <c r="ALF7" t="str">
        <f>IF(Guillotine!F14="SP74 Jasper",1,"")</f>
        <v/>
      </c>
      <c r="ALG7" t="str">
        <f>IF(Guillotine!F14="SP74 Paperbark",1,"")</f>
        <v/>
      </c>
      <c r="ALH7" t="str">
        <f>IF(Guillotine!F14="SP74 Mist Green",1,"")</f>
        <v/>
      </c>
      <c r="ALI7" t="str">
        <f>IF(Guillotine!F14="SP74 Primrose",1,"")</f>
        <v/>
      </c>
      <c r="ALJ7" t="str">
        <f>IF(Guillotine!F14="SP74 Ultra Silver",1,"")</f>
        <v/>
      </c>
      <c r="ALK7" t="str">
        <f>IF(Guillotine!F14="SP74 Woodland Grey(Green Tone)",1,"")</f>
        <v/>
      </c>
      <c r="ALL7" t="str">
        <f>IF(Guillotine!F14="SP74 Pearl White",1,"")</f>
        <v/>
      </c>
      <c r="ALM7" t="str">
        <f>IF(Guillotine!F14="SP74 Monument",1,"")</f>
        <v/>
      </c>
      <c r="ALN7" t="str">
        <f>IF(Guillotine!F14="SP74 Surfmist",1,"")</f>
        <v/>
      </c>
      <c r="ALO7" t="str">
        <f>IF(Guillotine!F14="SP74 Dune",1,"")</f>
        <v/>
      </c>
      <c r="ALP7" t="str">
        <f>IF(Guillotine!F14="SP74 Powdercoat",1,"")</f>
        <v/>
      </c>
      <c r="ALQ7" t="str">
        <f>IF(Guillotine!F14="SP78 Apo Grey",1,"")</f>
        <v/>
      </c>
      <c r="ALR7" t="str">
        <f>IF(Guillotine!F14="SP78 White Birch",1,"")</f>
        <v/>
      </c>
      <c r="ALS7" t="str">
        <f>IF(Guillotine!F14="SP78 Black",1,"")</f>
        <v/>
      </c>
      <c r="ALT7" t="str">
        <f>IF(Guillotine!F14="SP78 Brown",1,"")</f>
        <v/>
      </c>
      <c r="ALU7" t="str">
        <f>IF(Guillotine!F14="SP78 Deep Ocean",1,"")</f>
        <v/>
      </c>
      <c r="ALV7" t="str">
        <f>IF(Guillotine!F14="SP78 Jasper",1,"")</f>
        <v/>
      </c>
      <c r="ALW7" t="str">
        <f>IF(Guillotine!F14="SP78 Paperbark",1,"")</f>
        <v/>
      </c>
      <c r="ALX7" t="str">
        <f>IF(Guillotine!F14="SP78 Mist Green",1,"")</f>
        <v/>
      </c>
      <c r="ALY7" t="str">
        <f>IF(Guillotine!F14="SP78 Primrose",1,"")</f>
        <v/>
      </c>
      <c r="ALZ7" t="str">
        <f>IF(Guillotine!F14="SP78 Ultra Silver",1,"")</f>
        <v/>
      </c>
      <c r="AMA7" t="str">
        <f>IF(Guillotine!F14="SP78 Woodland Grey(Green Tone)",1,"")</f>
        <v/>
      </c>
      <c r="AMB7" t="str">
        <f>IF(Guillotine!F14="SP78 Pearl White",1,"")</f>
        <v/>
      </c>
      <c r="AMC7" t="str">
        <f>IF(Guillotine!F14="SP78 Monument",1,"")</f>
        <v/>
      </c>
      <c r="AMD7" t="str">
        <f>IF(Guillotine!F14="SP78 Surfmist",1,"")</f>
        <v/>
      </c>
      <c r="AME7" t="str">
        <f>IF(Guillotine!F14="SP78 Dune",1,"")</f>
        <v/>
      </c>
      <c r="AMF7" t="str">
        <f>IF(Guillotine!F14="SP78 Powdercoat",1,"")</f>
        <v/>
      </c>
    </row>
    <row r="8" spans="4:1020" ht="13.2" customHeight="1">
      <c r="D8" t="str">
        <f>IF(Data!AV14="","",CONCATENATE(Data!BC$5,".",Data!BD$5))</f>
        <v/>
      </c>
      <c r="E8" t="str">
        <f>IF(D8="","",Data!AW14)</f>
        <v/>
      </c>
      <c r="F8" t="str">
        <f>IF(D8="","",Data!AV14)</f>
        <v/>
      </c>
      <c r="G8" t="str">
        <f t="shared" si="1"/>
        <v/>
      </c>
      <c r="H8" t="str">
        <f>IF(D8="","",Data!BF$5)</f>
        <v/>
      </c>
      <c r="I8" t="str">
        <f>IF(D8="","",Data!AX$5)</f>
        <v/>
      </c>
      <c r="J8" s="73" t="str">
        <f>IF(AND('Mitred Cutting'!C14="Standard",'Mitred Cutting'!D14="APO Grey"),(('Job Sheet'!BH14+'Job Sheet'!BI14)*2),"")</f>
        <v/>
      </c>
      <c r="K8" s="73" t="str">
        <f>IF(AND('Mitred Cutting'!C14="Standard",'Mitred Cutting'!D14="White Birch"),(('Job Sheet'!BH14+'Job Sheet'!BI14)*2),"")</f>
        <v/>
      </c>
      <c r="L8" s="73" t="str">
        <f>IF(AND('Mitred Cutting'!C14="Standard",'Mitred Cutting'!D14="Black"),(('Job Sheet'!BH14+'Job Sheet'!BI14)*2),"")</f>
        <v/>
      </c>
      <c r="M8" s="73" t="str">
        <f>IF(AND('Mitred Cutting'!C14="Standard",'Mitred Cutting'!D14="Brown"),(('Job Sheet'!BH14+'Job Sheet'!BI14)*2),"")</f>
        <v/>
      </c>
      <c r="N8" s="73" t="str">
        <f>IF(AND('Mitred Cutting'!C14="Standard",'Mitred Cutting'!D14="Deep Ocean"),(('Job Sheet'!BH14+'Job Sheet'!BI14)*2),"")</f>
        <v/>
      </c>
      <c r="O8" s="73" t="str">
        <f>IF(AND('Mitred Cutting'!C14="Standard",'Mitred Cutting'!D14="Jasper"),(('Job Sheet'!BH14+'Job Sheet'!BI14)*2),"")</f>
        <v/>
      </c>
      <c r="P8" s="73" t="str">
        <f>IF(AND('Mitred Cutting'!C14="Standard",'Mitred Cutting'!D14="Paperbark"),(('Job Sheet'!BH14+'Job Sheet'!BI14)*2),"")</f>
        <v/>
      </c>
      <c r="Q8" s="73" t="str">
        <f>IF(AND('Mitred Cutting'!C14="Standard",'Mitred Cutting'!D14="Mist Green"),(('Job Sheet'!BH14+'Job Sheet'!BI14)*2),"")</f>
        <v/>
      </c>
      <c r="R8" s="73" t="str">
        <f>IF(AND('Mitred Cutting'!C14="Standard",'Mitred Cutting'!D14="Primrose"),(('Job Sheet'!BH14+'Job Sheet'!BI14)*2),"")</f>
        <v/>
      </c>
      <c r="S8" s="73" t="str">
        <f>IF(AND('Mitred Cutting'!C14="Standard",'Mitred Cutting'!D14="Ultra Silver"),(('Job Sheet'!BH14+'Job Sheet'!BI14)*2),"")</f>
        <v/>
      </c>
      <c r="T8" s="73" t="str">
        <f>IF(AND('Mitred Cutting'!C14="Standard",'Mitred Cutting'!D14="Woodland Grey(Green Tone)"),(('Job Sheet'!BH14+'Job Sheet'!BI14)*2),"")</f>
        <v/>
      </c>
      <c r="U8" s="73" t="str">
        <f>IF(AND('Mitred Cutting'!C14="Standard",'Mitred Cutting'!D14="Pearl White"),(('Job Sheet'!BH14+'Job Sheet'!BI14)*2),"")</f>
        <v/>
      </c>
      <c r="V8" s="73" t="str">
        <f>IF(AND('Mitred Cutting'!C14="Standard",'Mitred Cutting'!D14="Monument"),(('Job Sheet'!BH14+'Job Sheet'!BI14)*2),"")</f>
        <v/>
      </c>
      <c r="W8" s="73" t="str">
        <f>IF(AND('Mitred Cutting'!C14="Standard",'Mitred Cutting'!D14="Surfmist"),(('Job Sheet'!BH14+'Job Sheet'!BI14)*2),"")</f>
        <v/>
      </c>
      <c r="X8" s="73" t="str">
        <f>IF(AND('Mitred Cutting'!C14="Standard",'Mitred Cutting'!D14="Dune"),(('Job Sheet'!BH14+'Job Sheet'!BI14)*2),"")</f>
        <v/>
      </c>
      <c r="Y8" s="73" t="str">
        <f>IF(AND('Mitred Cutting'!C14="Standard",'Job Sheet'!AA14="Woodland Grey (Dulux)"),(('Job Sheet'!BH14+'Job Sheet'!BI14)*2),"")</f>
        <v/>
      </c>
      <c r="Z8" s="73" t="str">
        <f>IF(AND('Mitred Cutting'!C14="Standard",Data!BP14="Powdercoat",'Job Sheet'!AA14&lt;&gt;"Woodland Grey (Dulux)"),(('Job Sheet'!BH14+'Job Sheet'!BI14)*2),"")</f>
        <v/>
      </c>
      <c r="AA8" s="73" t="str">
        <f>IF(AND('Mitred Cutting'!C14="Invisi-Gard",'Mitred Cutting'!D14="APO Grey"),(('Job Sheet'!BH14+'Job Sheet'!BI14)*2),"")</f>
        <v/>
      </c>
      <c r="AB8" s="73" t="str">
        <f>IF(AND('Mitred Cutting'!C14="Invisi-Gard",'Mitred Cutting'!D14="White Birch"),(('Job Sheet'!BH14+'Job Sheet'!BI14)*2),"")</f>
        <v/>
      </c>
      <c r="AC8" s="73" t="str">
        <f>IF(AND('Mitred Cutting'!C14="Invisi-Gard",'Mitred Cutting'!D14="Black"),(('Job Sheet'!BH14+'Job Sheet'!BI14)*2),"")</f>
        <v/>
      </c>
      <c r="AD8" s="73" t="str">
        <f>IF(AND('Mitred Cutting'!C14="Invisi-Gard",'Mitred Cutting'!D14="Brown"),(('Job Sheet'!BH14+'Job Sheet'!BI14)*2),"")</f>
        <v/>
      </c>
      <c r="AE8" s="73" t="str">
        <f>IF(AND('Mitred Cutting'!C14="Invisi-Gard",'Mitred Cutting'!D14="Deep Ocean"),(('Job Sheet'!BH14+'Job Sheet'!BI14)*2),"")</f>
        <v/>
      </c>
      <c r="AF8" s="73" t="str">
        <f>IF(AND('Mitred Cutting'!C14="Invisi-Gard",'Mitred Cutting'!D14="Jasper"),(('Job Sheet'!BH14+'Job Sheet'!BI14)*2),"")</f>
        <v/>
      </c>
      <c r="AG8" s="73" t="str">
        <f>IF(AND('Mitred Cutting'!C14="Invisi-Gard",'Mitred Cutting'!D14="Paperbark"),(('Job Sheet'!BH14+'Job Sheet'!BI14)*2),"")</f>
        <v/>
      </c>
      <c r="AH8" s="73" t="str">
        <f>IF(AND('Mitred Cutting'!C14="Invisi-Gard",'Mitred Cutting'!D14="Mist Green"),(('Job Sheet'!BH14+'Job Sheet'!BI14)*2),"")</f>
        <v/>
      </c>
      <c r="AI8" s="73" t="str">
        <f>IF(AND('Mitred Cutting'!C14="Invisi-Gard",'Mitred Cutting'!D14="Primrose"),(('Job Sheet'!BH14+'Job Sheet'!BI14)*2),"")</f>
        <v/>
      </c>
      <c r="AJ8" s="73" t="str">
        <f>IF(AND('Mitred Cutting'!C14="Invisi-Gard",'Mitred Cutting'!D14="Ultra Silver"),(('Job Sheet'!BH14+'Job Sheet'!BI14)*2),"")</f>
        <v/>
      </c>
      <c r="AK8" s="73" t="str">
        <f>IF(AND('Mitred Cutting'!C14="Invisi-Gard",'Mitred Cutting'!D14="Woodland Grey(Green Tone)"),(('Job Sheet'!BH14+'Job Sheet'!BI14)*2),"")</f>
        <v/>
      </c>
      <c r="AL8" s="73" t="str">
        <f>IF(AND('Mitred Cutting'!C14="Invisi-Gard",'Mitred Cutting'!D14="Pearl White"),(('Job Sheet'!BH14+'Job Sheet'!BI14)*2),"")</f>
        <v/>
      </c>
      <c r="AM8" s="73" t="str">
        <f>IF(AND('Mitred Cutting'!C14="Invisi-Gard",'Mitred Cutting'!D14="Monument"),(('Job Sheet'!BH14+'Job Sheet'!BI14)*2),"")</f>
        <v/>
      </c>
      <c r="AN8" s="73" t="str">
        <f>IF(AND('Mitred Cutting'!C14="Invisi-Gard",'Mitred Cutting'!D14="Surfmist"),(('Job Sheet'!BH14+'Job Sheet'!BI14)*2),"")</f>
        <v/>
      </c>
      <c r="AO8" s="73" t="str">
        <f>IF(AND('Mitred Cutting'!C14="Invisi-Gard",'Mitred Cutting'!D14="Dune"),(('Job Sheet'!BH14+'Job Sheet'!BI14)*2),"")</f>
        <v/>
      </c>
      <c r="AP8" s="73" t="str">
        <f>IF(AND('Mitred Cutting'!C14="Invisi-Gard",'Job Sheet'!AA14="Woodland Grey (Dulux)"),(('Job Sheet'!BH14+'Job Sheet'!BI14)*2),"")</f>
        <v/>
      </c>
      <c r="AQ8" s="73" t="str">
        <f>IF(AND('Mitred Cutting'!C14="Invisi-Gard",Data!BP14="Powdercoat",'Job Sheet'!AA14&lt;&gt;"Woodland Grey (Dulux)"),(('Job Sheet'!BH14+'Job Sheet'!BI14)*2),"")</f>
        <v/>
      </c>
      <c r="BZ8" s="73"/>
      <c r="CA8" s="73"/>
      <c r="CB8" s="73"/>
      <c r="CC8" s="73"/>
      <c r="CD8" s="73"/>
      <c r="CE8" s="73"/>
      <c r="CF8" s="73"/>
      <c r="CG8" s="73"/>
      <c r="CH8" s="73"/>
      <c r="CI8" s="73"/>
      <c r="CJ8" s="73"/>
      <c r="CK8" s="73"/>
      <c r="CL8" s="73"/>
      <c r="CM8" s="73"/>
      <c r="CN8" s="73"/>
      <c r="CO8" s="73"/>
      <c r="CP8" s="73"/>
      <c r="CQ8" s="73" t="str">
        <f>IF(D8="","",IF(AND('Job Sheet'!AO14="Yes",'Mitred Cutting'!I14="Short Leg Left, Right and Top",'Mitred Cutting'!J14="APO Grey"),(('Job Sheet'!E14*2+60)+'Job Sheet'!AP14+60),IF(AND('Mitred Cutting'!I14="Short Leg 1 Side",'Mitred Cutting'!J14="APO Grey"),'Job Sheet'!E14+30,IF(AND('Mitred Cutting'!I14="Short Leg Left, Right and Top",'Mitred Cutting'!J14="APO Grey"),(('Job Sheet'!E14*2+60)+'Job Sheet'!D14+60),""))))</f>
        <v/>
      </c>
      <c r="CR8" s="73" t="str">
        <f>IF(D8="","",IF(AND('Job Sheet'!AO14="Yes",'Mitred Cutting'!I14="Short Leg Left, Right and Top",'Mitred Cutting'!J14="White Birch"),(('Job Sheet'!E14*2+60)+'Job Sheet'!AP14+60),IF(AND('Mitred Cutting'!I14="Short Leg 1 Side",'Mitred Cutting'!J14="White Birch"),'Job Sheet'!E14+30,IF(AND('Mitred Cutting'!I14="Short Leg Left, Right and Top",'Mitred Cutting'!J14="White Birch"),(('Job Sheet'!E14*2+60)+'Job Sheet'!D14+60),""))))</f>
        <v/>
      </c>
      <c r="CS8" s="73" t="str">
        <f>IF(D8="","",IF(AND('Job Sheet'!AO14="Yes",'Mitred Cutting'!I14="Short Leg Left, Right and Top",'Mitred Cutting'!J14="Black"),(('Job Sheet'!E14*2+60)+'Job Sheet'!AP14+60),IF(AND('Mitred Cutting'!I14="Short Leg 1 Side",'Mitred Cutting'!J14="Black"),'Job Sheet'!E14+30,IF(AND('Mitred Cutting'!I14="Short Leg Left, Right and Top",'Mitred Cutting'!J14="Black"),(('Job Sheet'!E14*2+60)+'Job Sheet'!D14+60),""))))</f>
        <v/>
      </c>
      <c r="CT8" s="73" t="str">
        <f>IF(D8="","",IF(AND('Job Sheet'!AO14="Yes",'Mitred Cutting'!I14="Short Leg Left, Right and Top",'Mitred Cutting'!J14="Brown"),(('Job Sheet'!E14*2+60)+'Job Sheet'!AP14+60),IF(AND('Mitred Cutting'!I14="Short Leg 1 Side",'Mitred Cutting'!J14="Brown"),'Job Sheet'!E14+30,IF(AND('Mitred Cutting'!I14="Short Leg Left, Right and Top",'Mitred Cutting'!J14="Brown"),(('Job Sheet'!E14*2+60)+'Job Sheet'!D14+60),""))))</f>
        <v/>
      </c>
      <c r="CU8" s="73" t="str">
        <f>IF(D8="","",IF(AND('Job Sheet'!AO14="Yes",'Mitred Cutting'!I14="Short Leg Left, Right and Top",'Mitred Cutting'!J14="Deep Ocean"),(('Job Sheet'!E14*2+60)+'Job Sheet'!AP14+60),IF(AND('Mitred Cutting'!I14="Short Leg 1 Side",'Mitred Cutting'!J14="Deep Ocean"),'Job Sheet'!E14+30,IF(AND('Mitred Cutting'!I14="Short Leg Left, Right and Top",'Mitred Cutting'!J14="Deep Ocean"),(('Job Sheet'!E14*2+60)+'Job Sheet'!D14+60),""))))</f>
        <v/>
      </c>
      <c r="CV8" s="73" t="str">
        <f>IF(D8="","",IF(AND('Job Sheet'!AO14="Yes",'Mitred Cutting'!I14="Short Leg Left, Right and Top",'Mitred Cutting'!J14="Jasper"),(('Job Sheet'!E14*2+60)+'Job Sheet'!AP14+60),IF(AND('Mitred Cutting'!I14="Short Leg 1 Side",'Mitred Cutting'!J14="Jasper"),'Job Sheet'!E14+30,IF(AND('Mitred Cutting'!I14="Short Leg Left, Right and Top",'Mitred Cutting'!J14="Jasper"),(('Job Sheet'!E14*2+60)+'Job Sheet'!D14+60),""))))</f>
        <v/>
      </c>
      <c r="CW8" s="73" t="str">
        <f>IF(D8="","",IF(AND('Job Sheet'!AO14="Yes",'Mitred Cutting'!I14="Short Leg Left, Right and Top",'Mitred Cutting'!J14="Paperbark"),(('Job Sheet'!E14*2+60)+'Job Sheet'!AP14+60),IF(AND('Mitred Cutting'!I14="Short Leg 1 Side",'Mitred Cutting'!J14="Paperbark"),'Job Sheet'!E14+30,IF(AND('Mitred Cutting'!I14="Short Leg Left, Right and Top",'Mitred Cutting'!J14="Paperbark"),(('Job Sheet'!E14*2+60)+'Job Sheet'!D14+60),""))))</f>
        <v/>
      </c>
      <c r="CX8" s="73" t="str">
        <f>IF(D8="","",IF(AND('Job Sheet'!AO14="Yes",'Mitred Cutting'!I14="Short Leg Left, Right and Top",'Mitred Cutting'!J14="Mist Green"),(('Job Sheet'!E14*2+60)+'Job Sheet'!AP14+60),IF(AND('Mitred Cutting'!I14="Short Leg 1 Side",'Mitred Cutting'!J14="Mist Green"),'Job Sheet'!E14+30,IF(AND('Mitred Cutting'!I14="Short Leg Left, Right and Top",'Mitred Cutting'!J14="Mist Green"),(('Job Sheet'!E14*2+60)+'Job Sheet'!D14+60),""))))</f>
        <v/>
      </c>
      <c r="CY8" s="73" t="str">
        <f>IF(D8="","",IF(AND('Job Sheet'!AO14="Yes",'Mitred Cutting'!I14="Short Leg Left, Right and Top",'Mitred Cutting'!J14="Primrose"),(('Job Sheet'!E14*2+60)+'Job Sheet'!AP14+60),IF(AND('Mitred Cutting'!I14="Short Leg 1 Side",'Mitred Cutting'!J14="Primrose"),'Job Sheet'!E14+30,IF(AND('Mitred Cutting'!I14="Short Leg Left, Right and Top",'Mitred Cutting'!J14="Primrose"),(('Job Sheet'!E14*2+60)+'Job Sheet'!D14+60),""))))</f>
        <v/>
      </c>
      <c r="CZ8" s="73" t="str">
        <f>IF(D8="","",IF(AND('Job Sheet'!AO14="Yes",'Mitred Cutting'!I14="Short Leg Left, Right and Top",'Mitred Cutting'!J14="Ultra Silver"),(('Job Sheet'!E14*2+60)+'Job Sheet'!AP14+60),IF(AND('Mitred Cutting'!I14="Short Leg 1 Side",'Mitred Cutting'!J14="Ultra Silver"),'Job Sheet'!E14+30,IF(AND('Mitred Cutting'!I14="Short Leg Left, Right and Top",'Mitred Cutting'!J14="Ultra Silver"),(('Job Sheet'!E14*2+60)+'Job Sheet'!D14+60),""))))</f>
        <v/>
      </c>
      <c r="DA8" s="73" t="str">
        <f>IF(D8="","",IF(AND('Job Sheet'!AO14="Yes",'Mitred Cutting'!I14="Short Leg Left, Right and Top",'Mitred Cutting'!J14="Woodland Grey(Green Tone)"),(('Job Sheet'!E14*2+60)+'Job Sheet'!AP14+60),IF(AND('Mitred Cutting'!I14="Short Leg 1 Side",'Mitred Cutting'!J14="Woodland Grey(Green Tone)"),'Job Sheet'!E14+30,IF(AND('Mitred Cutting'!I14="Short Leg Left, Right and Top",'Mitred Cutting'!J14="Woodland Grey(Green Tone)"),(('Job Sheet'!E14*2+60)+'Job Sheet'!D14+60),""))))</f>
        <v/>
      </c>
      <c r="DB8" s="73" t="str">
        <f>IF(D8="","",IF(AND('Job Sheet'!AO14="Yes",'Mitred Cutting'!I14="Short Leg Left, Right and Top",'Mitred Cutting'!J14="Pearl White"),(('Job Sheet'!E14*2+60)+'Job Sheet'!AP14+60),IF(AND('Mitred Cutting'!I14="Short Leg 1 Side",'Mitred Cutting'!J14="Pearl White"),'Job Sheet'!E14+30,IF(AND('Mitred Cutting'!I14="Short Leg Left, Right and Top",'Mitred Cutting'!J14="Pearl White"),(('Job Sheet'!E14*2+60)+'Job Sheet'!D14+60),""))))</f>
        <v/>
      </c>
      <c r="DC8" s="73" t="str">
        <f>IF(D8="","",IF(AND('Job Sheet'!AO14="Yes",'Mitred Cutting'!I14="Short Leg Left, Right and Top",'Mitred Cutting'!J14="Monument"),(('Job Sheet'!E14*2+60)+'Job Sheet'!AP14+60),IF(AND('Mitred Cutting'!I14="Short Leg 1 Side",'Mitred Cutting'!J14="Monument"),'Job Sheet'!E14+30,IF(AND('Mitred Cutting'!I14="Short Leg Left, Right and Top",'Mitred Cutting'!J14="Monument"),(('Job Sheet'!E14*2+60)+'Job Sheet'!D14+60),""))))</f>
        <v/>
      </c>
      <c r="DD8" s="73" t="str">
        <f>IF(D8="","",IF(AND('Job Sheet'!AO14="Yes",'Mitred Cutting'!I14="Short Leg Left, Right and Top",'Mitred Cutting'!J14="Surfmist"),(('Job Sheet'!E14*2+60)+'Job Sheet'!AP14+60),IF(AND('Mitred Cutting'!I14="Short Leg 1 Side",'Mitred Cutting'!J14="Surfmist"),'Job Sheet'!E14+30,IF(AND('Mitred Cutting'!I14="Short Leg Left, Right and Top",'Mitred Cutting'!J14="Surfmist"),(('Job Sheet'!E14*2+60)+'Job Sheet'!D14+60),""))))</f>
        <v/>
      </c>
      <c r="DE8" s="73" t="str">
        <f>IF(D8="","",IF(AND('Job Sheet'!AO14="Yes",'Mitred Cutting'!I14="Short Leg Left, Right and Top",'Mitred Cutting'!J14="Dune"),(('Job Sheet'!E14*2+60)+'Job Sheet'!AP14+60),IF(AND('Mitred Cutting'!I14="Short Leg 1 Side",'Mitred Cutting'!J14="Dune"),'Job Sheet'!E14+30,IF(AND('Mitred Cutting'!I14="Short Leg Left, Right and Top",'Mitred Cutting'!J14="Dune"),(('Job Sheet'!E14*2+60)+'Job Sheet'!D14+60),""))))</f>
        <v/>
      </c>
      <c r="DG8" s="73" t="str">
        <f>IF(D8="","",IF(AND('Job Sheet'!AO14="Yes",'Mitred Cutting'!I14="Short Leg Left, Right and Top",Data!BP14="Powdercoat"),(('Job Sheet'!E14*2+60)+'Job Sheet'!AP14+60),IF(AND('Mitred Cutting'!I14="Short Leg 1 Side",Data!BP14="Powdercoat"),'Job Sheet'!E14+30,IF(AND('Mitred Cutting'!I14="Short Leg Left, Right and Top",Data!BP14="Powdercoat"),(('Job Sheet'!E14*2+60)+'Job Sheet'!D14+60),""))))</f>
        <v/>
      </c>
      <c r="DH8" s="73" t="str">
        <f>IF(D8="","",IF(AND('Job Sheet'!AO14="Yes",'Mitred Cutting'!I14="Long Leg Left, Right and Top",'Mitred Cutting'!J14="APO Grey"),(('Job Sheet'!E14*2+60)+'Job Sheet'!AP14+60),IF(AND('Mitred Cutting'!I14="Long Leg 1 Side",'Mitred Cutting'!J14="APO Grey"),'Job Sheet'!E14+30,IF(AND('Mitred Cutting'!I14="Long Leg Left, Right and Top",'Mitred Cutting'!J14="APO Grey"),(('Job Sheet'!E14*2+60)+'Job Sheet'!D14+60),""))))</f>
        <v/>
      </c>
      <c r="DI8" s="73" t="str">
        <f>IF(D8="","",IF(AND('Job Sheet'!AO14="Yes",'Mitred Cutting'!I14="Long Leg Left, Right and Top",'Mitred Cutting'!J14="White Birch"),(('Job Sheet'!E14*2+60)+'Job Sheet'!AP14+60),IF(AND('Mitred Cutting'!I14="Long Leg 1 Side",'Mitred Cutting'!J14="White Birch"),'Job Sheet'!E14+30,IF(AND('Mitred Cutting'!I14="Long Leg Left, Right and Top",'Mitred Cutting'!J14="White Birch"),(('Job Sheet'!E14*2+60)+'Job Sheet'!D14+60),""))))</f>
        <v/>
      </c>
      <c r="DJ8" s="73" t="str">
        <f>IF(D8="","",IF(AND('Job Sheet'!AO14="Yes",'Mitred Cutting'!I14="Long Leg Left, Right and Top",'Mitred Cutting'!J14="Black"),(('Job Sheet'!E14*2+60)+'Job Sheet'!AP14+60),IF(AND('Mitred Cutting'!I14="Long Leg 1 Side",'Mitred Cutting'!J14="Black"),'Job Sheet'!E14+30,IF(AND('Mitred Cutting'!I14="Long Leg Left, Right and Top",'Mitred Cutting'!J14="Black"),(('Job Sheet'!E14*2+60)+'Job Sheet'!D14+60),""))))</f>
        <v/>
      </c>
      <c r="DK8" s="73" t="str">
        <f>IF(D8="","",IF(AND('Job Sheet'!AO14="Yes",'Mitred Cutting'!I14="Long Leg Left, Right and Top",'Mitred Cutting'!J14="Brown"),(('Job Sheet'!E14*2+60)+'Job Sheet'!AP14+60),IF(AND('Mitred Cutting'!I14="Long Leg 1 Side",'Mitred Cutting'!J14="Brown"),'Job Sheet'!E14+30,IF(AND('Mitred Cutting'!I14="Long Leg Left, Right and Top",'Mitred Cutting'!J14="Brown"),(('Job Sheet'!E14*2+60)+'Job Sheet'!D14+60),""))))</f>
        <v/>
      </c>
      <c r="DL8" s="73" t="str">
        <f>IF(D8="","",IF(AND('Job Sheet'!AO14="Yes",'Mitred Cutting'!I14="Long Leg Left, Right and Top",'Mitred Cutting'!J14="Deep Ocean"),(('Job Sheet'!E14*2+60)+'Job Sheet'!AP14+60),IF(AND('Mitred Cutting'!I14="Long Leg 1 Side",'Mitred Cutting'!J14="Deep Ocean"),'Job Sheet'!E14+30,IF(AND('Mitred Cutting'!I14="Long Leg Left, Right and Top",'Mitred Cutting'!J14="Deep Ocean"),(('Job Sheet'!E14*2+60)+'Job Sheet'!D14+60),""))))</f>
        <v/>
      </c>
      <c r="DM8" s="73" t="str">
        <f>IF(D8="","",IF(AND('Job Sheet'!AO14="Yes",'Mitred Cutting'!I14="Long Leg Left, Right and Top",'Mitred Cutting'!J14="Jasper"),(('Job Sheet'!E14*2+60)+'Job Sheet'!AP14+60),IF(AND('Mitred Cutting'!I14="Long Leg 1 Side",'Mitred Cutting'!J14="Jasper"),'Job Sheet'!E14+30,IF(AND('Mitred Cutting'!I14="Long Leg Left, Right and Top",'Mitred Cutting'!J14="Jasper"),(('Job Sheet'!E14*2+60)+'Job Sheet'!D14+60),""))))</f>
        <v/>
      </c>
      <c r="DN8" s="73" t="str">
        <f>IF(D8="","",IF(AND('Job Sheet'!AO14="Yes",'Mitred Cutting'!I14="Long Leg Left, Right and Top",'Mitred Cutting'!J14="Paperbark"),(('Job Sheet'!E14*2+60)+'Job Sheet'!AP14+60),IF(AND('Mitred Cutting'!I14="Long Leg 1 Side",'Mitred Cutting'!J14="Paperbark"),'Job Sheet'!E14+30,IF(AND('Mitred Cutting'!I14="Long Leg Left, Right and Top",'Mitred Cutting'!J14="Paperbark"),(('Job Sheet'!E14*2+60)+'Job Sheet'!D14+60),""))))</f>
        <v/>
      </c>
      <c r="DO8" s="73" t="str">
        <f>IF(D8="","",IF(AND('Job Sheet'!AO14="Yes",'Mitred Cutting'!I14="Long Leg Left, Right and Top",'Mitred Cutting'!J14="Mist Green"),(('Job Sheet'!E14*2+60)+'Job Sheet'!AP14+60),IF(AND('Mitred Cutting'!I14="Long Leg 1 Side",'Mitred Cutting'!J14="Mist Green"),'Job Sheet'!E14+30,IF(AND('Mitred Cutting'!I14="Long Leg Left, Right and Top",'Mitred Cutting'!J14="Mist Green"),(('Job Sheet'!E14*2+60)+'Job Sheet'!D14+60),""))))</f>
        <v/>
      </c>
      <c r="DP8" s="73" t="str">
        <f>IF(D8="","",IF(AND('Job Sheet'!AO14="Yes",'Mitred Cutting'!I14="Long Leg Left, Right and Top",'Mitred Cutting'!J14="Primrose"),(('Job Sheet'!E14*2+60)+'Job Sheet'!AP14+60),IF(AND('Mitred Cutting'!I14="Long Leg 1 Side",'Mitred Cutting'!J14="Primrose"),'Job Sheet'!E14+30,IF(AND('Mitred Cutting'!I14="Long Leg Left, Right and Top",'Mitred Cutting'!J14="Primrose"),(('Job Sheet'!E14*2+60)+'Job Sheet'!D14+60),""))))</f>
        <v/>
      </c>
      <c r="DQ8" s="73" t="str">
        <f>IF(D8="","",IF(AND('Job Sheet'!AO14="Yes",'Mitred Cutting'!I14="Long Leg Left, Right and Top",'Mitred Cutting'!J14="Ultra Silver"),(('Job Sheet'!E14*2+60)+'Job Sheet'!AP14+60),IF(AND('Mitred Cutting'!I14="Long Leg 1 Side",'Mitred Cutting'!J14="Ultra Silver"),'Job Sheet'!E14+30,IF(AND('Mitred Cutting'!I14="Long Leg Left, Right and Top",'Mitred Cutting'!J14="Ultra Silver"),(('Job Sheet'!E14*2+60)+'Job Sheet'!D14+60),""))))</f>
        <v/>
      </c>
      <c r="DR8" s="73" t="str">
        <f>IF(D8="","",IF(AND('Job Sheet'!AO14="Yes",'Mitred Cutting'!I14="Long Leg Left, Right and Top",'Mitred Cutting'!J14="Woodland Grey(Green Tone)"),(('Job Sheet'!E14*2+60)+'Job Sheet'!AP14+60),IF(AND('Mitred Cutting'!I14="Long Leg 1 Side",'Mitred Cutting'!J14="Woodland Grey(Green Tone)"),'Job Sheet'!E14+30,IF(AND('Mitred Cutting'!I14="Long Leg Left, Right and Top",'Mitred Cutting'!J14="Woodland Grey(Green Tone)"),(('Job Sheet'!E14*2+60)+'Job Sheet'!D14+60),""))))</f>
        <v/>
      </c>
      <c r="DS8" s="73" t="str">
        <f>IF(D8="","",IF(AND('Job Sheet'!AO14="Yes",'Mitred Cutting'!I14="Long Leg Left, Right and Top",'Mitred Cutting'!J14="Pearl White"),(('Job Sheet'!E14*2+60)+'Job Sheet'!AP14+60),IF(AND('Mitred Cutting'!I14="Long Leg 1 Side",'Mitred Cutting'!J14="Pearl White"),'Job Sheet'!E14+30,IF(AND('Mitred Cutting'!I14="Long Leg Left, Right and Top",'Mitred Cutting'!J14="Pearl White"),(('Job Sheet'!E14*2+60)+'Job Sheet'!D14+60),""))))</f>
        <v/>
      </c>
      <c r="DT8" s="73" t="str">
        <f>IF(D8="","",IF(AND('Job Sheet'!AO14="Yes",'Mitred Cutting'!I14="Long Leg Left, Right and Top",'Mitred Cutting'!J14="Monument"),(('Job Sheet'!E14*2+60)+'Job Sheet'!AP14+60),IF(AND('Mitred Cutting'!I14="Long Leg 1 Side",'Mitred Cutting'!J14="Monument"),'Job Sheet'!E14+30,IF(AND('Mitred Cutting'!I14="Long Leg Left, Right and Top",'Mitred Cutting'!J14="Monument"),(('Job Sheet'!E14*2+60)+'Job Sheet'!D14+60),""))))</f>
        <v/>
      </c>
      <c r="DU8" s="73" t="str">
        <f>IF(D8="","",IF(AND('Job Sheet'!AO14="Yes",'Mitred Cutting'!I14="Long Leg Left, Right and Top",'Mitred Cutting'!J14="Surfmist"),(('Job Sheet'!E14*2+60)+'Job Sheet'!AP14+60),IF(AND('Mitred Cutting'!I14="Long Leg 1 Side",'Mitred Cutting'!J14="Surfmist"),'Job Sheet'!E14+30,IF(AND('Mitred Cutting'!I14="Long Leg Left, Right and Top",'Mitred Cutting'!J14="Surfmist"),(('Job Sheet'!E14*2+60)+'Job Sheet'!D14+60),""))))</f>
        <v/>
      </c>
      <c r="DV8" s="73" t="str">
        <f>IF(D8="","",IF(AND('Job Sheet'!AO14="Yes",'Mitred Cutting'!I14="Long Leg Left, Right and Top",'Mitred Cutting'!J14="Dune"),(('Job Sheet'!E14*2+60)+'Job Sheet'!AP14+60),IF(AND('Mitred Cutting'!I14="Long Leg 1 Side",'Mitred Cutting'!J14="Dune"),'Job Sheet'!E14+30,IF(AND('Mitred Cutting'!I14="Long Leg Left, Right and Top",'Mitred Cutting'!J14="Dune"),(('Job Sheet'!E14*2+60)+'Job Sheet'!D14+60),""))))</f>
        <v/>
      </c>
      <c r="DX8" s="73" t="str">
        <f>IF(D8="","",IF(AND('Job Sheet'!AO14="Yes",'Mitred Cutting'!I14="Long Leg Left, Right and Top",Data!BP14="Powdercoat"),(('Job Sheet'!E14*2+60)+'Job Sheet'!AP14+60),IF(AND('Mitred Cutting'!I14="Long Leg 1 Side",Data!BP14="Powdercoat"),'Job Sheet'!E14+30,IF(AND('Mitred Cutting'!I14="Long Leg Left, Right and Top",Data!BP14="Powdercoat"),(('Job Sheet'!E14*2+60)+'Job Sheet'!D14+60),""))))</f>
        <v/>
      </c>
      <c r="EA8" s="73" t="str">
        <f>IF(Data!AV14="","",IF('Job Sheet'!AV14="Yes",VLOOKUP(CONCATENATE('Job Sheet'!AW14,'Job Sheet'!AY14),DogDoor,4,FALSE),""))</f>
        <v/>
      </c>
      <c r="FE8" s="73" t="str">
        <f>IF(AND('Straight Cutting'!F14&lt;&gt;"",'Mitred Cutting'!D14="APO Grey"),'Straight Cutting'!F14,"")</f>
        <v/>
      </c>
      <c r="FF8" s="73" t="str">
        <f>IF(AND('Straight Cutting'!F14&lt;&gt;"",'Mitred Cutting'!D14="White Birch"),'Straight Cutting'!F14,"")</f>
        <v/>
      </c>
      <c r="FG8" s="73" t="str">
        <f>IF(AND('Straight Cutting'!F14&lt;&gt;"",'Mitred Cutting'!D14="Black"),'Straight Cutting'!F14,"")</f>
        <v/>
      </c>
      <c r="FH8" s="73" t="str">
        <f>IF(AND('Straight Cutting'!F14&lt;&gt;"",'Mitred Cutting'!D14="Brown"),'Straight Cutting'!F14,"")</f>
        <v/>
      </c>
      <c r="FI8" s="73" t="str">
        <f>IF(AND('Straight Cutting'!F14&lt;&gt;"",'Mitred Cutting'!D14="Deep Ocean"),'Straight Cutting'!F14,"")</f>
        <v/>
      </c>
      <c r="FJ8" s="73" t="str">
        <f>IF(AND('Straight Cutting'!F14&lt;&gt;"",'Mitred Cutting'!D14="Jasper"),'Straight Cutting'!F14,"")</f>
        <v/>
      </c>
      <c r="FK8" s="73" t="str">
        <f>IF(AND('Straight Cutting'!F14&lt;&gt;"",'Mitred Cutting'!D14="Paperbark"),'Straight Cutting'!F14,"")</f>
        <v/>
      </c>
      <c r="FL8" s="73" t="str">
        <f>IF(AND('Straight Cutting'!F14&lt;&gt;"",'Mitred Cutting'!D14="Mist Green"),'Straight Cutting'!F14,"")</f>
        <v/>
      </c>
      <c r="FM8" s="73" t="str">
        <f>IF(AND('Straight Cutting'!F14&lt;&gt;"",'Mitred Cutting'!D14="Primrose"),'Straight Cutting'!F14,"")</f>
        <v/>
      </c>
      <c r="FN8" s="73" t="str">
        <f>IF(AND('Straight Cutting'!F14&lt;&gt;"",'Mitred Cutting'!D14="Ultra Silver"),'Straight Cutting'!F14,"")</f>
        <v/>
      </c>
      <c r="FO8" s="73" t="str">
        <f>IF(AND('Straight Cutting'!F14&lt;&gt;"",'Mitred Cutting'!D14="Woodland Grey(Green Tone)"),'Straight Cutting'!F14,"")</f>
        <v/>
      </c>
      <c r="FP8" s="73" t="str">
        <f>IF(AND('Straight Cutting'!F14&lt;&gt;"",'Mitred Cutting'!D14="Pearl White"),'Straight Cutting'!F14,"")</f>
        <v/>
      </c>
      <c r="FQ8" s="73" t="str">
        <f>IF(AND('Straight Cutting'!F14&lt;&gt;"",'Mitred Cutting'!D14="Monument"),'Straight Cutting'!F14,"")</f>
        <v/>
      </c>
      <c r="FR8" s="73" t="str">
        <f>IF(AND('Straight Cutting'!F14&lt;&gt;"",'Mitred Cutting'!D14="Surfmist"),'Straight Cutting'!F14,"")</f>
        <v/>
      </c>
      <c r="FS8" s="73" t="str">
        <f>IF(AND('Straight Cutting'!F14&lt;&gt;"",'Mitred Cutting'!D14="Dune"),'Straight Cutting'!F14,"")</f>
        <v/>
      </c>
      <c r="FU8" s="73" t="str">
        <f>IF(AND('Straight Cutting'!F14&lt;&gt;"",Data!BP14="Powdercoat",'Job Sheet'!AA14&lt;&gt;"Woodland Grey (Dulux)"),'Straight Cutting'!F14,"")</f>
        <v/>
      </c>
      <c r="FV8" s="73" t="str">
        <f>IF(AND('Straight Cutting'!E14="F &amp; Z Frames",'Mitred Cutting'!D14="APO Grey"),'Straight Cutting'!G14,"")</f>
        <v/>
      </c>
      <c r="FW8" s="73" t="str">
        <f>IF(AND('Straight Cutting'!E14="F &amp; Z Frames",'Mitred Cutting'!D14="White Birch"),'Straight Cutting'!G14,"")</f>
        <v/>
      </c>
      <c r="FX8" s="73" t="str">
        <f>IF(AND('Straight Cutting'!E14="F &amp; Z Frames",'Mitred Cutting'!D14="Black"),'Straight Cutting'!G14,"")</f>
        <v/>
      </c>
      <c r="FY8" s="73" t="str">
        <f>IF(AND('Straight Cutting'!E14="F &amp; Z Frames",'Mitred Cutting'!D14="Brown"),'Straight Cutting'!G14,"")</f>
        <v/>
      </c>
      <c r="FZ8" s="73" t="str">
        <f>IF(AND('Straight Cutting'!E14="F &amp; Z Frames",'Mitred Cutting'!D14="Deep Ocean"),'Straight Cutting'!G14,"")</f>
        <v/>
      </c>
      <c r="GA8" s="73" t="str">
        <f>IF(AND('Straight Cutting'!E14="F &amp; Z Frames",'Mitred Cutting'!D14="Jasper"),'Straight Cutting'!G14,"")</f>
        <v/>
      </c>
      <c r="GB8" s="73" t="str">
        <f>IF(AND('Straight Cutting'!E14="F &amp; Z Frames",'Mitred Cutting'!D14="Paperbark"),'Straight Cutting'!G14,"")</f>
        <v/>
      </c>
      <c r="GC8" s="73" t="str">
        <f>IF(AND('Straight Cutting'!E14="F &amp; Z Frames",'Mitred Cutting'!D14="Mist Green"),'Straight Cutting'!G14,"")</f>
        <v/>
      </c>
      <c r="GD8" s="73" t="str">
        <f>IF(AND('Straight Cutting'!E14="F &amp; Z Frames",'Mitred Cutting'!D14="Primrose"),'Straight Cutting'!G14,"")</f>
        <v/>
      </c>
      <c r="GE8" s="73" t="str">
        <f>IF(AND('Straight Cutting'!E14="F &amp; Z Frames",'Mitred Cutting'!D14="Ultra Silver"),'Straight Cutting'!G14,"")</f>
        <v/>
      </c>
      <c r="GF8" s="73" t="str">
        <f>IF(AND('Straight Cutting'!E14="F &amp; Z Frames",'Mitred Cutting'!D14="Woodland Grey(Green Tone)"),'Straight Cutting'!G14,"")</f>
        <v/>
      </c>
      <c r="GG8" s="73" t="str">
        <f>IF(AND('Straight Cutting'!E14="F &amp; Z Frames",'Mitred Cutting'!D14="Pearl White"),'Straight Cutting'!G14,"")</f>
        <v/>
      </c>
      <c r="GH8" s="73" t="str">
        <f>IF(AND('Straight Cutting'!E14="F &amp; Z Frames",'Mitred Cutting'!D14="Monument"),'Straight Cutting'!G14,"")</f>
        <v/>
      </c>
      <c r="GI8" s="73" t="str">
        <f>IF(AND('Straight Cutting'!E14="F &amp; Z Frames",'Mitred Cutting'!D14="Surfmist"),'Straight Cutting'!G14,"")</f>
        <v/>
      </c>
      <c r="GJ8" s="73" t="str">
        <f>IF(AND('Straight Cutting'!E14="F &amp; Z Frames",'Mitred Cutting'!D14="Dune"),'Straight Cutting'!G14,"")</f>
        <v/>
      </c>
      <c r="GK8" s="73" t="str">
        <f>IF(AND('Straight Cutting'!E14="F &amp; Z Frames",Data!BP14="Powdercoat"),'Straight Cutting'!G14,"")</f>
        <v/>
      </c>
      <c r="GL8" s="73" t="str">
        <f>IF(AND('Straight Cutting'!E14="F &amp; High Step Z Frame",'Mitred Cutting'!D14="APO Grey"),'Straight Cutting'!G14,"")</f>
        <v/>
      </c>
      <c r="GM8" s="73" t="str">
        <f>IF(AND('Straight Cutting'!E14="F &amp; High Step Z Frame",'Mitred Cutting'!D14="White Birch"),'Straight Cutting'!G14,"")</f>
        <v/>
      </c>
      <c r="GN8" s="73" t="str">
        <f>IF(AND('Straight Cutting'!E14="F &amp; High Step Z Frame",'Mitred Cutting'!D14="Black"),'Straight Cutting'!G14,"")</f>
        <v/>
      </c>
      <c r="GO8" s="73" t="str">
        <f>IF(AND('Straight Cutting'!E14="F &amp; High Step Z Frame",'Mitred Cutting'!D14="Brown"),'Straight Cutting'!G14,"")</f>
        <v/>
      </c>
      <c r="GP8" s="73" t="str">
        <f>IF(AND('Straight Cutting'!E14="F &amp; High Step Z Frame",'Mitred Cutting'!D14="Deep Ocean"),'Straight Cutting'!G14,"")</f>
        <v/>
      </c>
      <c r="GQ8" s="73" t="str">
        <f>IF(AND('Straight Cutting'!E14="F &amp; High Step Z Frame",'Mitred Cutting'!D14="Jasper"),'Straight Cutting'!G14,"")</f>
        <v/>
      </c>
      <c r="GR8" s="73" t="str">
        <f>IF(AND('Straight Cutting'!E14="F &amp; High Step Z Frame",'Mitred Cutting'!D14="Paperbark"),'Straight Cutting'!G14,"")</f>
        <v/>
      </c>
      <c r="GS8" s="73" t="str">
        <f>IF(AND('Straight Cutting'!E14="F &amp; High Step Z Frame",'Mitred Cutting'!D14="Mist Green"),'Straight Cutting'!G14,"")</f>
        <v/>
      </c>
      <c r="GT8" s="73" t="str">
        <f>IF(AND('Straight Cutting'!E14="F &amp; High Step Z Frame",'Mitred Cutting'!D14="Primrose"),'Straight Cutting'!G14,"")</f>
        <v/>
      </c>
      <c r="GU8" s="73" t="str">
        <f>IF(AND('Straight Cutting'!E14="F &amp; High Step Z Frame",'Mitred Cutting'!D14="Ultra Silver"),'Straight Cutting'!G14,"")</f>
        <v/>
      </c>
      <c r="GV8" s="73" t="str">
        <f>IF(AND('Straight Cutting'!E14="F &amp; High Step Z Frame",'Mitred Cutting'!D14="Woodland Grey(Green Tone)"),'Straight Cutting'!G14,"")</f>
        <v/>
      </c>
      <c r="GW8" s="73" t="str">
        <f>IF(AND('Straight Cutting'!E14="F &amp; High Step Z Frame",'Mitred Cutting'!D14="Pearl White"),'Straight Cutting'!G14,"")</f>
        <v/>
      </c>
      <c r="GX8" s="73" t="str">
        <f>IF(AND('Straight Cutting'!E14="F &amp; High Step Z Frame",'Mitred Cutting'!D14="Monument"),'Straight Cutting'!G14,"")</f>
        <v/>
      </c>
      <c r="GY8" s="73" t="str">
        <f>IF(AND('Straight Cutting'!E14="F &amp; High Step Z Frame",'Mitred Cutting'!D14="Surfmist"),'Straight Cutting'!G14,"")</f>
        <v/>
      </c>
      <c r="GZ8" s="73" t="str">
        <f>IF(AND('Straight Cutting'!E14="F &amp; High Step Z Frame",'Mitred Cutting'!D14="Dune"),'Straight Cutting'!G14,"")</f>
        <v/>
      </c>
      <c r="HA8" s="73" t="str">
        <f>IF(AND('Straight Cutting'!E14="F &amp; High Step Z Frame",Data!BP14="Powdercoat"),'Straight Cutting'!G14,"")</f>
        <v/>
      </c>
      <c r="HB8" s="73" t="str">
        <f>IF(AND('Straight Cutting'!I14&lt;&gt;"",'Mitred Cutting'!D14="APO Grey"),'Straight Cutting'!I14,"")</f>
        <v/>
      </c>
      <c r="HC8" s="73" t="str">
        <f>IF(AND('Straight Cutting'!I14&lt;&gt;"",'Mitred Cutting'!D14="White Birch"),'Straight Cutting'!I14,"")</f>
        <v/>
      </c>
      <c r="HD8" s="73" t="str">
        <f>IF(AND('Straight Cutting'!I14&lt;&gt;"",'Mitred Cutting'!D14="Black"),'Straight Cutting'!I14,"")</f>
        <v/>
      </c>
      <c r="HE8" s="73" t="str">
        <f>IF(AND('Straight Cutting'!I14&lt;&gt;"",'Mitred Cutting'!D14="Brown"),'Straight Cutting'!I14,"")</f>
        <v/>
      </c>
      <c r="HF8" s="73" t="str">
        <f>IF(AND('Straight Cutting'!I14&lt;&gt;"",'Mitred Cutting'!D14="Deep Ocean"),'Straight Cutting'!I14,"")</f>
        <v/>
      </c>
      <c r="HG8" s="73" t="str">
        <f>IF(AND('Straight Cutting'!I14&lt;&gt;"",'Mitred Cutting'!D14="Jasper"),'Straight Cutting'!I14,"")</f>
        <v/>
      </c>
      <c r="HH8" s="73" t="str">
        <f>IF(AND('Straight Cutting'!I14&lt;&gt;"",'Mitred Cutting'!D14="Paperbark"),'Straight Cutting'!I14,"")</f>
        <v/>
      </c>
      <c r="HI8" s="73" t="str">
        <f>IF(AND('Straight Cutting'!I14&lt;&gt;"",'Mitred Cutting'!D14="Mist Green"),'Straight Cutting'!I14,"")</f>
        <v/>
      </c>
      <c r="HJ8" s="73" t="str">
        <f>IF(AND('Straight Cutting'!I14&lt;&gt;"",'Mitred Cutting'!D14="Primrose"),'Straight Cutting'!I14,"")</f>
        <v/>
      </c>
      <c r="HK8" s="73" t="str">
        <f>IF(AND('Straight Cutting'!I14&lt;&gt;"",'Mitred Cutting'!D14="Ultra Silver"),'Straight Cutting'!I14,"")</f>
        <v/>
      </c>
      <c r="HL8" s="73" t="str">
        <f>IF(AND('Straight Cutting'!I14&lt;&gt;"",'Mitred Cutting'!D14="Woodland Grey(Green Tone)"),'Straight Cutting'!I14,"")</f>
        <v/>
      </c>
      <c r="HM8" s="73" t="str">
        <f>IF(AND('Straight Cutting'!I14&lt;&gt;"",'Mitred Cutting'!D14="Pearl White"),'Straight Cutting'!I14,"")</f>
        <v/>
      </c>
      <c r="HN8" s="73" t="str">
        <f>IF(AND('Straight Cutting'!I14&lt;&gt;"",'Mitred Cutting'!D14="Monument"),'Straight Cutting'!I14,"")</f>
        <v/>
      </c>
      <c r="HO8" s="73" t="str">
        <f>IF(AND('Straight Cutting'!I14&lt;&gt;"",'Mitred Cutting'!D14="Surfmist"),'Straight Cutting'!I14,"")</f>
        <v/>
      </c>
      <c r="HP8" s="73" t="str">
        <f>IF(AND('Straight Cutting'!I14&lt;&gt;"",'Mitred Cutting'!D14="Dune"),'Straight Cutting'!I14,"")</f>
        <v/>
      </c>
      <c r="HR8" s="73" t="str">
        <f>IF(AND('Straight Cutting'!I14&lt;&gt;"",'Mitred Cutting'!D14="Powdercoat"),'Straight Cutting'!I14,"")</f>
        <v/>
      </c>
      <c r="HS8" s="73" t="str">
        <f>IF(AND('Mitred Cutting'!D14="APO Grey",'Job Sheet'!AQ14="T Mullion with Cutouts and 2 Lock Bolts"),'Straight Cutting'!J14,"")</f>
        <v/>
      </c>
      <c r="HT8" s="73" t="str">
        <f>IF(AND('Mitred Cutting'!D14="White Birch",'Job Sheet'!AQ14="T Mullion with Cutouts and 2 Lock Bolts"),'Straight Cutting'!J14,"")</f>
        <v/>
      </c>
      <c r="HU8" s="73" t="str">
        <f>IF(AND('Mitred Cutting'!D14="Black",'Job Sheet'!AQ14="T Mullion with Cutouts and 2 Lock Bolts"),'Straight Cutting'!J14,"")</f>
        <v/>
      </c>
      <c r="HV8" s="73" t="str">
        <f>IF(AND('Mitred Cutting'!D14="Brown",'Job Sheet'!AQ14="T Mullion with Cutouts and 2 Lock Bolts"),'Straight Cutting'!J14,"")</f>
        <v/>
      </c>
      <c r="HW8" s="73" t="str">
        <f>IF(AND('Mitred Cutting'!D14="Deep Ocean",'Job Sheet'!AQ14="T Mullion with Cutouts and 2 Lock Bolts"),'Straight Cutting'!J14,"")</f>
        <v/>
      </c>
      <c r="HX8" s="73" t="str">
        <f>IF(AND('Mitred Cutting'!D14="Jasper",'Job Sheet'!AQ14="T Mullion with Cutouts and 2 Lock Bolts"),'Straight Cutting'!J14,"")</f>
        <v/>
      </c>
      <c r="HY8" s="73" t="str">
        <f>IF(AND('Mitred Cutting'!D14="Paperbark",'Job Sheet'!AQ14="T Mullion with Cutouts and 2 Lock Bolts"),'Straight Cutting'!J14,"")</f>
        <v/>
      </c>
      <c r="HZ8" s="73" t="str">
        <f>IF(AND('Mitred Cutting'!D14="Mist Green",'Job Sheet'!AQ14="T Mullion with Cutouts and 2 Lock Bolts"),'Straight Cutting'!J14,"")</f>
        <v/>
      </c>
      <c r="IA8" s="73" t="str">
        <f>IF(AND('Mitred Cutting'!D14="Primrose",'Job Sheet'!AQ14="T Mullion with Cutouts and 2 Lock Bolts"),'Straight Cutting'!J14,"")</f>
        <v/>
      </c>
      <c r="IB8" s="73" t="str">
        <f>IF(AND('Mitred Cutting'!D14="Ultra Silver",'Job Sheet'!AQ14="T Mullion with Cutouts and 2 Lock Bolts"),'Straight Cutting'!J14,"")</f>
        <v/>
      </c>
      <c r="IC8" s="73" t="str">
        <f>IF(AND('Mitred Cutting'!D14="Woodland Grey(Green Tone)",'Job Sheet'!AQ14="T Mullion with Cutouts and 2 Lock Bolts"),'Straight Cutting'!J14,"")</f>
        <v/>
      </c>
      <c r="ID8" s="73" t="str">
        <f>IF(AND('Mitred Cutting'!D14="Pearl White",'Job Sheet'!AQ14="T Mullion with Cutouts and 2 Lock Bolts"),'Straight Cutting'!J14,"")</f>
        <v/>
      </c>
      <c r="IE8" s="73" t="str">
        <f>IF(AND('Mitred Cutting'!D14="Monument",'Job Sheet'!AQ14="T Mullion with Cutouts and 2 Lock Bolts"),'Straight Cutting'!J14,"")</f>
        <v/>
      </c>
      <c r="IF8" s="73" t="str">
        <f>IF(AND('Mitred Cutting'!D14="Surfmist",'Job Sheet'!AQ14="T Mullion with Cutouts and 2 Lock Bolts"),'Straight Cutting'!J14,"")</f>
        <v/>
      </c>
      <c r="IG8" s="73" t="str">
        <f>IF(AND('Mitred Cutting'!D14="Dune",'Job Sheet'!AQ14="T Mullion with Cutouts and 2 Lock Bolts"),'Straight Cutting'!J14,"")</f>
        <v/>
      </c>
      <c r="IH8" s="73" t="str">
        <f>IF(AND('Job Sheet'!Z14="Custom Powdercoat",'Job Sheet'!AQ14="T Mullion with Cutouts and 2 Lock Bolts"),'Straight Cutting'!J14,"")</f>
        <v/>
      </c>
      <c r="II8" s="73" t="str">
        <f>IF(AND('Mitred Cutting'!D14="Apo Grey",'Straight Cutting'!E14="Bug Strip Frame"),'Job Sheet'!BH14-2+'Job Sheet'!BI14-50,IF(AND('Mitred Cutting'!D14="Apo Grey",'Straight Cutting'!E14&lt;&gt;"Bug Strip Frame"),'Straight Cutting'!D14,""))</f>
        <v/>
      </c>
      <c r="IJ8" s="73" t="str">
        <f>IF(AND('Mitred Cutting'!D14="White Birch",'Straight Cutting'!E14="Bug Strip Frame"),'Job Sheet'!BH14-2+'Job Sheet'!BI14-50,IF(AND('Mitred Cutting'!D14="White Birch",'Straight Cutting'!E14&lt;&gt;"Bug Strip Frame"),'Straight Cutting'!D14,""))</f>
        <v/>
      </c>
      <c r="IK8" s="73" t="str">
        <f>IF(AND('Mitred Cutting'!D14="Black",'Straight Cutting'!E14="Bug Strip Frame"),'Job Sheet'!BH14-2+'Job Sheet'!BI14-50,IF(AND('Mitred Cutting'!D14="Black",'Straight Cutting'!E14&lt;&gt;"Bug Strip Frame"),'Straight Cutting'!D14,""))</f>
        <v/>
      </c>
      <c r="IL8" s="73" t="str">
        <f>IF(AND('Mitred Cutting'!D14="Brown",'Straight Cutting'!E14="Bug Strip Frame"),'Job Sheet'!BH14-2+'Job Sheet'!BI14-50,IF(AND('Mitred Cutting'!D14="Brown",'Straight Cutting'!E14&lt;&gt;"Bug Strip Frame"),'Straight Cutting'!D14,""))</f>
        <v/>
      </c>
      <c r="IM8" s="73" t="str">
        <f>IF(AND('Mitred Cutting'!D14="Deep Ocean",'Straight Cutting'!E14="Bug Strip Frame"),'Job Sheet'!BH14-2+'Job Sheet'!BI14-50,IF(AND('Mitred Cutting'!D14="Deep Ocean",'Straight Cutting'!E14&lt;&gt;"Bug Strip Frame"),'Straight Cutting'!D14,""))</f>
        <v/>
      </c>
      <c r="IN8" s="73" t="str">
        <f>IF(AND('Mitred Cutting'!D14="Jasper",'Straight Cutting'!E14="Bug Strip Frame"),'Job Sheet'!BH14-2+'Job Sheet'!BI14-50,IF(AND('Mitred Cutting'!D14="Jasper",'Straight Cutting'!E14&lt;&gt;"Bug Strip Frame"),'Straight Cutting'!D14,""))</f>
        <v/>
      </c>
      <c r="IO8" s="73" t="str">
        <f>IF(AND('Mitred Cutting'!D14="Paperbark",'Straight Cutting'!E14="Bug Strip Frame"),'Job Sheet'!BH14-2+'Job Sheet'!BI14-50,IF(AND('Mitred Cutting'!D14="Paperbark",'Straight Cutting'!E14&lt;&gt;"Bug Strip Frame"),'Straight Cutting'!D14,""))</f>
        <v/>
      </c>
      <c r="IP8" s="73" t="str">
        <f>IF(AND('Mitred Cutting'!D14="Mist Green",'Straight Cutting'!E14="Bug Strip Frame"),'Job Sheet'!BH14-2+'Job Sheet'!BI14-50,IF(AND('Mitred Cutting'!D14="Mist Green",'Straight Cutting'!E14&lt;&gt;"Bug Strip Frame"),'Straight Cutting'!D14,""))</f>
        <v/>
      </c>
      <c r="IQ8" s="73" t="str">
        <f>IF(AND('Mitred Cutting'!D14="Primrose",'Straight Cutting'!E14="Bug Strip Frame"),'Job Sheet'!BH14-2+'Job Sheet'!BI14-50,IF(AND('Mitred Cutting'!D14="Primrose",'Straight Cutting'!E14&lt;&gt;"Bug Strip Frame"),'Straight Cutting'!D14,""))</f>
        <v/>
      </c>
      <c r="IR8" s="73" t="str">
        <f>IF(AND('Mitred Cutting'!D14="Ultra Silver",'Straight Cutting'!E14="Bug Strip Frame"),'Job Sheet'!BH14-2+'Job Sheet'!BI14-50,IF(AND('Mitred Cutting'!D14="Ultra Silver",'Straight Cutting'!E14&lt;&gt;"Bug Strip Frame"),'Straight Cutting'!D14,""))</f>
        <v/>
      </c>
      <c r="IS8" s="73" t="str">
        <f>IF(AND('Mitred Cutting'!D14="Woodland Grey(Green Tone)",'Straight Cutting'!E14="Bug Strip Frame"),'Job Sheet'!BH14-2+'Job Sheet'!BI14-50,IF(AND('Mitred Cutting'!D14="Woodland Grey(Green Tone)",'Straight Cutting'!E14&lt;&gt;"Bug Strip Frame"),'Straight Cutting'!D14,""))</f>
        <v/>
      </c>
      <c r="IT8" s="73" t="str">
        <f>IF(AND('Mitred Cutting'!D14="Pearl White",'Straight Cutting'!E14="Bug Strip Frame"),'Job Sheet'!BH14-2+'Job Sheet'!BI14-50,IF(AND('Mitred Cutting'!D14="Pearl White",'Straight Cutting'!E14&lt;&gt;"Bug Strip Frame"),'Straight Cutting'!D14,""))</f>
        <v/>
      </c>
      <c r="IU8" s="73" t="str">
        <f>IF(AND('Mitred Cutting'!D14="Monument",'Straight Cutting'!E14="Bug Strip Frame"),'Job Sheet'!BH14-2+'Job Sheet'!BI14-50,IF(AND('Mitred Cutting'!D14="Monument",'Straight Cutting'!E14&lt;&gt;"Bug Strip Frame"),'Straight Cutting'!D14,""))</f>
        <v/>
      </c>
      <c r="IV8" s="73" t="str">
        <f>IF(AND('Mitred Cutting'!D14="Surfmist",'Straight Cutting'!E14="Bug Strip Frame"),'Job Sheet'!BH14-2+'Job Sheet'!BI14-50,IF(AND('Mitred Cutting'!D14="Surfmist",'Straight Cutting'!E14&lt;&gt;"Bug Strip Frame"),'Straight Cutting'!D14,""))</f>
        <v/>
      </c>
      <c r="IW8" s="73" t="str">
        <f>IF(AND('Mitred Cutting'!D14="Dune",'Straight Cutting'!E14="Bug Strip Frame"),'Job Sheet'!BH14-2+'Job Sheet'!BI14-50,IF(AND('Mitred Cutting'!D14="Dune",'Straight Cutting'!E14&lt;&gt;"Bug Strip Frame"),'Straight Cutting'!D14,""))</f>
        <v/>
      </c>
      <c r="IX8" s="73" t="str">
        <f>IF(AND('Job Sheet'!AA14="Woodland Grey (Dulux)",'Straight Cutting'!E14="Bug Strip Frame"),'Job Sheet'!BH14-2+'Job Sheet'!BI14-50,IF(AND('Job Sheet'!AA14="Woodland Grey (Dulux)",'Straight Cutting'!E14&lt;&gt;"Bug Strip Frame"),'Straight Cutting'!D14,""))</f>
        <v/>
      </c>
      <c r="IY8" s="73" t="str">
        <f>IF(AND('Job Sheet'!Z14="Custom Powdercoat",'Job Sheet'!AA14&lt;&gt;"Woodland Grey (Dulux)",'Straight Cutting'!E14="Bug Strip Frame"),'Job Sheet'!BH14-2+'Job Sheet'!BI14-50,IF(AND('Job Sheet'!Z14="Custom Powdercoat",'Job Sheet'!AA14&lt;&gt;"Woodland Grey (Dulux)",'Straight Cutting'!E14&lt;&gt;"Bug Strip Frame"),'Straight Cutting'!D14,""))</f>
        <v/>
      </c>
      <c r="IZ8" s="73" t="str">
        <f>IF(AND('Straight Cutting'!L14="U Channel",'Mitred Cutting'!D14="APO Grey"),'Straight Cutting'!L14,"")</f>
        <v/>
      </c>
      <c r="JA8" s="73" t="str">
        <f>IF(AND('Straight Cutting'!K14="U Channel",'Mitred Cutting'!D14="White Birch"),'Straight Cutting'!L14,"")</f>
        <v/>
      </c>
      <c r="JB8" s="73" t="str">
        <f>IF(AND('Straight Cutting'!K14="U Channel",'Mitred Cutting'!D14="Black"),'Straight Cutting'!L14,"")</f>
        <v/>
      </c>
      <c r="JC8" s="73" t="str">
        <f>IF(AND('Straight Cutting'!K14="U Channel",'Mitred Cutting'!D14="Brown"),'Straight Cutting'!L14,"")</f>
        <v/>
      </c>
      <c r="JD8" s="73" t="str">
        <f>IF(AND('Straight Cutting'!K14="U Channel",'Mitred Cutting'!D14="Deep Ocean"),'Straight Cutting'!L14,"")</f>
        <v/>
      </c>
      <c r="JE8" s="73" t="str">
        <f>IF(AND('Straight Cutting'!K14="U Channel",'Mitred Cutting'!D14="Jasper"),'Straight Cutting'!L14,"")</f>
        <v/>
      </c>
      <c r="JF8" s="73" t="str">
        <f>IF(AND('Straight Cutting'!K14="U Channel",'Mitred Cutting'!D14="Paperbark"),'Straight Cutting'!L14,"")</f>
        <v/>
      </c>
      <c r="JG8" s="73" t="str">
        <f>IF(AND('Straight Cutting'!K14="U Channel",'Mitred Cutting'!D14="Mist Green"),'Straight Cutting'!L14,"")</f>
        <v/>
      </c>
      <c r="JH8" s="73" t="str">
        <f>IF(AND('Straight Cutting'!K14="U Channel",'Mitred Cutting'!D14="Primrose"),'Straight Cutting'!L14,"")</f>
        <v/>
      </c>
      <c r="JI8" s="73" t="str">
        <f>IF(AND('Straight Cutting'!K14="U Channel",'Mitred Cutting'!D14="Ultra Silver"),'Straight Cutting'!L14,"")</f>
        <v/>
      </c>
      <c r="JJ8" s="73" t="str">
        <f>IF(AND('Straight Cutting'!K14="U Channel",'Mitred Cutting'!D14="Woodland Grey(Green Tone)"),'Straight Cutting'!L14,"")</f>
        <v/>
      </c>
      <c r="JK8" s="73" t="str">
        <f>IF(AND('Straight Cutting'!K14="U Channel",'Mitred Cutting'!D14="Pearl White"),'Straight Cutting'!L14,"")</f>
        <v/>
      </c>
      <c r="JL8" s="73" t="str">
        <f>IF(AND('Straight Cutting'!K14="U Channel",'Mitred Cutting'!D14="Monument"),'Straight Cutting'!L14,"")</f>
        <v/>
      </c>
      <c r="JM8" s="73" t="str">
        <f>IF(AND('Straight Cutting'!K14="U Channel",'Mitred Cutting'!D14="Surfmist"),'Straight Cutting'!L14,"")</f>
        <v/>
      </c>
      <c r="JN8" s="73" t="str">
        <f>IF(AND('Straight Cutting'!K14="U Channel",'Mitred Cutting'!D14="Dune"),'Straight Cutting'!L14,"")</f>
        <v/>
      </c>
      <c r="JO8" s="73" t="str">
        <f>IF(AND('Straight Cutting'!K14="U Channel",'Job Sheet'!Z14="Custom Powdercoat"),'Straight Cutting'!L14,"")</f>
        <v/>
      </c>
      <c r="JP8" s="73" t="str">
        <f>IF(AND('Straight Cutting'!K14="U Channel with Pip",'Mitred Cutting'!D14="APO Grey"),'Straight Cutting'!L14,"")</f>
        <v/>
      </c>
      <c r="JQ8" s="73" t="str">
        <f>IF(AND('Straight Cutting'!K14="U Channel with Pip",'Mitred Cutting'!D14="White Birch"),'Straight Cutting'!L14,"")</f>
        <v/>
      </c>
      <c r="JR8" s="73" t="str">
        <f>IF(AND('Straight Cutting'!K14="U Channel with Pip",'Mitred Cutting'!D14="Black"),'Straight Cutting'!L14,"")</f>
        <v/>
      </c>
      <c r="JS8" s="73" t="str">
        <f>IF(AND('Straight Cutting'!K14="U Channel with Pip",'Mitred Cutting'!D14="Brown"),'Straight Cutting'!L14,"")</f>
        <v/>
      </c>
      <c r="JT8" s="73" t="str">
        <f>IF(AND('Straight Cutting'!K14="U Channel with Pip",'Mitred Cutting'!D14="Deep Ocean"),'Straight Cutting'!L14,"")</f>
        <v/>
      </c>
      <c r="JU8" s="73" t="str">
        <f>IF(AND('Straight Cutting'!K14="U Channel with Pip",'Mitred Cutting'!D14="Jasper"),'Straight Cutting'!L14,"")</f>
        <v/>
      </c>
      <c r="JV8" s="73" t="str">
        <f>IF(AND('Straight Cutting'!K14="U Channel with Pip",'Mitred Cutting'!D14="Paperbark"),'Straight Cutting'!L14,"")</f>
        <v/>
      </c>
      <c r="JW8" s="73" t="str">
        <f>IF(AND('Straight Cutting'!K14="U Channel with Pip",'Mitred Cutting'!D14="Mist Green"),'Straight Cutting'!L14,"")</f>
        <v/>
      </c>
      <c r="JX8" s="73" t="str">
        <f>IF(AND('Straight Cutting'!K14="U Channel with Pip",'Mitred Cutting'!D14="Primrose"),'Straight Cutting'!L14,"")</f>
        <v/>
      </c>
      <c r="JY8" s="73" t="str">
        <f>IF(AND('Straight Cutting'!K14="U Channel with Pip",'Mitred Cutting'!D14="Ultra Silver"),'Straight Cutting'!L14,"")</f>
        <v/>
      </c>
      <c r="JZ8" s="73" t="str">
        <f>IF(AND('Straight Cutting'!K14="U Channel with Pip",'Mitred Cutting'!D14="Woodland Grey(Green Tone)"),'Straight Cutting'!L14,"")</f>
        <v/>
      </c>
      <c r="KA8" s="73" t="str">
        <f>IF(AND('Straight Cutting'!K14="U Channel with Pip",'Mitred Cutting'!D14="Pearl White"),'Straight Cutting'!L14,"")</f>
        <v/>
      </c>
      <c r="KB8" s="73" t="str">
        <f>IF(AND('Straight Cutting'!K14="U Channel with Pip",'Mitred Cutting'!D14="Monument"),'Straight Cutting'!L14,"")</f>
        <v/>
      </c>
      <c r="KC8" s="73" t="str">
        <f>IF(AND('Straight Cutting'!K14="U Channel with Pip",'Mitred Cutting'!D14="Surfmist"),'Straight Cutting'!L14,"")</f>
        <v/>
      </c>
      <c r="KD8" s="73" t="str">
        <f>IF(AND('Straight Cutting'!K14="U Channel with Pip",'Mitred Cutting'!D14="Dune"),'Straight Cutting'!L14,"")</f>
        <v/>
      </c>
      <c r="KE8" s="73" t="str">
        <f>IF(AND('Straight Cutting'!K14="U Channel with Pip",'Job Sheet'!Z14="Custom Powdercoat"),'Straight Cutting'!L14,"")</f>
        <v/>
      </c>
      <c r="KF8" s="73" t="str">
        <f>IF(AND('Mitred Cutting'!D14="APO Grey",(OR('Straight Cutting'!M14="Bottom Fix Bottom Track",'Straight Cutting'!M14="U Channel &amp; Bottom Fix Bottom Track"))),'Straight Cutting'!N14,"")</f>
        <v/>
      </c>
      <c r="KG8" s="73" t="str">
        <f>IF(AND('Mitred Cutting'!D14="White Birch",(OR('Straight Cutting'!M14="Bottom Fix Bottom Track",'Straight Cutting'!M14="U Channel &amp; Bottom Fix Bottom Track"))),'Straight Cutting'!N14,"")</f>
        <v/>
      </c>
      <c r="KH8" s="73" t="str">
        <f>IF(AND('Mitred Cutting'!D14="Black",(OR('Straight Cutting'!M14="Bottom Fix Bottom Track",'Straight Cutting'!M14="U Channel &amp; Bottom Fix Bottom Track"))),'Straight Cutting'!N14,"")</f>
        <v/>
      </c>
      <c r="KI8" s="73" t="str">
        <f>IF(AND('Mitred Cutting'!D14="Brown",(OR('Straight Cutting'!M14="Bottom Fix Bottom Track",'Straight Cutting'!M14="U Channel &amp; Bottom Fix Bottom Track"))),'Straight Cutting'!N14,"")</f>
        <v/>
      </c>
      <c r="KJ8" s="73" t="str">
        <f>IF(AND('Mitred Cutting'!D14="Deep Ocean",(OR('Straight Cutting'!M14="Bottom Fix Bottom Track",'Straight Cutting'!M14="U Channel &amp; Bottom Fix Bottom Track"))),'Straight Cutting'!N14,"")</f>
        <v/>
      </c>
      <c r="KK8" s="73" t="str">
        <f>IF(AND('Mitred Cutting'!D14="Jasper",(OR('Straight Cutting'!M14="Bottom Fix Bottom Track",'Straight Cutting'!M14="U Channel &amp; Bottom Fix Bottom Track"))),'Straight Cutting'!N14,"")</f>
        <v/>
      </c>
      <c r="KL8" s="73" t="str">
        <f>IF(AND('Mitred Cutting'!D14="Paperbark",(OR('Straight Cutting'!M14="Bottom Fix Bottom Track",'Straight Cutting'!M14="U Channel &amp; Bottom Fix Bottom Track"))),'Straight Cutting'!N14,"")</f>
        <v/>
      </c>
      <c r="KM8" s="73" t="str">
        <f>IF(AND('Mitred Cutting'!D14="Mist Green",(OR('Straight Cutting'!M14="Bottom Fix Bottom Track",'Straight Cutting'!M14="U Channel &amp; Bottom Fix Bottom Track"))),'Straight Cutting'!N14,"")</f>
        <v/>
      </c>
      <c r="KN8" s="73" t="str">
        <f>IF(AND('Mitred Cutting'!D14="Primrose",(OR('Straight Cutting'!M14="Bottom Fix Bottom Track",'Straight Cutting'!M14="U Channel &amp; Bottom Fix Bottom Track"))),'Straight Cutting'!N14,"")</f>
        <v/>
      </c>
      <c r="KO8" s="73" t="str">
        <f>IF(AND('Mitred Cutting'!D14="Ultra Silver",(OR('Straight Cutting'!M14="Bottom Fix Bottom Track",'Straight Cutting'!M14="U Channel &amp; Bottom Fix Bottom Track"))),'Straight Cutting'!N14,"")</f>
        <v/>
      </c>
      <c r="KP8" s="73" t="str">
        <f>IF(AND('Mitred Cutting'!D14="Woodland Grey(Green Tone)",(OR('Straight Cutting'!M14="Bottom Fix Bottom Track",'Straight Cutting'!M14="U Channel &amp; Bottom Fix Bottom Track"))),'Straight Cutting'!N14,"")</f>
        <v/>
      </c>
      <c r="KQ8" s="73" t="str">
        <f>IF(AND('Mitred Cutting'!D14="Pearl White",(OR('Straight Cutting'!M14="Bottom Fix Bottom Track",'Straight Cutting'!M14="U Channel &amp; Bottom Fix Bottom Track"))),'Straight Cutting'!N14,"")</f>
        <v/>
      </c>
      <c r="KR8" s="73" t="str">
        <f>IF(AND('Mitred Cutting'!D14="Monument",(OR('Straight Cutting'!M14="Bottom Fix Bottom Track",'Straight Cutting'!M14="U Channel &amp; Bottom Fix Bottom Track"))),'Straight Cutting'!N14,"")</f>
        <v/>
      </c>
      <c r="KS8" s="73" t="str">
        <f>IF(AND('Mitred Cutting'!D14="Surfmist",(OR('Straight Cutting'!M14="Bottom Fix Bottom Track",'Straight Cutting'!M14="U Channel &amp; Bottom Fix Bottom Track"))),'Straight Cutting'!N14,"")</f>
        <v/>
      </c>
      <c r="KT8" s="73" t="str">
        <f>IF(AND('Mitred Cutting'!D14="Dune",(OR('Straight Cutting'!M14="Bottom Fix Bottom Track",'Straight Cutting'!M14="U Channel &amp; Bottom Fix Bottom Track"))),'Straight Cutting'!N14,"")</f>
        <v/>
      </c>
      <c r="KU8" s="73" t="str">
        <f>IF(AND('Job Sheet'!Z14="Custom Powdercoat",(OR('Straight Cutting'!M14="Bottom Fix Bottom Track",'Straight Cutting'!M14="U Channel &amp; Bottom Fix Bottom Track"))),'Straight Cutting'!N14,"")</f>
        <v/>
      </c>
      <c r="KV8" s="73" t="str">
        <f>IF(AND('Mitred Cutting'!D14="APO Grey",(OR('Straight Cutting'!M14="Face Fix Bottom Track",'Straight Cutting'!M14="U Channel &amp; Face Fix Bottom Track"))),'Straight Cutting'!N14,"")</f>
        <v/>
      </c>
      <c r="KW8" s="73" t="str">
        <f>IF(AND('Mitred Cutting'!D14="White Birch",(OR('Straight Cutting'!M14="Face Fix Bottom Track",'Straight Cutting'!M14="U Channel &amp; Face Fix Bottom Track"))),'Straight Cutting'!N14,"")</f>
        <v/>
      </c>
      <c r="KX8" s="73" t="str">
        <f>IF(AND('Mitred Cutting'!D14="Black",(OR('Straight Cutting'!M14="Face Fix Bottom Track",'Straight Cutting'!M14="U Channel &amp; Face Fix Bottom Track"))),'Straight Cutting'!N14,"")</f>
        <v/>
      </c>
      <c r="KY8" s="73" t="str">
        <f>IF(AND('Mitred Cutting'!D14="Brown",(OR('Straight Cutting'!M14="Face Fix Bottom Track",'Straight Cutting'!M14="U Channel &amp; Face Fix Bottom Track"))),'Straight Cutting'!N14,"")</f>
        <v/>
      </c>
      <c r="KZ8" s="73" t="str">
        <f>IF(AND('Mitred Cutting'!D14="Deep Ocean",(OR('Straight Cutting'!M14="Face Fix Bottom Track",'Straight Cutting'!M14="U Channel &amp; Face Fix Bottom Track"))),'Straight Cutting'!N14,"")</f>
        <v/>
      </c>
      <c r="LA8" s="73" t="str">
        <f>IF(AND('Mitred Cutting'!D14="Jasper",(OR('Straight Cutting'!M14="Face Fix Bottom Track",'Straight Cutting'!M14="U Channel &amp; Face Fix Bottom Track"))),'Straight Cutting'!N14,"")</f>
        <v/>
      </c>
      <c r="LB8" s="73" t="str">
        <f>IF(AND('Mitred Cutting'!D14="Paperbark",(OR('Straight Cutting'!M14="Face Fix Bottom Track",'Straight Cutting'!M14="U Channel &amp; Face Fix Bottom Track"))),'Straight Cutting'!N14,"")</f>
        <v/>
      </c>
      <c r="LC8" s="73" t="str">
        <f>IF(AND('Mitred Cutting'!D14="Mist Green",(OR('Straight Cutting'!M14="Face Fix Bottom Track",'Straight Cutting'!M14="U Channel &amp; Face Fix Bottom Track"))),'Straight Cutting'!N14,"")</f>
        <v/>
      </c>
      <c r="LD8" s="73" t="str">
        <f>IF(AND('Mitred Cutting'!D14="Primrose",(OR('Straight Cutting'!M14="Face Fix Bottom Track",'Straight Cutting'!M14="U Channel &amp; Face Fix Bottom Track"))),'Straight Cutting'!N14,"")</f>
        <v/>
      </c>
      <c r="LE8" s="73" t="str">
        <f>IF(AND('Mitred Cutting'!D14="Ultra Silver",(OR('Straight Cutting'!M14="Face Fix Bottom Track",'Straight Cutting'!M14="U Channel &amp; Face Fix Bottom Track"))),'Straight Cutting'!N14,"")</f>
        <v/>
      </c>
      <c r="LF8" s="73" t="str">
        <f>IF(AND('Mitred Cutting'!D14="Woodland Grey(Green Tone)",(OR('Straight Cutting'!M14="Face Fix Bottom Track",'Straight Cutting'!M14="U Channel &amp; Face Fix Bottom Track"))),'Straight Cutting'!N14,"")</f>
        <v/>
      </c>
      <c r="LG8" s="73" t="str">
        <f>IF(AND('Mitred Cutting'!D14="Pearl White",(OR('Straight Cutting'!M14="Face Fix Bottom Track",'Straight Cutting'!M14="U Channel &amp; Face Fix Bottom Track"))),'Straight Cutting'!N14,"")</f>
        <v/>
      </c>
      <c r="LH8" s="73" t="str">
        <f>IF(AND('Mitred Cutting'!D14="Monument",(OR('Straight Cutting'!M14="Face Fix Bottom Track",'Straight Cutting'!M14="U Channel &amp; Face Fix Bottom Track"))),'Straight Cutting'!N14,"")</f>
        <v/>
      </c>
      <c r="LI8" s="73" t="str">
        <f>IF(AND('Mitred Cutting'!D14="Surfmist",(OR('Straight Cutting'!M14="Face Fix Bottom Track",'Straight Cutting'!M14="U Channel &amp; Face Fix Bottom Track"))),'Straight Cutting'!N14,"")</f>
        <v/>
      </c>
      <c r="LJ8" s="73" t="str">
        <f>IF(AND('Mitred Cutting'!D14="Dune",(OR('Straight Cutting'!M14="Face Fix Bottom Track",'Straight Cutting'!M14="U Channel &amp; Face Fix Bottom Track"))),'Straight Cutting'!N14,"")</f>
        <v/>
      </c>
      <c r="LK8" s="73" t="str">
        <f>IF(AND('Job Sheet'!Z14="Custom Powdercoat",(OR('Straight Cutting'!M14="Face Fix Bottom Track",'Straight Cutting'!M14="U Channel &amp; Face Fix Bottom Track"))),'Straight Cutting'!N14,"")</f>
        <v/>
      </c>
      <c r="LL8" s="73" t="str">
        <f>IF(AND('Straight Cutting'!H14&lt;&gt;"",'Mitred Cutting'!D14="APO Grey"),'Straight Cutting'!H14/4300,"")</f>
        <v/>
      </c>
      <c r="LM8" s="73" t="str">
        <f>IF(AND('Straight Cutting'!H14&lt;&gt;"",'Mitred Cutting'!D14="White Birch"),'Straight Cutting'!H14,"")</f>
        <v/>
      </c>
      <c r="LN8" s="73" t="str">
        <f>IF(AND('Straight Cutting'!H14&lt;&gt;"",'Mitred Cutting'!D14="Black"),'Straight Cutting'!H14,"")</f>
        <v/>
      </c>
      <c r="LO8" s="73" t="str">
        <f>IF(AND('Straight Cutting'!H14&lt;&gt;"",'Mitred Cutting'!D14="Brown"),'Straight Cutting'!H14,"")</f>
        <v/>
      </c>
      <c r="LP8" s="73" t="str">
        <f>IF(AND('Straight Cutting'!H14&lt;&gt;"",'Mitred Cutting'!D14="Deep Ocean"),'Straight Cutting'!H14,"")</f>
        <v/>
      </c>
      <c r="LQ8" s="73" t="str">
        <f>IF(AND('Straight Cutting'!H14&lt;&gt;"",'Mitred Cutting'!D14="Jasper"),'Straight Cutting'!H14,"")</f>
        <v/>
      </c>
      <c r="LR8" s="73" t="str">
        <f>IF(AND('Straight Cutting'!H14&lt;&gt;"",'Mitred Cutting'!D14="Paperbark"),'Straight Cutting'!H14,"")</f>
        <v/>
      </c>
      <c r="LS8" s="73" t="str">
        <f>IF(AND('Straight Cutting'!H14&lt;&gt;"",'Mitred Cutting'!D14="Mist Green"),'Straight Cutting'!H14,"")</f>
        <v/>
      </c>
      <c r="LT8" s="73" t="str">
        <f>IF(AND('Straight Cutting'!H14&lt;&gt;"",'Mitred Cutting'!D14="Primrose"),'Straight Cutting'!H14,"")</f>
        <v/>
      </c>
      <c r="LU8" s="73" t="str">
        <f>IF(AND('Straight Cutting'!H14&lt;&gt;"",'Mitred Cutting'!D14="Ultra Silver"),'Straight Cutting'!H14,"")</f>
        <v/>
      </c>
      <c r="LV8" s="73" t="str">
        <f>IF(AND('Straight Cutting'!H14&lt;&gt;"",'Mitred Cutting'!D14="Woodland Grey(Green Tone)"),'Straight Cutting'!H14,"")</f>
        <v/>
      </c>
      <c r="LW8" s="73" t="str">
        <f>IF(AND('Straight Cutting'!H14&lt;&gt;"",'Mitred Cutting'!D14="Pearl White"),'Straight Cutting'!H14,"")</f>
        <v/>
      </c>
      <c r="LX8" s="73" t="str">
        <f>IF(AND('Straight Cutting'!H14&lt;&gt;"",'Mitred Cutting'!D14="Monument"),'Straight Cutting'!H14,"")</f>
        <v/>
      </c>
      <c r="LY8" s="73" t="str">
        <f>IF(AND('Straight Cutting'!H14&lt;&gt;"",'Mitred Cutting'!D14="Surfmist"),'Straight Cutting'!H14,"")</f>
        <v/>
      </c>
      <c r="LZ8" s="73" t="str">
        <f>IF(AND('Straight Cutting'!H14&lt;&gt;"",'Mitred Cutting'!D14="Dune"),'Straight Cutting'!H14,"")</f>
        <v/>
      </c>
      <c r="MA8" s="73" t="str">
        <f>IF(AND('Straight Cutting'!H14&lt;&gt;"",'Job Sheet'!Z14="Custom Powdercoat"),'Straight Cutting'!H14,"")</f>
        <v/>
      </c>
      <c r="MB8" s="73" t="str">
        <f>IF(AND('Mitred Cutting'!D14="APO Grey",OR('Straight Cutting'!M14="H Shaped Bottom Track",'Straight Cutting'!M14="U Channel &amp; H Shaped Bottom Track")),'Straight Cutting'!N14,"")</f>
        <v/>
      </c>
      <c r="MC8" s="73" t="str">
        <f>IF(AND('Mitred Cutting'!D14="Birch White",OR('Straight Cutting'!M14="H Shaped Bottom Track",'Straight Cutting'!M14="U Channel &amp; H Shaped Bottom Track")),'Straight Cutting'!N14,"")</f>
        <v/>
      </c>
      <c r="MD8" s="73" t="str">
        <f>IF(AND('Mitred Cutting'!D14="Black",OR('Straight Cutting'!M14="H Shaped Bottom Track",'Straight Cutting'!M14="U Channel &amp; H Shaped Bottom Track")),'Straight Cutting'!N14,"")</f>
        <v/>
      </c>
      <c r="ME8" s="73" t="str">
        <f>IF(AND('Mitred Cutting'!D14="Brown",OR('Straight Cutting'!M14="H Shaped Bottom Track",'Straight Cutting'!M14="U Channel &amp; H Shaped Bottom Track")),'Straight Cutting'!N14,"")</f>
        <v/>
      </c>
      <c r="MF8" s="73" t="str">
        <f>IF(AND('Mitred Cutting'!D14="Deep Ocean",OR('Straight Cutting'!M14="H Shaped Bottom Track",'Straight Cutting'!M14="U Channel &amp; H Shaped Bottom Track")),'Straight Cutting'!N14,"")</f>
        <v/>
      </c>
      <c r="MG8" s="73" t="str">
        <f>IF(AND('Mitred Cutting'!D14="Jasper",OR('Straight Cutting'!M14="H Shaped Bottom Track",'Straight Cutting'!M14="U Channel &amp; H Shaped Bottom Track")),'Straight Cutting'!N14,"")</f>
        <v/>
      </c>
      <c r="MH8" s="73" t="str">
        <f>IF(AND('Mitred Cutting'!D14="Paperbark",OR('Straight Cutting'!M14="H Shaped Bottom Track",'Straight Cutting'!M14="U Channel &amp; H Shaped Bottom Track")),'Straight Cutting'!N14,"")</f>
        <v/>
      </c>
      <c r="MI8" s="73" t="str">
        <f>IF(AND('Mitred Cutting'!D14="Mist Green",OR('Straight Cutting'!M14="H Shaped Bottom Track",'Straight Cutting'!M14="U Channel &amp; H Shaped Bottom Track")),'Straight Cutting'!N14,"")</f>
        <v/>
      </c>
      <c r="MJ8" s="73" t="str">
        <f>IF(AND('Mitred Cutting'!D14="Primrose",OR('Straight Cutting'!M14="H Shaped Bottom Track",'Straight Cutting'!M14="U Channel &amp; H Shaped Bottom Track")),'Straight Cutting'!N14,"")</f>
        <v/>
      </c>
      <c r="MK8" s="73" t="str">
        <f>IF(AND('Mitred Cutting'!D14="Ultra Silver",OR('Straight Cutting'!M14="H Shaped Bottom Track",'Straight Cutting'!M14="U Channel &amp; H Shaped Bottom Track")),'Straight Cutting'!N14,"")</f>
        <v/>
      </c>
      <c r="ML8" s="73" t="str">
        <f>IF(AND('Mitred Cutting'!D14="Woodland Grey(Green Tone)",OR('Straight Cutting'!M14="H Shaped Bottom Track",'Straight Cutting'!M14="U Channel &amp; H Shaped Bottom Track")),'Straight Cutting'!N14,"")</f>
        <v/>
      </c>
      <c r="MM8" s="73" t="str">
        <f>IF(AND('Mitred Cutting'!D14="Pearl White",OR('Straight Cutting'!M14="H Shaped Bottom Track",'Straight Cutting'!M14="U Channel &amp; H Shaped Bottom Track")),'Straight Cutting'!N14,"")</f>
        <v/>
      </c>
      <c r="MN8" s="73" t="str">
        <f>IF(AND('Mitred Cutting'!D14="Monument",OR('Straight Cutting'!M14="H Shaped Bottom Track",'Straight Cutting'!M14="U Channel &amp; H Shaped Bottom Track")),'Straight Cutting'!N14,"")</f>
        <v/>
      </c>
      <c r="MO8" s="73" t="str">
        <f>IF(AND('Mitred Cutting'!D14="Surfmist",OR('Straight Cutting'!M14="H Shaped Bottom Track",'Straight Cutting'!M14="U Channel &amp; H Shaped Bottom Track")),'Straight Cutting'!N14,"")</f>
        <v/>
      </c>
      <c r="MP8" s="73" t="str">
        <f>IF(AND('Mitred Cutting'!D14="Dune",OR('Straight Cutting'!M14="H Shaped Bottom Track",'Straight Cutting'!M14="U Channel &amp; H Shaped Bottom Track")),'Straight Cutting'!N14,"")</f>
        <v/>
      </c>
      <c r="MQ8" s="73" t="str">
        <f>IF(AND('Job Sheet'!Z14="Custom Powdercoat",OR('Straight Cutting'!M14="H Shaped Bottom Track",'Straight Cutting'!M14="U Channel &amp; H Shaped Bottom Track")),'Straight Cutting'!N14,"")</f>
        <v/>
      </c>
      <c r="MR8" s="73" t="str">
        <f>IF(AND('Straight Cutting'!P14="APO Grey",(OR('Job Sheet'!AI14="Yes",'Job Sheet'!AI14="Yes - Centre"))),'Straight Cutting'!Q14,"")</f>
        <v/>
      </c>
      <c r="MS8" s="73" t="str">
        <f>IF(AND('Straight Cutting'!P14="White Birch",(OR('Job Sheet'!AI14="Yes",'Job Sheet'!AI14="Yes - Centre"))),'Straight Cutting'!Q14,"")</f>
        <v/>
      </c>
      <c r="MT8" s="73" t="str">
        <f>IF(AND('Straight Cutting'!P14="Black",(OR('Job Sheet'!AI14="Yes",'Job Sheet'!AI14="Yes - Centre"))),'Straight Cutting'!Q14,"")</f>
        <v/>
      </c>
      <c r="MU8" s="73" t="str">
        <f>IF(AND('Straight Cutting'!P14="Brown",(OR('Job Sheet'!AI14="Yes",'Job Sheet'!AI14="Yes - Centre"))),'Straight Cutting'!Q14,"")</f>
        <v/>
      </c>
      <c r="MV8" s="73" t="str">
        <f>IF(AND('Straight Cutting'!P14="Deep Ocean",(OR('Job Sheet'!AI14="Yes",'Job Sheet'!AI14="Yes - Centre"))),'Straight Cutting'!Q14,"")</f>
        <v/>
      </c>
      <c r="MW8" s="73" t="str">
        <f>IF(AND('Straight Cutting'!P14="Jasper",(OR('Job Sheet'!AI14="Yes",'Job Sheet'!AI14="Yes - Centre"))),'Straight Cutting'!Q14,"")</f>
        <v/>
      </c>
      <c r="MX8" s="73" t="str">
        <f>IF(AND('Straight Cutting'!P14="Paperbark",(OR('Job Sheet'!AI14="Yes",'Job Sheet'!AI14="Yes - Centre"))),'Straight Cutting'!Q14,"")</f>
        <v/>
      </c>
      <c r="MY8" s="73" t="str">
        <f>IF(AND('Straight Cutting'!P14="Mist Green",(OR('Job Sheet'!AI14="Yes",'Job Sheet'!AI14="Yes - Centre"))),'Straight Cutting'!Q14,"")</f>
        <v/>
      </c>
      <c r="MZ8" s="73" t="str">
        <f>IF(AND('Straight Cutting'!P14="Primrose",(OR('Job Sheet'!AI14="Yes",'Job Sheet'!AI14="Yes - Centre"))),'Straight Cutting'!Q14,"")</f>
        <v/>
      </c>
      <c r="NA8" s="73" t="str">
        <f>IF(AND('Straight Cutting'!P14="Ultra Silver",(OR('Job Sheet'!AI14="Yes",'Job Sheet'!AI14="Yes - Centre"))),'Straight Cutting'!Q14,"")</f>
        <v/>
      </c>
      <c r="NB8" s="73" t="str">
        <f>IF(AND('Straight Cutting'!P14="Woodland Grey(Green Tone)",(OR('Job Sheet'!AI14="Yes",'Job Sheet'!AI14="Yes - Centre"))),'Straight Cutting'!Q14,"")</f>
        <v/>
      </c>
      <c r="NC8" s="73" t="str">
        <f>IF(AND('Straight Cutting'!P14="Pearl White",(OR('Job Sheet'!AI14="Yes",'Job Sheet'!AI14="Yes - Centre"))),'Straight Cutting'!Q14,"")</f>
        <v/>
      </c>
      <c r="ND8" s="73" t="str">
        <f>IF(AND('Straight Cutting'!P14="Monument",(OR('Job Sheet'!AI14="Yes",'Job Sheet'!AI14="Yes - Centre"))),'Straight Cutting'!Q14,"")</f>
        <v/>
      </c>
      <c r="NE8" s="73" t="str">
        <f>IF(AND('Straight Cutting'!P14="Surfmist",(OR('Job Sheet'!AI14="Yes",'Job Sheet'!AI14="Yes - Centre"))),'Straight Cutting'!Q14,"")</f>
        <v/>
      </c>
      <c r="NF8" s="73" t="str">
        <f>IF(AND('Straight Cutting'!P14="Dune",(OR('Job Sheet'!AI14="Yes",'Job Sheet'!AI14="Yes - Centre"))),'Straight Cutting'!Q14,"")</f>
        <v/>
      </c>
      <c r="NH8" s="73" t="str">
        <f>IF(AND('Straight Cutting'!P14="APO Grey",(OR('Job Sheet'!AI14="Yes",'Job Sheet'!AI14="Yes - Centre"))),'Straight Cutting'!R14,"")</f>
        <v/>
      </c>
      <c r="NI8" s="73" t="str">
        <f>IF(AND('Straight Cutting'!P14="White Birch",(OR('Job Sheet'!AI14="Yes",'Job Sheet'!AI14="Yes - Centre"))),'Straight Cutting'!R14,"")</f>
        <v/>
      </c>
      <c r="NJ8" s="73" t="str">
        <f>IF(AND('Straight Cutting'!P14="Black",(OR('Job Sheet'!AI14="Yes",'Job Sheet'!AI14="Yes - Centre"))),'Straight Cutting'!R14,"")</f>
        <v/>
      </c>
      <c r="NK8" s="73" t="str">
        <f>IF(AND('Straight Cutting'!P14="Brown",(OR('Job Sheet'!AI14="Yes",'Job Sheet'!AI14="Yes - Centre"))),'Straight Cutting'!R14,"")</f>
        <v/>
      </c>
      <c r="NL8" s="73" t="str">
        <f>IF(AND('Straight Cutting'!P14="Deep Ocean",(OR('Job Sheet'!AI14="Yes",'Job Sheet'!AI14="Yes - Centre"))),'Straight Cutting'!R14,"")</f>
        <v/>
      </c>
      <c r="NM8" s="73" t="str">
        <f>IF(AND('Straight Cutting'!P14="Jasper",(OR('Job Sheet'!AI14="Yes",'Job Sheet'!AI14="Yes - Centre"))),'Straight Cutting'!R14,"")</f>
        <v/>
      </c>
      <c r="NN8" s="73" t="str">
        <f>IF(AND('Straight Cutting'!P14="Paperbark",(OR('Job Sheet'!AI14="Yes",'Job Sheet'!AI14="Yes - Centre"))),'Straight Cutting'!R14,"")</f>
        <v/>
      </c>
      <c r="NO8" s="73" t="str">
        <f>IF(AND('Straight Cutting'!P14="Mist Green",(OR('Job Sheet'!AI14="Yes",'Job Sheet'!AI14="Yes - Centre"))),'Straight Cutting'!R14,"")</f>
        <v/>
      </c>
      <c r="NP8" s="73" t="str">
        <f>IF(AND('Straight Cutting'!P14="Primrose",(OR('Job Sheet'!AI14="Yes",'Job Sheet'!AI14="Yes - Centre"))),'Straight Cutting'!R14,"")</f>
        <v/>
      </c>
      <c r="NQ8" s="73" t="str">
        <f>IF(AND('Straight Cutting'!P14="Ultra Silver",(OR('Job Sheet'!AI14="Yes",'Job Sheet'!AI14="Yes - Centre"))),'Straight Cutting'!R14,"")</f>
        <v/>
      </c>
      <c r="NR8" s="73" t="str">
        <f>IF(AND('Straight Cutting'!P14="Woodland Grey(Green Tone)",(OR('Job Sheet'!AI14="Yes",'Job Sheet'!AI14="Yes - Centre"))),'Straight Cutting'!R14,"")</f>
        <v/>
      </c>
      <c r="NS8" s="73" t="str">
        <f>IF(AND('Straight Cutting'!P14="Pearl White",(OR('Job Sheet'!AI14="Yes",'Job Sheet'!AI14="Yes - Centre"))),'Straight Cutting'!R14,"")</f>
        <v/>
      </c>
      <c r="NT8" s="73" t="str">
        <f>IF(AND('Straight Cutting'!P14="Monument",(OR('Job Sheet'!AI14="Yes",'Job Sheet'!AI14="Yes - Centre"))),'Straight Cutting'!R14,"")</f>
        <v/>
      </c>
      <c r="NU8" s="73" t="str">
        <f>IF(AND('Straight Cutting'!P14="Surfmist",(OR('Job Sheet'!AI14="Yes",'Job Sheet'!AI14="Yes - Centre"))),'Straight Cutting'!R14,"")</f>
        <v/>
      </c>
      <c r="NV8" s="73" t="str">
        <f>IF(AND('Straight Cutting'!P14="Dune",(OR('Job Sheet'!AI14="Yes",'Job Sheet'!AI14="Yes - Centre"))),'Straight Cutting'!R14,"")</f>
        <v/>
      </c>
      <c r="ON8" s="73" t="str">
        <f>IF(Data!AW14="","",IF(VLOOKUP(CONCATENATE(Data!BO14,'Job Sheet'!AE14),DoorType,4,FALSE)="Yes",(('Job Sheet'!BH14-98)*2+('Job Sheet'!BI14-96)*2)/2700,""))</f>
        <v/>
      </c>
      <c r="OO8" s="73" t="str">
        <f>IF(Data!AW14="","",IF('Mitred Cutting'!F14="1.6mm",(('Job Sheet'!BH14-114)*2+('Job Sheet'!BI14-114)*2)/3100,""))</f>
        <v/>
      </c>
      <c r="OP8" s="73" t="str">
        <f>IF(Data!AW14="","",IF('Mitred Cutting'!F14="2mm",(('Job Sheet'!BH14-114)*2+('Job Sheet'!BI14-114)*2)/3100,""))</f>
        <v/>
      </c>
      <c r="OQ8" s="48" t="str">
        <f>IF(Data!AW14="","",IF('Straight Cutting'!R14&lt;&gt;"",(('Job Sheet'!BO14*4)+('Job Sheet'!BQ14*2)+('Job Sheet'!BP14*2))/4000,IF('Mitred Cutting'!C14="Invisi-Gard",(('Job Sheet'!BO14+'Job Sheet'!BP14)*2)/4000,"")))</f>
        <v/>
      </c>
      <c r="OR8" s="48" t="str">
        <f t="shared" si="2"/>
        <v/>
      </c>
      <c r="OS8" s="48" t="str">
        <f t="shared" si="3"/>
        <v/>
      </c>
      <c r="OT8" s="73" t="str">
        <f>IF(D8="","",'Job Sheet'!BH14-2)</f>
        <v/>
      </c>
      <c r="OU8" s="73" t="str">
        <f>IF(OR('Job Sheet'!AE14="Fibreglass Mesh",'Job Sheet'!AE14="Tuff Mesh",'Job Sheet'!AE14="Pet Mesh",'Job Sheet'!AE14="Aluminium Mesh"),'Job Sheet'!BH14*2+'Job Sheet'!BI14*2-200,"")</f>
        <v/>
      </c>
      <c r="OV8" s="73" t="str">
        <f>IF('Job Sheet'!M14="Not Required","",IF(Punching!K14="Hinged High",1,""))</f>
        <v/>
      </c>
      <c r="OW8" s="73" t="str">
        <f>IF('Job Sheet'!M14="Not Required","",IF(Punching!K14="Hinged Low",1,""))</f>
        <v/>
      </c>
      <c r="OX8" s="73" t="str">
        <f>IF('Job Sheet'!M14="Not Required","",IF(Punching!K14="Hinged Pool",1,""))</f>
        <v/>
      </c>
      <c r="OY8" s="73" t="str">
        <f>IF('Job Sheet'!M14="Not Required","",IF(Punching!K14="Hinged Adjustable",1,""))</f>
        <v/>
      </c>
      <c r="OZ8" s="73" t="str">
        <f>IF('Job Sheet'!M14="Not Required","",IF(Punching!K14="Sliding High",1,""))</f>
        <v/>
      </c>
      <c r="PA8" s="73" t="str">
        <f>IF('Job Sheet'!M14="Not Required","",IF(Punching!K14="Sliding Low",1,""))</f>
        <v/>
      </c>
      <c r="PB8" s="73" t="str">
        <f>IF('Job Sheet'!M14="Not Required","",IF(Punching!K14="Sliding Pool",1,""))</f>
        <v/>
      </c>
      <c r="PC8" s="73" t="str">
        <f>IF('Job Sheet'!M14="Not Required","",IF(Punching!K14="Sliding Adjustable",1,""))</f>
        <v/>
      </c>
      <c r="PD8" s="73" t="str">
        <f t="shared" si="0"/>
        <v/>
      </c>
      <c r="PH8" s="73" t="str">
        <f>IF('Job Sheet'!AV14&lt;&gt;"Yes","",IF(OR('Job Sheet'!AY14="Left",'Job Sheet'!AY14="Right"),"1","2"))</f>
        <v/>
      </c>
      <c r="PO8" s="73" t="str">
        <f>IF('Job Sheet'!M14="Bass Latch",1,"")</f>
        <v/>
      </c>
      <c r="PP8" s="73" t="str">
        <f>IF('Job Sheet'!AU14="Yes","2","")</f>
        <v/>
      </c>
      <c r="PQ8" s="73" t="str">
        <f>IF('Job Sheet'!U14="Black",1,"")</f>
        <v/>
      </c>
      <c r="PR8" s="73" t="str">
        <f>IF('Job Sheet'!U14="Dune",1,"")</f>
        <v/>
      </c>
      <c r="PS8" s="73" t="str">
        <f>IF('Job Sheet'!U14="Jasper",1,"")</f>
        <v/>
      </c>
      <c r="PT8" s="73" t="str">
        <f>IF('Job Sheet'!U14="Monument",1,"")</f>
        <v/>
      </c>
      <c r="PU8" s="73" t="str">
        <f>IF('Job Sheet'!U14="Paperbark",1,"")</f>
        <v/>
      </c>
      <c r="PV8" s="73" t="str">
        <f>IF('Job Sheet'!U14="Primrose",1,"")</f>
        <v/>
      </c>
      <c r="PW8" s="73" t="str">
        <f>IF('Job Sheet'!U14="Surfmist",1,"")</f>
        <v/>
      </c>
      <c r="PX8" s="73" t="str">
        <f>IF('Job Sheet'!U14="White",1,"")</f>
        <v/>
      </c>
      <c r="PY8" s="73" t="str">
        <f>IF('Job Sheet'!U14="Woodland Grey(Green Tone)",1,"")</f>
        <v/>
      </c>
      <c r="PZ8" s="73" t="str">
        <f>IF(AND(OR('Job Sheet'!M14="Single Lock",'Job Sheet'!M14="Triple Lock"),'Job Sheet'!J14="Hinged",'Job Sheet'!Q14="Black"),1,"")</f>
        <v/>
      </c>
      <c r="QA8" s="73" t="str">
        <f>IF(AND(OR('Job Sheet'!M14="Single Lock",'Job Sheet'!M14="Triple Lock"),'Job Sheet'!J14="Hinged",'Job Sheet'!Q14="Dune"),1,"")</f>
        <v/>
      </c>
      <c r="QB8" s="73" t="str">
        <f>IF(AND(OR('Job Sheet'!M14="Single Lock",'Job Sheet'!M14="Triple Lock"),'Job Sheet'!J14="Hinged",'Job Sheet'!Q14="Jasper"),1,"")</f>
        <v/>
      </c>
      <c r="QC8" s="73" t="str">
        <f>IF(AND(OR('Job Sheet'!M14="Single Lock",'Job Sheet'!M14="Triple Lock"),'Job Sheet'!J14="Hinged",'Job Sheet'!Q14="Monument"),1,"")</f>
        <v/>
      </c>
      <c r="QD8" s="73" t="str">
        <f>IF(AND(OR('Job Sheet'!M14="Single Lock",'Job Sheet'!M14="Triple Lock"),'Job Sheet'!J14="Hinged",'Job Sheet'!Q14="Paperbark"),1,"")</f>
        <v/>
      </c>
      <c r="QE8" s="73" t="str">
        <f>IF(AND(OR('Job Sheet'!M14="Single Lock",'Job Sheet'!M14="Triple Lock"),'Job Sheet'!J14="Hinged",'Job Sheet'!Q14="Primrose"),1,"")</f>
        <v/>
      </c>
      <c r="QF8" s="73" t="str">
        <f>IF(AND(OR('Job Sheet'!M14="Single Lock",'Job Sheet'!M14="Triple Lock"),'Job Sheet'!J14="Hinged",'Job Sheet'!Q14="Surfmist"),1,"")</f>
        <v/>
      </c>
      <c r="QG8" s="73" t="str">
        <f>IF(AND(OR('Job Sheet'!M14="Single Lock",'Job Sheet'!M14="Triple Lock"),'Job Sheet'!J14="Hinged",'Job Sheet'!Q14="White"),1,"")</f>
        <v/>
      </c>
      <c r="QH8" s="73" t="str">
        <f>IF(AND(OR('Job Sheet'!M14="Single Lock",'Job Sheet'!M14="Triple Lock"),'Job Sheet'!J14="Hinged",'Job Sheet'!Q14="Woodland Grey(Green Tone)"),1,"")</f>
        <v/>
      </c>
      <c r="QI8" s="73" t="str">
        <f>IF(AND(OR('Job Sheet'!M14="Push 2 Go Single Lock",'Job Sheet'!M14="Push 2 Go Triple Lock"),'Job Sheet'!J14="Hinged",'Job Sheet'!Q14="Black"),1,"")</f>
        <v/>
      </c>
      <c r="QJ8" s="73" t="str">
        <f>IF(AND(OR('Job Sheet'!M14="Push 2 Go Single Lock",'Job Sheet'!M14="Push 2 Go Triple Lock"),'Job Sheet'!J14="Hinged",'Job Sheet'!Q14="Dune"),1,"")</f>
        <v/>
      </c>
      <c r="QK8" s="73" t="str">
        <f>IF(AND(OR('Job Sheet'!M14="Push 2 Go Single Lock",'Job Sheet'!M14="Push 2 Go Triple Lock"),'Job Sheet'!J14="Hinged",'Job Sheet'!Q14="Jasper"),1,"")</f>
        <v/>
      </c>
      <c r="QL8" s="73" t="str">
        <f>IF(AND(OR('Job Sheet'!M14="Push 2 Go Single Lock",'Job Sheet'!M14="Push 2 Go Triple Lock"),'Job Sheet'!J14="Hinged",'Job Sheet'!Q14="Monument"),1,"")</f>
        <v/>
      </c>
      <c r="QM8" s="73" t="str">
        <f>IF(AND(OR('Job Sheet'!M14="Push 2 Go Single Lock",'Job Sheet'!M14="Push 2 Go Triple Lock"),'Job Sheet'!J14="Hinged",'Job Sheet'!Q14="Paperbark"),1,"")</f>
        <v/>
      </c>
      <c r="QN8" s="73" t="str">
        <f>IF(AND(OR('Job Sheet'!M14="Push 2 Go Single Lock",'Job Sheet'!M14="Push 2 Go Triple Lock"),'Job Sheet'!J14="Hinged",'Job Sheet'!Q14="Primrose"),1,"")</f>
        <v/>
      </c>
      <c r="QO8" s="73" t="str">
        <f>IF(AND(OR('Job Sheet'!M14="Push 2 Go Single Lock",'Job Sheet'!M14="Push 2 Go Triple Lock"),'Job Sheet'!J14="Hinged",'Job Sheet'!Q14="Surfmist"),1,"")</f>
        <v/>
      </c>
      <c r="QP8" s="73" t="str">
        <f>IF(AND(OR('Job Sheet'!M14="Push 2 Go Single Lock",'Job Sheet'!M14="Push 2 Go Triple Lock"),'Job Sheet'!J14="Hinged",'Job Sheet'!Q14="White"),1,"")</f>
        <v/>
      </c>
      <c r="QQ8" s="73" t="str">
        <f>IF(AND(OR('Job Sheet'!M14="Push 2 Go Single Lock",'Job Sheet'!M14="Push 2 Go Triple Lock"),'Job Sheet'!J14="Hinged",'Job Sheet'!Q14="Woodland Grey(Green Tone)"),1,"")</f>
        <v/>
      </c>
      <c r="QR8" s="73" t="str">
        <f>IF('Job Sheet'!M14="Bass Latch","",IF(AND(OR('Job Sheet'!J14="Sliding",'Job Sheet'!J14="Stacker"),'Job Sheet'!Q14="Black"),1,""))</f>
        <v/>
      </c>
      <c r="QS8" s="73" t="str">
        <f>IF('Job Sheet'!M14="Bass Latch","",IF(AND(OR('Job Sheet'!J14="Sliding",'Job Sheet'!J14="Stacker"),'Job Sheet'!Q14="Dune"),1,""))</f>
        <v/>
      </c>
      <c r="QT8" s="73" t="str">
        <f>IF('Job Sheet'!M14="Bass Latch","",IF(AND(OR('Job Sheet'!J14="Sliding",'Job Sheet'!J14="Stacker"),'Job Sheet'!Q14="Jasper"),1,""))</f>
        <v/>
      </c>
      <c r="QU8" s="73" t="str">
        <f>IF('Job Sheet'!M14="Bass Latch","",IF(AND(OR('Job Sheet'!J14="Sliding",'Job Sheet'!J14="Stacker"),'Job Sheet'!Q14="Monument"),1,""))</f>
        <v/>
      </c>
      <c r="QV8" s="73" t="str">
        <f>IF('Job Sheet'!M14="Bass Latch","",IF(AND(OR('Job Sheet'!J14="Sliding",'Job Sheet'!J14="Stacker"),'Job Sheet'!Q14="Paperbark"),1,""))</f>
        <v/>
      </c>
      <c r="QW8" s="73" t="str">
        <f>IF('Job Sheet'!M14="Bass Latch","",IF(AND(OR('Job Sheet'!J14="Sliding",'Job Sheet'!J14="Stacker"),'Job Sheet'!Q14="Primrose"),1,""))</f>
        <v/>
      </c>
      <c r="QX8" s="73" t="str">
        <f>IF('Job Sheet'!M14="Bass Latch","",IF(AND(OR('Job Sheet'!J14="Sliding",'Job Sheet'!J14="Stacker"),'Job Sheet'!Q14="Surfmist"),1,""))</f>
        <v/>
      </c>
      <c r="QY8" s="73" t="str">
        <f>IF('Job Sheet'!M14="Bass Latch","",IF(AND('Job Sheet'!J14="Sliding",'Job Sheet'!Q14="White"),1,""))</f>
        <v/>
      </c>
      <c r="QZ8" s="73" t="str">
        <f>IF('Job Sheet'!M14="Bass Latch","",IF(AND(OR('Job Sheet'!J14="Sliding",'Job Sheet'!J14="Stacker"),'Job Sheet'!Q14="Woodland Grey(Green Tone)"),1,""))</f>
        <v/>
      </c>
      <c r="RA8" s="73" t="str">
        <f>IF(OR('Job Sheet'!M14="Single Lock",'Job Sheet'!M14="Triple Lock"),1,"")</f>
        <v/>
      </c>
      <c r="RB8" s="73" t="str">
        <f>IF('Job Sheet'!R14="Extended",1,"")</f>
        <v/>
      </c>
      <c r="RC8" s="73" t="str">
        <f>IF(OR('Job Sheet'!J14="Sliding",'Job Sheet'!J14="Stacker"),4,"")</f>
        <v/>
      </c>
      <c r="RD8" s="73" t="str">
        <f>IF('Job Sheet'!J14="Hinged",3,"")</f>
        <v/>
      </c>
      <c r="RF8" s="73" t="str">
        <f>IF(AND('Job Sheet'!AW14="Small 190mm x 240mm",'Job Sheet'!AX14="Black"),1,"")</f>
        <v/>
      </c>
      <c r="RG8" s="73" t="str">
        <f>IF(AND('Job Sheet'!AW14="Medium 225mm x 305mm",'Job Sheet'!AX14="Black"),1,"")</f>
        <v/>
      </c>
      <c r="RH8" s="73" t="str">
        <f>IF(AND('Job Sheet'!AW14="Large 260mm x 400mm",'Job Sheet'!AX14="Black"),1,"")</f>
        <v/>
      </c>
      <c r="RI8" s="73" t="str">
        <f>IF(AND('Job Sheet'!AW14="Small 190mm x 240mm",'Job Sheet'!AX14="White"),1,"")</f>
        <v/>
      </c>
      <c r="RJ8" s="73" t="str">
        <f>IF(AND('Job Sheet'!AW14="Medium 225mm x 305mm",'Job Sheet'!AX14="White"),1,"")</f>
        <v/>
      </c>
      <c r="RK8" s="73" t="str">
        <f>IF(AND('Job Sheet'!AW14="Large 260mm x 400mm",'Job Sheet'!AX14="White"),1,"")</f>
        <v/>
      </c>
      <c r="RL8" s="73" t="str">
        <f>IF('Job Sheet'!AQ14="T Mullion with Cutouts and 2 Lock Bolts",2,"")</f>
        <v/>
      </c>
      <c r="RM8" s="73" t="str">
        <f>IF('Job Sheet'!U14="Water Closer",1,"")</f>
        <v/>
      </c>
      <c r="RN8" s="73" t="str">
        <f>IF('Job Sheet'!AO14="Yes, Included in other Door","",IF(OR('Mitred Cutting'!I14="Long Leg Left, Right and Top",'Mitred Cutting'!I14="Short Leg Left, Right and Top"),2,""))</f>
        <v/>
      </c>
      <c r="RO8" s="73" t="str">
        <f>IF(AND('Mitred Cutting'!C14="Invisi-Gard",(OR('Job Sheet'!AI14="Yes",'Job Sheet'!AI14="Yes - Centre"))),2,"")</f>
        <v/>
      </c>
      <c r="RQ8" s="73" t="str">
        <f>IF('Job Sheet'!M14="Ultra Secua Digital Triple Lock",1,"")</f>
        <v/>
      </c>
      <c r="RT8" s="73" t="str">
        <f>IF(AND('Job Sheet'!BL14="750 x 2000",(OR('Job Sheet'!BK14="Woven Stainless Steel",'Job Sheet'!BK14="Invisi-Gard Woven Stainless Steel"))),1,"")</f>
        <v/>
      </c>
      <c r="RU8" s="73" t="str">
        <f>IF(AND('Job Sheet'!BL14="750 x 2400",(OR('Job Sheet'!BK14="Woven Stainless Steel",'Job Sheet'!BK14="Invisi-Gard Woven Stainless Steel"))),1,"")</f>
        <v/>
      </c>
      <c r="RV8" s="73" t="str">
        <f>IF(AND('Job Sheet'!BL14="750 x 3000",(OR('Job Sheet'!BK14="Woven Stainless Steel",'Job Sheet'!BK14="Invisi-Gard Woven Stainless Steel"))),1,"")</f>
        <v/>
      </c>
      <c r="RW8" s="73" t="str">
        <f>IF(AND('Job Sheet'!BL14="900 x 2000",(OR('Job Sheet'!BK14="Woven Stainless Steel",'Job Sheet'!BK14="Invisi-Gard Woven Stainless Steel"))),1,"")</f>
        <v/>
      </c>
      <c r="RX8" s="73" t="str">
        <f>IF(AND('Job Sheet'!BL14="900 x 2400",(OR('Job Sheet'!BK14="Woven Stainless Steel",'Job Sheet'!BK14="Invisi-Gard Woven Stainless Steel"))),1,"")</f>
        <v/>
      </c>
      <c r="RY8" s="73" t="str">
        <f>IF(AND('Job Sheet'!BL14="900 x 3000",(OR('Job Sheet'!BK14="Woven Stainless Steel",'Job Sheet'!BK14="Invisi-Gard Woven Stainless Steel"))),1,"")</f>
        <v/>
      </c>
      <c r="RZ8" s="73" t="str">
        <f>IF(AND('Job Sheet'!BL14="1200 x 2000",(OR('Job Sheet'!BK14="Woven Stainless Steel",'Job Sheet'!BK14="Invisi-Gard Woven Stainless Steel"))),1,"")</f>
        <v/>
      </c>
      <c r="SA8" s="73" t="str">
        <f>IF(AND('Job Sheet'!BL14="1200 x 2400",(OR('Job Sheet'!BK14="Woven Stainless Steel",'Job Sheet'!BK14="Invisi-Gard Woven Stainless Steel"))),1,"")</f>
        <v/>
      </c>
      <c r="SB8" s="73" t="str">
        <f>IF(AND('Job Sheet'!BL14="1200 x 3000",(OR('Job Sheet'!BK14="Woven Stainless Steel",'Job Sheet'!BK14="Invisi-Gard Woven Stainless Steel"))),1,"")</f>
        <v/>
      </c>
      <c r="SC8" s="73" t="str">
        <f>IF(AND('Job Sheet'!BL14="1500 x 2000",(OR('Job Sheet'!BK14="Woven Stainless Steel",'Job Sheet'!BK14="Invisi-Gard Woven Stainless Steel"))),1,"")</f>
        <v/>
      </c>
      <c r="SD8" s="73" t="str">
        <f>IF(AND('Job Sheet'!BL14="1500 x 2400",(OR('Job Sheet'!BK14="Woven Stainless Steel",'Job Sheet'!BK14="Invisi-Gard Woven Stainless Steel"))),1,"")</f>
        <v/>
      </c>
      <c r="SE8" s="73" t="str">
        <f>IF(AND('Job Sheet'!BL14="1500 x 3000",(OR('Job Sheet'!BK14="Woven Stainless Steel",'Job Sheet'!BK14="Invisi-Gard Woven Stainless Steel"))),1,"")</f>
        <v/>
      </c>
      <c r="SF8" s="73" t="str">
        <f>IF(AND('Job Sheet'!BK14="Alu-Gard Perforated Aluminium",'Job Sheet'!BL14="750 x 2000"),1,"")</f>
        <v/>
      </c>
      <c r="SG8" s="73" t="str">
        <f>IF(AND('Job Sheet'!BK14="Alu-Gard Perforated Aluminium",'Job Sheet'!BL14="750 x 2400"),1,"")</f>
        <v/>
      </c>
      <c r="SH8" s="73" t="str">
        <f>IF(AND('Job Sheet'!BK14="Alu-Gard Perforated Aluminium",'Job Sheet'!BL14="750 x 3000"),1,"")</f>
        <v/>
      </c>
      <c r="SI8" s="73" t="str">
        <f>IF(AND('Job Sheet'!BK14="Alu-Gard Perforated Aluminium",'Job Sheet'!BL14="900 x 2000"),1,"")</f>
        <v/>
      </c>
      <c r="SJ8" s="73" t="str">
        <f>IF(AND('Job Sheet'!BK14="Alu-Gard Perforated Aluminium",'Job Sheet'!BL14="900 x 2400"),1,"")</f>
        <v/>
      </c>
      <c r="SK8" s="73" t="str">
        <f>IF(AND('Job Sheet'!BK14="Alu-Gard Perforated Aluminium",'Job Sheet'!BL14="900 x 3000"),1,"")</f>
        <v/>
      </c>
      <c r="SL8" s="73" t="str">
        <f>IF(AND('Job Sheet'!BK14="Alu-Gard Perforated Aluminium",'Job Sheet'!BL14="1200 x 2000"),1,"")</f>
        <v/>
      </c>
      <c r="SM8" s="73" t="str">
        <f>IF(AND('Job Sheet'!BK14="Alu-Gard Perforated Aluminium",'Job Sheet'!BL14="1200 x 2400"),1,"")</f>
        <v/>
      </c>
      <c r="SN8" s="73" t="str">
        <f>IF(AND('Job Sheet'!BK14="Alu-Gard Perforated Aluminium",'Job Sheet'!BL14="1200 x 3000"),1,"")</f>
        <v/>
      </c>
      <c r="SO8" s="73" t="str">
        <f>IF(AND('Job Sheet'!BK14="Alu-Gard Perforated Aluminium",'Job Sheet'!BL14="1500 x 2000"),1,"")</f>
        <v/>
      </c>
      <c r="SP8" s="73" t="str">
        <f>IF(AND('Job Sheet'!BK14="Alu-Gard Perforated Aluminium",'Job Sheet'!BL14="1500 x 2400"),1,"")</f>
        <v/>
      </c>
      <c r="SQ8" s="73" t="str">
        <f>IF(AND('Job Sheet'!BK14="Alu-Gard Perforated Aluminium",'Job Sheet'!BL14="1500 x 3000"),1,"")</f>
        <v/>
      </c>
      <c r="SR8" s="73" t="str">
        <f>IF(AND('Job Sheet'!BK14="Privacy-Gard",'Job Sheet'!BL14="750 x 2000"),1,"")</f>
        <v/>
      </c>
      <c r="SS8" s="73" t="str">
        <f>IF(AND('Job Sheet'!BK14="Privacy-Gard",'Job Sheet'!BL14="750 x 2400"),1,"")</f>
        <v/>
      </c>
      <c r="ST8" s="73" t="str">
        <f>IF(AND('Job Sheet'!BK14="Privacy-Gard",'Job Sheet'!BL14="900 x 2000"),1,"")</f>
        <v/>
      </c>
      <c r="SU8" s="73" t="str">
        <f>IF(AND('Job Sheet'!BK14="Privacy-Gard",'Job Sheet'!BL14="900 x 2400"),1,"")</f>
        <v/>
      </c>
      <c r="SV8" s="73" t="str">
        <f>IF(AND('Job Sheet'!BK14="Privacy-Gard",'Job Sheet'!BL14="1200 x 2000"),1,"")</f>
        <v/>
      </c>
      <c r="SW8" s="73" t="str">
        <f>IF(AND('Job Sheet'!BK14="Privacy-Gard",'Job Sheet'!BL14="1200 x 2400"),1,"")</f>
        <v/>
      </c>
      <c r="SX8" s="73" t="str">
        <f>IF(AND('Job Sheet'!BK14="Standard Diamond",'Job Sheet'!BL14="750 x 2050",'Job Sheet'!AB14="APO Grey"),1,"")</f>
        <v/>
      </c>
      <c r="SY8" s="73" t="str">
        <f>IF(AND('Job Sheet'!BK14="Standard Diamond",'Job Sheet'!BL14="750 x 2050",'Job Sheet'!AB14="White Birch"),1,"")</f>
        <v/>
      </c>
      <c r="SZ8" s="73" t="str">
        <f>IF(AND('Job Sheet'!BK14="Standard Diamond",'Job Sheet'!BL14="750 x 2050",'Job Sheet'!AB14="Black"),1,"")</f>
        <v/>
      </c>
      <c r="TA8" s="73" t="str">
        <f>IF(AND('Job Sheet'!BK14="Standard Diamond",'Job Sheet'!BL14="750 x 2050",'Job Sheet'!AB14="Brown"),1,"")</f>
        <v/>
      </c>
      <c r="TB8" s="73" t="str">
        <f>IF(AND('Job Sheet'!BK14="Standard Diamond",'Job Sheet'!BL14="750 x 2050",'Job Sheet'!AB14="Deep Ocean"),1,"")</f>
        <v/>
      </c>
      <c r="TC8" s="73" t="str">
        <f>IF(AND('Job Sheet'!BK14="Standard Diamond",'Job Sheet'!BL14="750 x 2050",'Job Sheet'!AB14="Jasper"),1,"")</f>
        <v/>
      </c>
      <c r="TD8" s="73" t="str">
        <f>IF(AND('Job Sheet'!BK14="Standard Diamond",'Job Sheet'!BL14="750 x 2050",'Job Sheet'!AB14="Paperbark"),1,"")</f>
        <v/>
      </c>
      <c r="TE8" s="73" t="str">
        <f>IF(AND('Job Sheet'!BK14="Standard Diamond",'Job Sheet'!BL14="750 x 2050",'Job Sheet'!AB14="Mist Green"),1,"")</f>
        <v/>
      </c>
      <c r="TF8" s="73" t="str">
        <f>IF(AND('Job Sheet'!BK14="Standard Diamond",'Job Sheet'!BL14="750 x 2050",'Job Sheet'!AB14="Primrose"),1,"")</f>
        <v/>
      </c>
      <c r="TG8" s="73" t="str">
        <f>IF(AND('Job Sheet'!BK14="Standard Diamond",'Job Sheet'!BL14="750 x 2050",'Job Sheet'!AB14="Ultra Silver"),1,"")</f>
        <v/>
      </c>
      <c r="TH8" s="73" t="str">
        <f>IF(AND('Job Sheet'!BK14="Standard Diamond",'Job Sheet'!BL14="750 x 2050",'Job Sheet'!AB14="Woodland Grey(Green Tone)"),1,"")</f>
        <v/>
      </c>
      <c r="TI8" s="73" t="str">
        <f>IF(AND('Job Sheet'!BK14="Standard Diamond",'Job Sheet'!BL14="750 x 2050",'Job Sheet'!AB14="Pearl White"),1,"")</f>
        <v/>
      </c>
      <c r="TJ8" s="73" t="str">
        <f>IF(AND('Job Sheet'!BK14="Standard Diamond",'Job Sheet'!BL14="750 x 2050",'Job Sheet'!AB14="Monument"),1,"")</f>
        <v/>
      </c>
      <c r="TK8" s="73" t="str">
        <f>IF(AND('Job Sheet'!BK14="Standard Diamond",'Job Sheet'!BL14="750 x 2050",'Job Sheet'!AB14="Surfmist"),1,"")</f>
        <v/>
      </c>
      <c r="TL8" s="73" t="str">
        <f>IF(AND('Job Sheet'!BK14="Standard Diamond",'Job Sheet'!BL14="750 x 2050",'Job Sheet'!AB14="Dune"),1,"")</f>
        <v/>
      </c>
      <c r="TM8" s="73" t="str">
        <f>IF(AND('Job Sheet'!BK14="Standard Diamond",'Job Sheet'!BL14="750 x 2050",'Job Sheet'!AB14="Custom Powdercoat"),1,"")</f>
        <v/>
      </c>
      <c r="TN8" s="73" t="str">
        <f>IF(AND('Job Sheet'!BK14="Standard Diamond",'Job Sheet'!BL14="835 x 2050",'Job Sheet'!AB14="APO Grey"),1,"")</f>
        <v/>
      </c>
      <c r="TO8" s="73" t="str">
        <f>IF(AND('Job Sheet'!BK14="Standard Diamond",'Job Sheet'!BL14="835 x 2050",'Job Sheet'!AB14="White Birch"),1,"")</f>
        <v/>
      </c>
      <c r="TP8" s="73" t="str">
        <f>IF(AND('Job Sheet'!BK14="Standard Diamond",'Job Sheet'!BL14="835 x 2050",'Job Sheet'!AB14="Black"),1,"")</f>
        <v/>
      </c>
      <c r="TQ8" s="73" t="str">
        <f>IF(AND('Job Sheet'!BK14="Standard Diamond",'Job Sheet'!BL14="835 x 2050",'Job Sheet'!AB14="Brown"),1,"")</f>
        <v/>
      </c>
      <c r="TR8" s="73" t="str">
        <f>IF(AND('Job Sheet'!BK14="Standard Diamond",'Job Sheet'!BL14="835 x 2050",'Job Sheet'!AB14="Deep Ocean"),1,"")</f>
        <v/>
      </c>
      <c r="TS8" s="73" t="str">
        <f>IF(AND('Job Sheet'!BK14="Standard Diamond",'Job Sheet'!BL14="835 x 2050",'Job Sheet'!AB14="Jasper"),1,"")</f>
        <v/>
      </c>
      <c r="TT8" s="73" t="str">
        <f>IF(AND('Job Sheet'!BK14="Standard Diamond",'Job Sheet'!BL14="835 x 2050",'Job Sheet'!AB14="Paperbark"),1,"")</f>
        <v/>
      </c>
      <c r="TU8" s="73" t="str">
        <f>IF(AND('Job Sheet'!BK14="Standard Diamond",'Job Sheet'!BL14="835 x 2050",'Job Sheet'!AB14="Mist Green"),1,"")</f>
        <v/>
      </c>
      <c r="TV8" s="73" t="str">
        <f>IF(AND('Job Sheet'!BK14="Standard Diamond",'Job Sheet'!BL14="835 x 2050",'Job Sheet'!AB14="Primrose"),1,"")</f>
        <v/>
      </c>
      <c r="TW8" s="73" t="str">
        <f>IF(AND('Job Sheet'!BK14="Standard Diamond",'Job Sheet'!BL14="835 x 2050",'Job Sheet'!AB14="Ultra Silver"),1,"")</f>
        <v/>
      </c>
      <c r="TX8" s="73" t="str">
        <f>IF(AND('Job Sheet'!BK14="Standard Diamond",'Job Sheet'!BL14="835 x 2050",'Job Sheet'!AB14="Woodland Grey(Green Tone)"),1,"")</f>
        <v/>
      </c>
      <c r="TY8" s="73" t="str">
        <f>IF(AND('Job Sheet'!BK14="Standard Diamond",'Job Sheet'!BL14="835 x 2050",'Job Sheet'!AB14="Pearl White"),1,"")</f>
        <v/>
      </c>
      <c r="TZ8" s="73" t="str">
        <f>IF(AND('Job Sheet'!BK14="Standard Diamond",'Job Sheet'!BL14="835 x 2050",'Job Sheet'!AB14="Monument"),1,"")</f>
        <v/>
      </c>
      <c r="UA8" s="73" t="str">
        <f>IF(AND('Job Sheet'!BK14="Standard Diamond",'Job Sheet'!BL14="835 x 2050",'Job Sheet'!AB14="Surfmist"),1,"")</f>
        <v/>
      </c>
      <c r="UB8" s="73" t="str">
        <f>IF(AND('Job Sheet'!BK14="Standard Diamond",'Job Sheet'!BL14="835 x 2050",'Job Sheet'!AB14="Dune"),1,"")</f>
        <v/>
      </c>
      <c r="UC8" s="73" t="str">
        <f>IF(AND('Job Sheet'!BK14="Standard Diamond",'Job Sheet'!BL14="835 x 2050",'Job Sheet'!AB14="Custom Powdercoat"),1,"")</f>
        <v/>
      </c>
      <c r="UD8" s="73" t="str">
        <f>IF(AND('Job Sheet'!BK14="Standard Diamond",'Job Sheet'!BL14="920 x 2050",'Job Sheet'!AB14="APO Grey"),1,"")</f>
        <v/>
      </c>
      <c r="UE8" s="73" t="str">
        <f>IF(AND('Job Sheet'!BK14="Standard Diamond",'Job Sheet'!BL14="920 x 2050",'Job Sheet'!AB14="White Birch"),1,"")</f>
        <v/>
      </c>
      <c r="UF8" s="73" t="str">
        <f>IF(AND('Job Sheet'!BK14="Standard Diamond",'Job Sheet'!BL14="920 x 2050",'Job Sheet'!AB14="Black"),1,"")</f>
        <v/>
      </c>
      <c r="UG8" s="73" t="str">
        <f>IF(AND('Job Sheet'!BK14="Standard Diamond",'Job Sheet'!BL14="920 x 2050",'Job Sheet'!AB14="Brown"),1,"")</f>
        <v/>
      </c>
      <c r="UH8" s="73" t="str">
        <f>IF(AND('Job Sheet'!BK14="Standard Diamond",'Job Sheet'!BL14="920 x 2050",'Job Sheet'!AB14="Deep Ocean"),1,"")</f>
        <v/>
      </c>
      <c r="UI8" s="73" t="str">
        <f>IF(AND('Job Sheet'!BK14="Standard Diamond",'Job Sheet'!BL14="920 x 2050",'Job Sheet'!AB14="Jasper"),1,"")</f>
        <v/>
      </c>
      <c r="UJ8" s="73" t="str">
        <f>IF(AND('Job Sheet'!BK14="Standard Diamond",'Job Sheet'!BL14="920 x 2050",'Job Sheet'!AB14="Paperbark"),1,"")</f>
        <v/>
      </c>
      <c r="UK8" s="73" t="str">
        <f>IF(AND('Job Sheet'!BK14="Standard Diamond",'Job Sheet'!BL14="920 x 2050",'Job Sheet'!AB14="Mist Green"),1,"")</f>
        <v/>
      </c>
      <c r="UL8" s="73" t="str">
        <f>IF(AND('Job Sheet'!BK14="Standard Diamond",'Job Sheet'!BL14="920 x 2050",'Job Sheet'!AB14="Primrose"),1,"")</f>
        <v/>
      </c>
      <c r="UM8" s="73" t="str">
        <f>IF(AND('Job Sheet'!BK14="Standard Diamond",'Job Sheet'!BL14="920 x 2050",'Job Sheet'!AB14="Ultra Silver"),1,"")</f>
        <v/>
      </c>
      <c r="UN8" s="73" t="str">
        <f>IF(AND('Job Sheet'!BK14="Standard Diamond",'Job Sheet'!BL14="920 x 2050",'Job Sheet'!AB14="Woodland Grey(Green Tone)"),1,"")</f>
        <v/>
      </c>
      <c r="UO8" s="73" t="str">
        <f>IF(AND('Job Sheet'!BK14="Standard Diamond",'Job Sheet'!BL14="920 x 2050",'Job Sheet'!AB14="Pearl White"),1,"")</f>
        <v/>
      </c>
      <c r="UP8" s="73" t="str">
        <f>IF(AND('Job Sheet'!BK14="Standard Diamond",'Job Sheet'!BL14="920 x 2050",'Job Sheet'!AB14="Monument"),1,"")</f>
        <v/>
      </c>
      <c r="UQ8" s="73" t="str">
        <f>IF(AND('Job Sheet'!BK14="Standard Diamond",'Job Sheet'!BL14="920 x 2050",'Job Sheet'!AB14="Surfmist"),1,"")</f>
        <v/>
      </c>
      <c r="UR8" s="73" t="str">
        <f>IF(AND('Job Sheet'!BK14="Standard Diamond",'Job Sheet'!BL14="920 x 2050",'Job Sheet'!AB14="Dune"),1,"")</f>
        <v/>
      </c>
      <c r="US8" s="73" t="str">
        <f>IF(AND('Job Sheet'!BK14="Standard Diamond",'Job Sheet'!BL14="920 x 2050",'Job Sheet'!AB14="Custom Powdercoat"),1,"")</f>
        <v/>
      </c>
      <c r="UT8" s="73" t="str">
        <f>IF(AND('Job Sheet'!BK14="Standard Diamond",'Job Sheet'!BL14="1200 x 2050",'Job Sheet'!AB14="APO Grey"),1,"")</f>
        <v/>
      </c>
      <c r="UU8" s="73" t="str">
        <f>IF(AND('Job Sheet'!BK14="Standard Diamond",'Job Sheet'!BL14="1200 x 2050",'Job Sheet'!AB14="White Birch"),1,"")</f>
        <v/>
      </c>
      <c r="UV8" s="73" t="str">
        <f>IF(AND('Job Sheet'!BK14="Standard Diamond",'Job Sheet'!BL14="1200 x 2050",'Job Sheet'!AB14="Black"),1,"")</f>
        <v/>
      </c>
      <c r="UW8" s="73" t="str">
        <f>IF(AND('Job Sheet'!BK14="Standard Diamond",'Job Sheet'!BL14="1200 x 2050",'Job Sheet'!AB14="Brown"),1,"")</f>
        <v/>
      </c>
      <c r="UX8" s="73" t="str">
        <f>IF(AND('Job Sheet'!BK14="Standard Diamond",'Job Sheet'!BL14="1200 x 2050",'Job Sheet'!AB14="Deep Ocean"),1,"")</f>
        <v/>
      </c>
      <c r="UY8" s="73" t="str">
        <f>IF(AND('Job Sheet'!BK14="Standard Diamond",'Job Sheet'!BL14="1200 x 2050",'Job Sheet'!AB14="Jasper"),1,"")</f>
        <v/>
      </c>
      <c r="UZ8" s="73" t="str">
        <f>IF(AND('Job Sheet'!BK14="Standard Diamond",'Job Sheet'!BL14="1200 x 2050",'Job Sheet'!AB14="Paperbark"),1,"")</f>
        <v/>
      </c>
      <c r="VA8" s="73" t="str">
        <f>IF(AND('Job Sheet'!BK14="Standard Diamond",'Job Sheet'!BL14="1200 x 2050",'Job Sheet'!AB14="Mist Green"),1,"")</f>
        <v/>
      </c>
      <c r="VB8" s="73" t="str">
        <f>IF(AND('Job Sheet'!BK14="Standard Diamond",'Job Sheet'!BL14="1200 x 2050",'Job Sheet'!AB14="Primrose"),1,"")</f>
        <v/>
      </c>
      <c r="VC8" s="73" t="str">
        <f>IF(AND('Job Sheet'!BK14="Standard Diamond",'Job Sheet'!BL14="1200 x 2050",'Job Sheet'!AB14="Ultra Silver"),1,"")</f>
        <v/>
      </c>
      <c r="VD8" s="73" t="str">
        <f>IF(AND('Job Sheet'!BK14="Standard Diamond",'Job Sheet'!BL14="1200 x 2050",'Job Sheet'!AB14="Woodland Grey(Green Tone)"),1,"")</f>
        <v/>
      </c>
      <c r="VE8" s="73" t="str">
        <f>IF(AND('Job Sheet'!BK14="Standard Diamond",'Job Sheet'!BL14="1200 x 2050",'Job Sheet'!AB14="Pearl White"),1,"")</f>
        <v/>
      </c>
      <c r="VF8" s="73" t="str">
        <f>IF(AND('Job Sheet'!BK14="Standard Diamond",'Job Sheet'!BL14="1200 x 2050",'Job Sheet'!AB14="Monument"),1,"")</f>
        <v/>
      </c>
      <c r="VG8" s="73" t="str">
        <f>IF(AND('Job Sheet'!BK14="Standard Diamond",'Job Sheet'!BL14="1200 x 2050",'Job Sheet'!AB14="Surfmist"),1,"")</f>
        <v/>
      </c>
      <c r="VH8" s="73" t="str">
        <f>IF(AND('Job Sheet'!BK14="Standard Diamond",'Job Sheet'!BL14="1200 x 2050",'Job Sheet'!AB14="Dune"),1,"")</f>
        <v/>
      </c>
      <c r="VI8" s="73" t="str">
        <f>IF(AND('Job Sheet'!BK14="Standard Diamond",'Job Sheet'!BL14="1200 x 2050",'Job Sheet'!AB14="Custom Powdercoat"),1,"")</f>
        <v/>
      </c>
      <c r="VJ8" s="73" t="str">
        <f>IF(AND('Job Sheet'!BK14="Standard Diamond",'Job Sheet'!BL14="920 x 2450",'Job Sheet'!AB14="APO Grey"),1,"")</f>
        <v/>
      </c>
      <c r="VK8" s="73" t="str">
        <f>IF(AND('Job Sheet'!BK14="Standard Diamond",'Job Sheet'!BL14="920 x 2450",'Job Sheet'!AB14="White Birch"),1,"")</f>
        <v/>
      </c>
      <c r="VL8" s="73" t="str">
        <f>IF(AND('Job Sheet'!BK14="Standard Diamond",'Job Sheet'!BL14="920 x 2450",'Job Sheet'!AB14="Black"),1,"")</f>
        <v/>
      </c>
      <c r="VM8" s="73" t="str">
        <f>IF(AND('Job Sheet'!BK14="Standard Diamond",'Job Sheet'!BL14="920 x 2450",'Job Sheet'!AB14="Brown"),1,"")</f>
        <v/>
      </c>
      <c r="VN8" s="73" t="str">
        <f>IF(AND('Job Sheet'!BK14="Standard Diamond",'Job Sheet'!BL14="920 x 2450",'Job Sheet'!AB14="Deep Ocean"),1,"")</f>
        <v/>
      </c>
      <c r="VO8" s="73" t="str">
        <f>IF(AND('Job Sheet'!BK14="Standard Diamond",'Job Sheet'!BL14="920 x 2450",'Job Sheet'!AB14="Jasper"),1,"")</f>
        <v/>
      </c>
      <c r="VP8" s="73" t="str">
        <f>IF(AND('Job Sheet'!BK14="Standard Diamond",'Job Sheet'!BL14="920 x 2450",'Job Sheet'!AB14="Paperbark"),1,"")</f>
        <v/>
      </c>
      <c r="VQ8" s="73" t="str">
        <f>IF(AND('Job Sheet'!BK14="Standard Diamond",'Job Sheet'!BL14="920 x 2450",'Job Sheet'!AB14="Mist Green"),1,"")</f>
        <v/>
      </c>
      <c r="VR8" s="73" t="str">
        <f>IF(AND('Job Sheet'!BK14="Standard Diamond",'Job Sheet'!BL14="920 x 2450",'Job Sheet'!AB14="Primrose"),1,"")</f>
        <v/>
      </c>
      <c r="VS8" s="73" t="str">
        <f>IF(AND('Job Sheet'!BK14="Standard Diamond",'Job Sheet'!BL14="920 x 2450",'Job Sheet'!AB14="Ultra Silver"),1,"")</f>
        <v/>
      </c>
      <c r="VT8" s="73" t="str">
        <f>IF(AND('Job Sheet'!BK14="Standard Diamond",'Job Sheet'!BL14="920 x 2450",'Job Sheet'!AB14="Woodland Grey(Green Tone)"),1,"")</f>
        <v/>
      </c>
      <c r="VU8" s="73" t="str">
        <f>IF(AND('Job Sheet'!BK14="Standard Diamond",'Job Sheet'!BL14="920 x 2450",'Job Sheet'!AB14="Pearl White"),1,"")</f>
        <v/>
      </c>
      <c r="VV8" s="73" t="str">
        <f>IF(AND('Job Sheet'!BK14="Standard Diamond",'Job Sheet'!BL14="920 x 2450",'Job Sheet'!AB14="Monument"),1,"")</f>
        <v/>
      </c>
      <c r="VW8" s="73" t="str">
        <f>IF(AND('Job Sheet'!BK14="Standard Diamond",'Job Sheet'!BL14="920 x 2450",'Job Sheet'!AB14="Surfmist"),1,"")</f>
        <v/>
      </c>
      <c r="VX8" s="73" t="str">
        <f>IF(AND('Job Sheet'!BK14="Standard Diamond",'Job Sheet'!BL14="920 x 2450",'Job Sheet'!AB14="Dune"),1,"")</f>
        <v/>
      </c>
      <c r="VY8" s="73" t="str">
        <f>IF(AND('Job Sheet'!BK14="Standard Diamond",'Job Sheet'!BL14="920 x 2450",'Job Sheet'!AB14="Custom Powdercoat"),1,"")</f>
        <v/>
      </c>
      <c r="VZ8" s="73" t="str">
        <f>IF(AND('Job Sheet'!BK14="Standard Diamond",'Job Sheet'!BL14="1200 x 2450",'Job Sheet'!AB14="APO Grey"),1,"")</f>
        <v/>
      </c>
      <c r="WA8" s="73" t="str">
        <f>IF(AND('Job Sheet'!BK14="Standard Diamond",'Job Sheet'!BL14="1200 x 2450",'Job Sheet'!AB14="White Birch"),1,"")</f>
        <v/>
      </c>
      <c r="WB8" s="73" t="str">
        <f>IF(AND('Job Sheet'!BK14="Standard Diamond",'Job Sheet'!BL14="1200 x 2450",'Job Sheet'!AB14="Black"),1,"")</f>
        <v/>
      </c>
      <c r="WC8" s="73" t="str">
        <f>IF(AND('Job Sheet'!BK14="Standard Diamond",'Job Sheet'!BL14="1200 x 2450",'Job Sheet'!AB14="Brown"),1,"")</f>
        <v/>
      </c>
      <c r="WD8" s="73" t="str">
        <f>IF(AND('Job Sheet'!BK14="Standard Diamond",'Job Sheet'!BL14="1200 x 2450",'Job Sheet'!AB14="Deep Ocean"),1,"")</f>
        <v/>
      </c>
      <c r="WE8" s="73" t="str">
        <f>IF(AND('Job Sheet'!BK14="Standard Diamond",'Job Sheet'!BL14="1200 x 2450",'Job Sheet'!AB14="Jasper"),1,"")</f>
        <v/>
      </c>
      <c r="WF8" s="73" t="str">
        <f>IF(AND('Job Sheet'!BK14="Standard Diamond",'Job Sheet'!BL14="1200 x 2450",'Job Sheet'!AB14="Paperbark"),1,"")</f>
        <v/>
      </c>
      <c r="WG8" s="73" t="str">
        <f>IF(AND('Job Sheet'!BK14="Standard Diamond",'Job Sheet'!BL14="1200 x 2450",'Job Sheet'!AB14="Mist Green"),1,"")</f>
        <v/>
      </c>
      <c r="WH8" s="73" t="str">
        <f>IF(AND('Job Sheet'!BK14="Standard Diamond",'Job Sheet'!BL14="1200 x 2450",'Job Sheet'!AB14="Primrose"),1,"")</f>
        <v/>
      </c>
      <c r="WI8" s="73" t="str">
        <f>IF(AND('Job Sheet'!BK14="Standard Diamond",'Job Sheet'!BL14="1200 x 2450",'Job Sheet'!AB14="Ultra Silver"),1,"")</f>
        <v/>
      </c>
      <c r="WJ8" s="73" t="str">
        <f>IF(AND('Job Sheet'!BK14="Standard Diamond",'Job Sheet'!BL14="1200 x 2450",'Job Sheet'!AB14="Woodland Grey(Green Tone)"),1,"")</f>
        <v/>
      </c>
      <c r="WK8" s="73" t="str">
        <f>IF(AND('Job Sheet'!BK14="Standard Diamond",'Job Sheet'!BL14="1200 x 2450",'Job Sheet'!AB14="Pearl White"),1,"")</f>
        <v/>
      </c>
      <c r="WL8" s="73" t="str">
        <f>IF(AND('Job Sheet'!BK14="Standard Diamond",'Job Sheet'!BL14="1200 x 2450",'Job Sheet'!AB14="Monument"),1,"")</f>
        <v/>
      </c>
      <c r="WM8" s="73" t="str">
        <f>IF(AND('Job Sheet'!BK14="Standard Diamond",'Job Sheet'!BL14="1200 x 2450",'Job Sheet'!AB14="Surfmist"),1,"")</f>
        <v/>
      </c>
      <c r="WN8" s="73" t="str">
        <f>IF(AND('Job Sheet'!BK14="Standard Diamond",'Job Sheet'!BL14="1200 x 2450",'Mitred Cutting'!D14="Dune"),1,"")</f>
        <v/>
      </c>
      <c r="WO8" s="73" t="str">
        <f>IF(AND('Job Sheet'!BK14="Standard Diamond",'Job Sheet'!BL14="1200 x 2450",'Job Sheet'!AB14="Custom Powdercoat"),1,"")</f>
        <v/>
      </c>
      <c r="WP8" s="73" t="str">
        <f>IF(AND('Job Sheet'!BK14="Decorative Diamond",'Job Sheet'!BL14="770 x 2050",'Job Sheet'!AB14="APO Grey"),1,"")</f>
        <v/>
      </c>
      <c r="WQ8" s="73" t="str">
        <f>IF(AND('Job Sheet'!BK14="Decorative Diamond",'Job Sheet'!BL14="770 x 2050",'Job Sheet'!AB14="White Birch"),1,"")</f>
        <v/>
      </c>
      <c r="WR8" s="73" t="str">
        <f>IF(AND('Job Sheet'!BK14="Decorative Diamond",'Job Sheet'!BL14="770 x 2050",'Job Sheet'!AB14="Black"),1,"")</f>
        <v/>
      </c>
      <c r="WS8" s="73" t="str">
        <f>IF(AND('Job Sheet'!BK14="Decorative Diamond",'Job Sheet'!BL14="770 x 2050",'Job Sheet'!AB14="Brown"),1,"")</f>
        <v/>
      </c>
      <c r="WT8" s="73" t="str">
        <f>IF(AND('Job Sheet'!BK14="Decorative Diamond",'Job Sheet'!BL14="770 x 2050",'Job Sheet'!AB14="Deep Ocean"),1,"")</f>
        <v/>
      </c>
      <c r="WU8" s="73" t="str">
        <f>IF(AND('Job Sheet'!BK14="Decorative Diamond",'Job Sheet'!BL14="770 x 2050",'Job Sheet'!AB14="Jasper"),1,"")</f>
        <v/>
      </c>
      <c r="WV8" s="73" t="str">
        <f>IF(AND('Job Sheet'!BK14="Decorative Diamond",'Job Sheet'!BL14="770 x 2050",'Job Sheet'!AB14="Paperbark"),1,"")</f>
        <v/>
      </c>
      <c r="WW8" s="73" t="str">
        <f>IF(AND('Job Sheet'!BK14="Decorative Diamond",'Job Sheet'!BL14="770 x 2050",'Job Sheet'!AB14="Mist Green"),1,"")</f>
        <v/>
      </c>
      <c r="WX8" s="73" t="str">
        <f>IF(AND('Job Sheet'!BK14="Decorative Diamond",'Job Sheet'!BL14="770 x 2050",'Job Sheet'!AB14="Primrose"),1,"")</f>
        <v/>
      </c>
      <c r="WY8" s="73" t="str">
        <f>IF(AND('Job Sheet'!BK14="Decorative Diamond",'Job Sheet'!BL14="770 x 2050",'Job Sheet'!AB14="Ultra Silver"),1,"")</f>
        <v/>
      </c>
      <c r="WZ8" s="73" t="str">
        <f>IF(AND('Job Sheet'!BK14="Decorative Diamond",'Job Sheet'!BL14="770 x 2050",'Job Sheet'!AB14="Woodland Grey(Green Tone)"),1,"")</f>
        <v/>
      </c>
      <c r="XA8" s="73" t="str">
        <f>IF(AND('Job Sheet'!BK14="Decorative Diamond",'Job Sheet'!BL14="770 x 2050",'Job Sheet'!AB14="Pearl White"),1,"")</f>
        <v/>
      </c>
      <c r="XB8" s="73" t="str">
        <f>IF(AND('Job Sheet'!BK14="Decorative Diamond",'Job Sheet'!BL14="770 x 2050",'Job Sheet'!AB14="Monument"),1,"")</f>
        <v/>
      </c>
      <c r="XC8" s="73" t="str">
        <f>IF(AND('Job Sheet'!BK14="Decorative Diamond",'Job Sheet'!BL14="770 x 2050",'Job Sheet'!AB14="Surfmist"),1,"")</f>
        <v/>
      </c>
      <c r="XD8" s="73" t="str">
        <f>IF(AND('Job Sheet'!BK14="Decorative Diamond",'Job Sheet'!BL14="770 x 2050",'Job Sheet'!AB14="Dune"),1,"")</f>
        <v/>
      </c>
      <c r="XE8" s="73" t="str">
        <f>IF(AND('Job Sheet'!BK14="Decorative Diamond",'Job Sheet'!BL14="770 x 2050",'Job Sheet'!AB14="Custom Powdercoat"),1,"")</f>
        <v/>
      </c>
      <c r="XF8" s="73" t="str">
        <f>IF(AND('Job Sheet'!BK14="Decorative Diamond",'Job Sheet'!BL14="900 x 2050",'Job Sheet'!AB14="APO Grey"),1,"")</f>
        <v/>
      </c>
      <c r="XG8" s="73" t="str">
        <f>IF(AND('Job Sheet'!BK14="Decorative Diamond",'Job Sheet'!BL14="900 x 2050",'Job Sheet'!AB14="White Birch"),1,"")</f>
        <v/>
      </c>
      <c r="XH8" s="73" t="str">
        <f>IF(AND('Job Sheet'!BK14="Decorative Diamond",'Job Sheet'!BL14="900 x 2050",'Job Sheet'!AB14="Black"),1,"")</f>
        <v/>
      </c>
      <c r="XI8" s="73" t="str">
        <f>IF(AND('Job Sheet'!BK14="Decorative Diamond",'Job Sheet'!BL14="900 x 2050",'Job Sheet'!AB14="Brown"),1,"")</f>
        <v/>
      </c>
      <c r="XJ8" s="73" t="str">
        <f>IF(AND('Job Sheet'!BK14="Decorative Diamond",'Job Sheet'!BL14="900 x 2050",'Job Sheet'!AB14="Deep Ocean"),1,"")</f>
        <v/>
      </c>
      <c r="XK8" s="73" t="str">
        <f>IF(AND('Job Sheet'!BK14="Decorative Diamond",'Job Sheet'!BL14="900 x 2050",'Job Sheet'!AB14="Jasper"),1,"")</f>
        <v/>
      </c>
      <c r="XL8" s="73" t="str">
        <f>IF(AND('Job Sheet'!BK14="Decorative Diamond",'Job Sheet'!BL14="900 x 2050",'Job Sheet'!AB14="Paperbark"),1,"")</f>
        <v/>
      </c>
      <c r="XM8" s="73" t="str">
        <f>IF(AND('Job Sheet'!BK14="Decorative Diamond",'Job Sheet'!BL14="900 x 2050",'Job Sheet'!AB14="Mist Green"),1,"")</f>
        <v/>
      </c>
      <c r="XN8" s="73" t="str">
        <f>IF(AND('Job Sheet'!BK14="Decorative Diamond",'Job Sheet'!BL14="900 x 2050",'Job Sheet'!AB14="Primrose"),1,"")</f>
        <v/>
      </c>
      <c r="XO8" s="73" t="str">
        <f>IF(AND('Job Sheet'!BK14="Decorative Diamond",'Job Sheet'!BL14="900 x 2050",'Job Sheet'!AB14="Ultra Silver"),1,"")</f>
        <v/>
      </c>
      <c r="XP8" s="73" t="str">
        <f>IF(AND('Job Sheet'!BK14="Decorative Diamond",'Job Sheet'!BL14="900 x 2050",'Job Sheet'!AB14="Woodland Grey(Green Tone)"),1,"")</f>
        <v/>
      </c>
      <c r="XQ8" s="73" t="str">
        <f>IF(AND('Job Sheet'!BK14="Decorative Diamond",'Job Sheet'!BL14="900 x 2050",'Job Sheet'!AB14="Pearl White"),1,"")</f>
        <v/>
      </c>
      <c r="XR8" s="73" t="str">
        <f>IF(AND('Job Sheet'!BK14="Decorative Diamond",'Job Sheet'!BL14="900 x 2050",'Job Sheet'!AB14="Monument"),1,"")</f>
        <v/>
      </c>
      <c r="XS8" s="73" t="str">
        <f>IF(AND('Job Sheet'!BK14="Decorative Diamond",'Job Sheet'!BL14="900 x 2050",'Job Sheet'!AB14="Surfmist"),1,"")</f>
        <v/>
      </c>
      <c r="XT8" s="73" t="str">
        <f>IF(AND('Job Sheet'!BK14="Decorative Diamond",'Job Sheet'!BL14="900 x 2050",'Job Sheet'!AB14="Dune"),1,"")</f>
        <v/>
      </c>
      <c r="XU8" s="73" t="str">
        <f>IF(AND('Job Sheet'!BK14="Decorative Diamond",'Job Sheet'!BL14="900 x 2050",'Job Sheet'!AB14="Custom Powdercoat"),1,"")</f>
        <v/>
      </c>
      <c r="XV8" s="73" t="str">
        <f>IF(AND('Job Sheet'!BK14="Decorative Diamond",'Job Sheet'!BL14="1150 x 2050",'Job Sheet'!AB14="APO Grey"),1,"")</f>
        <v/>
      </c>
      <c r="XW8" s="73" t="str">
        <f>IF(AND('Job Sheet'!BK14="Decorative Diamond",'Job Sheet'!BL14="1150 x 2050",'Job Sheet'!AB14="White Birch"),1,"")</f>
        <v/>
      </c>
      <c r="XX8" s="73" t="str">
        <f>IF(AND('Job Sheet'!BK14="Decorative Diamond",'Job Sheet'!BL14="1150 x 2050",'Job Sheet'!AB14="Black"),1,"")</f>
        <v/>
      </c>
      <c r="XY8" s="73" t="str">
        <f>IF(AND('Job Sheet'!BK14="Decorative Diamond",'Job Sheet'!BL14="1150 x 2050",'Job Sheet'!AB14="Brown"),1,"")</f>
        <v/>
      </c>
      <c r="XZ8" s="73" t="str">
        <f>IF(AND('Job Sheet'!BK14="Decorative Diamond",'Job Sheet'!BL14="1150 x 2050",'Job Sheet'!AB14="Deep Ocean"),1,"")</f>
        <v/>
      </c>
      <c r="YA8" s="73" t="str">
        <f>IF(AND('Job Sheet'!BK14="Decorative Diamond",'Job Sheet'!BL14="1150 x 2050",'Job Sheet'!AB14="Jasper"),1,"")</f>
        <v/>
      </c>
      <c r="YB8" s="73" t="str">
        <f>IF(AND('Job Sheet'!BK14="Decorative Diamond",'Job Sheet'!BL14="1150 x 2050",'Job Sheet'!AB14="Paperbark"),1,"")</f>
        <v/>
      </c>
      <c r="YC8" s="73" t="str">
        <f>IF(AND('Job Sheet'!BK14="Decorative Diamond",'Job Sheet'!BL14="1150 x 2050",'Job Sheet'!AB14="Mist Green"),1,"")</f>
        <v/>
      </c>
      <c r="YD8" s="73" t="str">
        <f>IF(AND('Job Sheet'!BK14="Decorative Diamond",'Job Sheet'!BL14="1150 x 2050",'Job Sheet'!AB14="Primrose"),1,"")</f>
        <v/>
      </c>
      <c r="YE8" s="73" t="str">
        <f>IF(AND('Job Sheet'!BK14="Decorative Diamond",'Job Sheet'!BL14="1150 x 2050",'Job Sheet'!AB14="Ultra Silver"),1,"")</f>
        <v/>
      </c>
      <c r="YF8" s="73" t="str">
        <f>IF(AND('Job Sheet'!BK14="Decorative Diamond",'Job Sheet'!BL14="1150 x 2050",'Job Sheet'!AB14="Woodland Grey(Green Tone)"),1,"")</f>
        <v/>
      </c>
      <c r="YG8" s="73" t="str">
        <f>IF(AND('Job Sheet'!BK14="Decorative Diamond",'Job Sheet'!BL14="1150 x 2050",'Job Sheet'!AB14="Pearl White"),1,"")</f>
        <v/>
      </c>
      <c r="YH8" s="73" t="str">
        <f>IF(AND('Job Sheet'!BK14="Decorative Diamond",'Job Sheet'!BL14="1150 x 2050",'Job Sheet'!AB14="Monument"),1,"")</f>
        <v/>
      </c>
      <c r="YI8" s="73" t="str">
        <f>IF(AND('Job Sheet'!BK14="Decorative Diamond",'Job Sheet'!BL14="1150 x 2050",'Job Sheet'!AB14="Surfmist"),1,"")</f>
        <v/>
      </c>
      <c r="YJ8" s="73" t="str">
        <f>IF(AND('Job Sheet'!BK14="Decorative Diamond",'Job Sheet'!BL14="1150 x 2050",'Job Sheet'!AB14="Dune"),1,"")</f>
        <v/>
      </c>
      <c r="YK8" s="73" t="str">
        <f>IF(AND('Job Sheet'!BK14="Decorative Diamond",'Job Sheet'!BL14="1150 x 2050",'Job Sheet'!AB14="Custom Powdercoat"),1,"")</f>
        <v/>
      </c>
      <c r="YL8" s="73" t="str">
        <f>IF(AND('Job Sheet'!AE14="DVA Mesh",'Job Sheet'!BR14="750 x 2000",'Job Sheet'!AF14="Apo Grey"),1,"")</f>
        <v/>
      </c>
      <c r="YM8" s="73" t="str">
        <f>IF(AND('Job Sheet'!AE14="DVA Mesh",'Job Sheet'!BR14="750 x 2000",'Job Sheet'!AF14="Birch White"),1,"")</f>
        <v/>
      </c>
      <c r="YN8" s="73" t="str">
        <f>IF(AND('Job Sheet'!AE14="DVA Mesh",'Job Sheet'!BR14="750 x 2000",'Job Sheet'!AF14="Black"),1,"")</f>
        <v/>
      </c>
      <c r="YO8" s="73" t="str">
        <f>IF(AND('Job Sheet'!AE14="DVA Mesh",'Job Sheet'!BR14="750 x 2000",'Job Sheet'!AF14="Brown"),1,"")</f>
        <v/>
      </c>
      <c r="YP8" s="73" t="str">
        <f>IF(AND('Job Sheet'!AE14="DVA Mesh",'Job Sheet'!BR14="750 x 2000",'Job Sheet'!AF14="Deep Ocean"),1,"")</f>
        <v/>
      </c>
      <c r="YQ8" s="73" t="str">
        <f>IF(AND('Job Sheet'!AE14="DVA Mesh",'Job Sheet'!BR14="750 x 2000",'Job Sheet'!AF14="Jasper"),1,"")</f>
        <v/>
      </c>
      <c r="YR8" s="73" t="str">
        <f>IF(AND('Job Sheet'!AE14="DVA Mesh",'Job Sheet'!BR14="750 x 2000",'Job Sheet'!AF14="Paperbark"),1,"")</f>
        <v/>
      </c>
      <c r="YS8" s="73" t="str">
        <f>IF(AND('Job Sheet'!AE14="DVA Mesh",'Job Sheet'!BR14="750 x 2000",'Job Sheet'!AF14="Mist Green"),1,"")</f>
        <v/>
      </c>
      <c r="YT8" s="73" t="str">
        <f>IF(AND('Job Sheet'!AE14="DVA Mesh",'Job Sheet'!BR14="750 x 2000",'Job Sheet'!AF14="Primrose"),1,"")</f>
        <v/>
      </c>
      <c r="YU8" s="73" t="str">
        <f>IF(AND('Job Sheet'!AE14="DVA Mesh",'Job Sheet'!BR14="750 x 2000",'Job Sheet'!AF14="Ultra Silver"),1,"")</f>
        <v/>
      </c>
      <c r="YV8" s="73" t="str">
        <f>IF(AND('Job Sheet'!AE14="DVA Mesh",'Job Sheet'!BR14="750 x 2000",'Job Sheet'!AF14="Woodland Grey(Green Tone)"),1,"")</f>
        <v/>
      </c>
      <c r="YW8" s="73" t="str">
        <f>IF(AND('Job Sheet'!AE14="DVA Mesh",'Job Sheet'!BR14="750 x 2000",'Job Sheet'!AF14="Pearl White"),1,"")</f>
        <v/>
      </c>
      <c r="YX8" s="73" t="str">
        <f>IF(AND('Job Sheet'!AE14="DVA Mesh",'Job Sheet'!BR14="750 x 2000",'Job Sheet'!AF14="Monument"),1,"")</f>
        <v/>
      </c>
      <c r="YY8" s="73" t="str">
        <f>IF(AND('Job Sheet'!AE14="DVA Mesh",'Job Sheet'!BR14="750 x 2000",'Job Sheet'!AF14="Surfmist"),1,"")</f>
        <v/>
      </c>
      <c r="YZ8" s="73" t="str">
        <f>IF(AND('Job Sheet'!AE14="DVA Mesh",'Job Sheet'!BR14="750 x 2000",'Job Sheet'!AF14="Dune"),1,"")</f>
        <v/>
      </c>
      <c r="ZA8" s="73" t="str">
        <f>IF(AND('Job Sheet'!AE14="DVA Mesh",'Job Sheet'!BR14="750 x 2000",'Job Sheet'!AF14="Custom Powdercoat"),1,"")</f>
        <v/>
      </c>
      <c r="ZB8" s="73" t="str">
        <f>IF(AND('Job Sheet'!AE14="DVA Mesh",'Job Sheet'!BR14="825 x 2000",'Job Sheet'!AF14="Apo Grey"),1,"")</f>
        <v/>
      </c>
      <c r="ZC8" s="73" t="str">
        <f>IF(AND('Job Sheet'!AE14="DVA Mesh",'Job Sheet'!BR14="825 x 2000",'Job Sheet'!AF14="Birch White"),1,"")</f>
        <v/>
      </c>
      <c r="ZD8" s="73" t="str">
        <f>IF(AND('Job Sheet'!AE14="DVA Mesh",'Job Sheet'!BR14="825 x 2000",'Job Sheet'!AF14="Black"),1,"")</f>
        <v/>
      </c>
      <c r="ZE8" s="73" t="str">
        <f>IF(AND('Job Sheet'!AE14="DVA Mesh",'Job Sheet'!BR14="825 x 2000",'Job Sheet'!AF14="Brown"),1,"")</f>
        <v/>
      </c>
      <c r="ZF8" s="73" t="str">
        <f>IF(AND('Job Sheet'!AE14="DVA Mesh",'Job Sheet'!BR14="825 x 2000",'Job Sheet'!AF14="Deep Ocean"),1,"")</f>
        <v/>
      </c>
      <c r="ZG8" s="73" t="str">
        <f>IF(AND('Job Sheet'!AE14="DVA Mesh",'Job Sheet'!BR14="825 x 2000",'Job Sheet'!AF14="Jasper"),1,"")</f>
        <v/>
      </c>
      <c r="ZH8" s="73" t="str">
        <f>IF(AND('Job Sheet'!AE14="DVA Mesh",'Job Sheet'!BR14="825 x 2000",'Job Sheet'!AF14="Paperbark"),1,"")</f>
        <v/>
      </c>
      <c r="ZI8" s="73" t="str">
        <f>IF(AND('Job Sheet'!AE14="DVA Mesh",'Job Sheet'!BR14="825 x 2000",'Job Sheet'!AF14="Mist Green"),1,"")</f>
        <v/>
      </c>
      <c r="ZJ8" s="73" t="str">
        <f>IF(AND('Job Sheet'!AE14="DVA Mesh",'Job Sheet'!BR14="825 x 2000",'Job Sheet'!AF14="Primrose"),1,"")</f>
        <v/>
      </c>
      <c r="ZK8" s="73" t="str">
        <f>IF(AND('Job Sheet'!AE14="DVA Mesh",'Job Sheet'!BR14="825 x 2000",'Job Sheet'!AF14="Ultra Silver"),1,"")</f>
        <v/>
      </c>
      <c r="ZL8" s="73" t="str">
        <f>IF(AND('Job Sheet'!AE14="DVA Mesh",'Job Sheet'!BR14="825 x 2000",'Job Sheet'!AF14="Woodland Grey(Green Tone)"),1,"")</f>
        <v/>
      </c>
      <c r="ZM8" s="73" t="str">
        <f>IF(AND('Job Sheet'!AE14="DVA Mesh",'Job Sheet'!BR14="825 x 2000",'Job Sheet'!AF14="Pearl White"),1,"")</f>
        <v/>
      </c>
      <c r="ZN8" s="73" t="str">
        <f>IF(AND('Job Sheet'!AE14="DVA Mesh",'Job Sheet'!BR14="825 x 2000",'Job Sheet'!AF14="Monument"),1,"")</f>
        <v/>
      </c>
      <c r="ZO8" s="73" t="str">
        <f>IF(AND('Job Sheet'!AE14="DVA Mesh",'Job Sheet'!BR14="825 x 2000",'Job Sheet'!AF14="Surfmist"),1,"")</f>
        <v/>
      </c>
      <c r="ZP8" s="73" t="str">
        <f>IF(AND('Job Sheet'!AE14="DVA Mesh",'Job Sheet'!BR14="825 x 2000",'Job Sheet'!AF14="Dune"),1,"")</f>
        <v/>
      </c>
      <c r="ZQ8" s="73" t="str">
        <f>IF(AND('Job Sheet'!AE14="DVA Mesh",'Job Sheet'!BR14="825 x 2000",'Job Sheet'!AF14="Custom Powdercoat"),1,"")</f>
        <v/>
      </c>
      <c r="ZR8" s="73" t="str">
        <f>IF(AND('Job Sheet'!AE14="DVA Mesh",'Job Sheet'!BR14="900 x 2200",'Job Sheet'!AF14="Apo Grey"),1,"")</f>
        <v/>
      </c>
      <c r="ZS8" s="73" t="str">
        <f>IF(AND('Job Sheet'!AE14="DVA Mesh",'Job Sheet'!BR14="900 x 2200",'Job Sheet'!AF14="Birch White"),1,"")</f>
        <v/>
      </c>
      <c r="ZT8" s="73" t="str">
        <f>IF(AND('Job Sheet'!AE14="DVA Mesh",'Job Sheet'!BR14="900 x 2200",'Job Sheet'!AF14="Black"),1,"")</f>
        <v/>
      </c>
      <c r="ZU8" s="73" t="str">
        <f>IF(AND('Job Sheet'!AE14="DVA Mesh",'Job Sheet'!BR14="900 x 2200",'Job Sheet'!AF14="Brown"),1,"")</f>
        <v/>
      </c>
      <c r="ZV8" s="73" t="str">
        <f>IF(AND('Job Sheet'!AE14="DVA Mesh",'Job Sheet'!BR14="900 x 2200",'Job Sheet'!AF14="Deep Ocean"),1,"")</f>
        <v/>
      </c>
      <c r="ZW8" s="73" t="str">
        <f>IF(AND('Job Sheet'!AE14="DVA Mesh",'Job Sheet'!BR14="900 x 2200",'Job Sheet'!AF14="Jasper"),1,"")</f>
        <v/>
      </c>
      <c r="ZX8" s="73" t="str">
        <f>IF(AND('Job Sheet'!AE14="DVA Mesh",'Job Sheet'!BR14="900 x 2200",'Job Sheet'!AF14="Paperbark"),1,"")</f>
        <v/>
      </c>
      <c r="ZY8" s="73" t="str">
        <f>IF(AND('Job Sheet'!AE14="DVA Mesh",'Job Sheet'!BR14="900 x 2200",'Job Sheet'!AF14="Mist Green"),1,"")</f>
        <v/>
      </c>
      <c r="ZZ8" s="73" t="str">
        <f>IF(AND('Job Sheet'!AE14="DVA Mesh",'Job Sheet'!BR14="900 x 2200",'Job Sheet'!AF14="Primrose"),1,"")</f>
        <v/>
      </c>
      <c r="AAA8" s="73" t="str">
        <f>IF(AND('Job Sheet'!AE14="DVA Mesh",'Job Sheet'!BR14="900 x 2200",'Job Sheet'!AF14="Ultra Silver"),1,"")</f>
        <v/>
      </c>
      <c r="AAB8" s="73" t="str">
        <f>IF(AND('Job Sheet'!AE14="DVA Mesh",'Job Sheet'!BR14="900 x 2200",'Job Sheet'!AF14="Woodland Grey(Green Tone)"),1,"")</f>
        <v/>
      </c>
      <c r="AAC8" s="73" t="str">
        <f>IF(AND('Job Sheet'!AE14="DVA Mesh",'Job Sheet'!BR14="900 x 2200",'Job Sheet'!AF14="Pearl White"),1,"")</f>
        <v/>
      </c>
      <c r="AAD8" s="73" t="str">
        <f>IF(AND('Job Sheet'!AE14="DVA Mesh",'Job Sheet'!BR14="900 x 2200",'Job Sheet'!AF14="Monument"),1,"")</f>
        <v/>
      </c>
      <c r="AAE8" s="73" t="str">
        <f>IF(AND('Job Sheet'!AE14="DVA Mesh",'Job Sheet'!BR14="900 x 2200",'Job Sheet'!AF14="Surfmist"),1,"")</f>
        <v/>
      </c>
      <c r="AAF8" s="73" t="str">
        <f>IF(AND('Job Sheet'!AE14="DVA Mesh",'Job Sheet'!BR14="900 x 2200",'Job Sheet'!AF14="Dune"),1,"")</f>
        <v/>
      </c>
      <c r="AAG8" s="73" t="str">
        <f>IF(AND('Job Sheet'!AE14="DVA Mesh",'Job Sheet'!BR14="900 x 2200",'Job Sheet'!AF14="Custom Powdercoat"),1,"")</f>
        <v/>
      </c>
      <c r="AAH8" s="73" t="str">
        <f>IF(AND('Job Sheet'!AE14="DVA Mesh",'Job Sheet'!BR14="900 x 2400",'Job Sheet'!AF14="Apo Grey"),1,"")</f>
        <v/>
      </c>
      <c r="AAI8" s="73" t="str">
        <f>IF(AND('Job Sheet'!AE14="DVA Mesh",'Job Sheet'!BR14="900 x 2400",'Job Sheet'!AF14="Birch White"),1,"")</f>
        <v/>
      </c>
      <c r="AAJ8" s="73" t="str">
        <f>IF(AND('Job Sheet'!AE14="DVA Mesh",'Job Sheet'!BR14="900 x 2400",'Job Sheet'!AF14="Black"),1,"")</f>
        <v/>
      </c>
      <c r="AAK8" s="73" t="str">
        <f>IF(AND('Job Sheet'!AE14="DVA Mesh",'Job Sheet'!BR14="900 x 2400",'Job Sheet'!AF14="Brown"),1,"")</f>
        <v/>
      </c>
      <c r="AAL8" s="73" t="str">
        <f>IF(AND('Job Sheet'!AE14="DVA Mesh",'Job Sheet'!BR14="900 x 2400",'Job Sheet'!AF14="Deep Ocean"),1,"")</f>
        <v/>
      </c>
      <c r="AAM8" s="73" t="str">
        <f>IF(AND('Job Sheet'!AE14="DVA Mesh",'Job Sheet'!BR14="900 x 2400",'Job Sheet'!AF14="Jasper"),1,"")</f>
        <v/>
      </c>
      <c r="AAN8" s="73" t="str">
        <f>IF(AND('Job Sheet'!AE14="DVA Mesh",'Job Sheet'!BR14="900 x 2400",'Job Sheet'!AF14="Paperbark"),1,"")</f>
        <v/>
      </c>
      <c r="AAO8" s="73" t="str">
        <f>IF(AND('Job Sheet'!AE14="DVA Mesh",'Job Sheet'!BR14="900 x 2400",'Job Sheet'!AF14="Mist Green"),1,"")</f>
        <v/>
      </c>
      <c r="AAP8" s="73" t="str">
        <f>IF(AND('Job Sheet'!AE14="DVA Mesh",'Job Sheet'!BR14="900 x 2400",'Job Sheet'!AF14="Primrose"),1,"")</f>
        <v/>
      </c>
      <c r="AAQ8" s="73" t="str">
        <f>IF(AND('Job Sheet'!AE14="DVA Mesh",'Job Sheet'!BR14="900 x 2400",'Job Sheet'!AF14="Ultra Silver"),1,"")</f>
        <v/>
      </c>
      <c r="AAR8" s="73" t="str">
        <f>IF(AND('Job Sheet'!AE14="DVA Mesh",'Job Sheet'!BR14="900 x 2400",'Job Sheet'!AF14="Woodland Grey(Green Tone)"),1,"")</f>
        <v/>
      </c>
      <c r="AAS8" s="73" t="str">
        <f>IF(AND('Job Sheet'!AE14="DVA Mesh",'Job Sheet'!BR14="900 x 2400",'Job Sheet'!AF14="Pearl White"),1,"")</f>
        <v/>
      </c>
      <c r="AAT8" s="73" t="str">
        <f>IF(AND('Job Sheet'!AE14="DVA Mesh",'Job Sheet'!BR14="900 x 2400",'Job Sheet'!AF14="Monument"),1,"")</f>
        <v/>
      </c>
      <c r="AAU8" s="73" t="str">
        <f>IF(AND('Job Sheet'!AE14="DVA Mesh",'Job Sheet'!BR14="900 x 2400",'Job Sheet'!AF14="Surfmist"),1,"")</f>
        <v/>
      </c>
      <c r="AAV8" s="73" t="str">
        <f>IF(AND('Job Sheet'!AE14="DVA Mesh",'Job Sheet'!BR14="900 x 2400",'Job Sheet'!AF14="Dune"),1,"")</f>
        <v/>
      </c>
      <c r="AAW8" s="73" t="str">
        <f>IF(AND('Job Sheet'!AE14="DVA Mesh",'Job Sheet'!BR14="900 x 2400",'Job Sheet'!AF14="Custom Powdercoat"),1,"")</f>
        <v/>
      </c>
      <c r="AAX8" s="73" t="str">
        <f>IF(AND('Job Sheet'!AE14="DVA Mesh",'Job Sheet'!BR14="1200 x 2200",'Job Sheet'!AF14="Apo Grey"),1,"")</f>
        <v/>
      </c>
      <c r="AAY8" s="73" t="str">
        <f>IF(AND('Job Sheet'!AE14="DVA Mesh",'Job Sheet'!BR14="1200 x 2200",'Job Sheet'!AF14="Birch White"),1,"")</f>
        <v/>
      </c>
      <c r="AAZ8" s="73" t="str">
        <f>IF(AND('Job Sheet'!AE14="DVA Mesh",'Job Sheet'!BR14="1200 x 2200",'Job Sheet'!AF14="Black"),1,"")</f>
        <v/>
      </c>
      <c r="ABA8" s="73" t="str">
        <f>IF(AND('Job Sheet'!AE14="DVA Mesh",'Job Sheet'!BR14="1200 x 2200",'Job Sheet'!AF14="Brown"),1,"")</f>
        <v/>
      </c>
      <c r="ABB8" s="73" t="str">
        <f>IF(AND('Job Sheet'!AE14="DVA Mesh",'Job Sheet'!BR14="1200 x 2200",'Job Sheet'!AF14="Deep Ocean"),1,"")</f>
        <v/>
      </c>
      <c r="ABC8" s="73" t="str">
        <f>IF(AND('Job Sheet'!AE14="DVA Mesh",'Job Sheet'!BR14="1200 x 2200",'Job Sheet'!AF14="Jasper"),1,"")</f>
        <v/>
      </c>
      <c r="ABD8" s="73" t="str">
        <f>IF(AND('Job Sheet'!AE14="DVA Mesh",'Job Sheet'!BR14="1200 x 2200",'Job Sheet'!AF14="Paperbark"),1,"")</f>
        <v/>
      </c>
      <c r="ABE8" s="73" t="str">
        <f>IF(AND('Job Sheet'!AE14="DVA Mesh",'Job Sheet'!BR14="1200 x 2200",'Job Sheet'!AF14="Mist Green"),1,"")</f>
        <v/>
      </c>
      <c r="ABF8" s="73" t="str">
        <f>IF(AND('Job Sheet'!AE14="DVA Mesh",'Job Sheet'!BR14="1200 x 2200",'Job Sheet'!AF14="Primrose"),1,"")</f>
        <v/>
      </c>
      <c r="ABG8" s="73" t="str">
        <f>IF(AND('Job Sheet'!AE14="DVA Mesh",'Job Sheet'!BR14="1200 x 2200",'Job Sheet'!AF14="Ultra Silver"),1,"")</f>
        <v/>
      </c>
      <c r="ABH8" s="73" t="str">
        <f>IF(AND('Job Sheet'!AE14="DVA Mesh",'Job Sheet'!BR14="1200 x 2200",'Job Sheet'!AF14="Woodland Grey(Green Tone)"),1,"")</f>
        <v/>
      </c>
      <c r="ABI8" s="73" t="str">
        <f>IF(AND('Job Sheet'!AE14="DVA Mesh",'Job Sheet'!BR14="1200 x 2200",'Job Sheet'!AF14="Pearl White"),1,"")</f>
        <v/>
      </c>
      <c r="ABJ8" s="73" t="str">
        <f>IF(AND('Job Sheet'!AE14="DVA Mesh",'Job Sheet'!BR14="1200 x 2200",'Job Sheet'!AF14="Monument"),1,"")</f>
        <v/>
      </c>
      <c r="ABK8" s="73" t="str">
        <f>IF(AND('Job Sheet'!AE14="DVA Mesh",'Job Sheet'!BR14="1200 x 2200",'Job Sheet'!AF14="Surfmist"),1,"")</f>
        <v/>
      </c>
      <c r="ABL8" s="73" t="str">
        <f>IF(AND('Job Sheet'!AE14="DVA Mesh",'Job Sheet'!BR14="1200 x 2200",'Job Sheet'!AF14="Dune"),1,"")</f>
        <v/>
      </c>
      <c r="ABM8" s="73" t="str">
        <f>IF(AND('Job Sheet'!AE14="DVA Mesh",'Job Sheet'!BR14="1200 x 2200",'Job Sheet'!AF14="Custom Powdercoat"),1,"")</f>
        <v/>
      </c>
      <c r="ABN8" s="73" t="str">
        <f>IF(AND('Job Sheet'!AE14="DVA Mesh",'Job Sheet'!BR14="1200 x 2400",'Job Sheet'!AF14="Apo Grey"),1,"")</f>
        <v/>
      </c>
      <c r="ABO8" s="73" t="str">
        <f>IF(AND('Job Sheet'!AE14="DVA Mesh",'Job Sheet'!BR14="1200 x 2400",'Job Sheet'!AF14="Birch White"),1,"")</f>
        <v/>
      </c>
      <c r="ABP8" s="73" t="str">
        <f>IF(AND('Job Sheet'!AE14="DVA Mesh",'Job Sheet'!BR14="1200 x 2400",'Job Sheet'!AF14="Black"),1,"")</f>
        <v/>
      </c>
      <c r="ABQ8" s="73" t="str">
        <f>IF(AND('Job Sheet'!AE14="DVA Mesh",'Job Sheet'!BR14="1200 x 2400",'Job Sheet'!AF14="Brown"),1,"")</f>
        <v/>
      </c>
      <c r="ABR8" s="73" t="str">
        <f>IF(AND('Job Sheet'!AE14="DVA Mesh",'Job Sheet'!BR14="1200 x 2400",'Job Sheet'!AF14="Deep Ocean"),1,"")</f>
        <v/>
      </c>
      <c r="ABS8" s="73" t="str">
        <f>IF(AND('Job Sheet'!AE14="DVA Mesh",'Job Sheet'!BR14="1200 x 2400",'Job Sheet'!AF14="Jasper"),1,"")</f>
        <v/>
      </c>
      <c r="ABT8" s="73" t="str">
        <f>IF(AND('Job Sheet'!AE14="DVA Mesh",'Job Sheet'!BR14="1200 x 2400",'Job Sheet'!AF14="Paperbark"),1,"")</f>
        <v/>
      </c>
      <c r="ABU8" s="73" t="str">
        <f>IF(AND('Job Sheet'!AE14="DVA Mesh",'Job Sheet'!BR14="1200 x 2400",'Job Sheet'!AF14="Mist Green"),1,"")</f>
        <v/>
      </c>
      <c r="ABV8" s="73" t="str">
        <f>IF(AND('Job Sheet'!AE14="DVA Mesh",'Job Sheet'!BR14="1200 x 2400",'Job Sheet'!AF14="Primrose"),1,"")</f>
        <v/>
      </c>
      <c r="ABW8" s="73" t="str">
        <f>IF(AND('Job Sheet'!AE14="DVA Mesh",'Job Sheet'!BR14="1200 x 2400",'Job Sheet'!AF14="Ultra Silver"),1,"")</f>
        <v/>
      </c>
      <c r="ABX8" s="73" t="str">
        <f>IF(AND('Job Sheet'!AE14="DVA Mesh",'Job Sheet'!BR14="1200 x 2400",'Job Sheet'!AF14="Woodland Grey(Green Tone)"),1,"")</f>
        <v/>
      </c>
      <c r="ABY8" s="73" t="str">
        <f>IF(AND('Job Sheet'!AE14="DVA Mesh",'Job Sheet'!BR14="1200 x 2400",'Job Sheet'!AF14="Pearl White"),1,"")</f>
        <v/>
      </c>
      <c r="ABZ8" s="73" t="str">
        <f>IF(AND('Job Sheet'!AE14="DVA Mesh",'Job Sheet'!BR14="1200 x 2400",'Job Sheet'!AF14="Monument"),1,"")</f>
        <v/>
      </c>
      <c r="ACA8" s="73" t="str">
        <f>IF(AND('Job Sheet'!AE14="DVA Mesh",'Job Sheet'!BR14="1200 x 2400",'Job Sheet'!AF14="Surfmist"),1,"")</f>
        <v/>
      </c>
      <c r="ACB8" s="73" t="str">
        <f>IF(AND('Job Sheet'!AE14="DVA Mesh",'Job Sheet'!BR14="1200 x 2400",'Job Sheet'!AF14="Dune"),1,"")</f>
        <v/>
      </c>
      <c r="ACC8" s="73" t="str">
        <f>IF(AND('Job Sheet'!AE14="DVA Mesh",'Job Sheet'!BR14="1200 x 2400",'Job Sheet'!AF14="Custom Powdercoat"),1,"")</f>
        <v/>
      </c>
      <c r="ACD8" s="73" t="str">
        <f>IF('Job Sheet'!AE14="Fibreglass Mesh",CONCATENATE('Job Sheet'!BH14," x ",'Job Sheet'!BI14),"")</f>
        <v/>
      </c>
      <c r="ACE8" s="73" t="str">
        <f>IF('Job Sheet'!AE14="Aluminium Mesh",CONCATENATE('Job Sheet'!BH14," x ",'Job Sheet'!BI14),"")</f>
        <v/>
      </c>
      <c r="ACF8" s="73" t="str">
        <f>IF('Job Sheet'!AE14="Tuff Mesh",CONCATENATE('Job Sheet'!BH14," x ",'Job Sheet'!BI14),"")</f>
        <v/>
      </c>
      <c r="ACI8" s="73" t="str">
        <f>IF('Job Sheet'!AE14="Pet Mesh",CONCATENATE('Job Sheet'!BH14," x ",'Job Sheet'!BI14),"")</f>
        <v/>
      </c>
      <c r="ACJ8" s="73"/>
      <c r="ACK8" t="str">
        <f>IF(Guillotine!F15="SP13AB Apo Grey",1,"")</f>
        <v/>
      </c>
      <c r="ACL8" t="str">
        <f>IF(Guillotine!F15="SP13AB White Birch",1,"")</f>
        <v/>
      </c>
      <c r="ACM8" t="str">
        <f>IF(Guillotine!F15="SP13AB Black",1,"")</f>
        <v/>
      </c>
      <c r="ACN8" t="str">
        <f>IF(Guillotine!F15="SP13AB Brown",1,"")</f>
        <v/>
      </c>
      <c r="ACO8" t="str">
        <f>IF(Guillotine!F15="SP13AB Deep Ocean",1,"")</f>
        <v/>
      </c>
      <c r="ACP8" t="str">
        <f>IF(Guillotine!F15="SP13AB Jasper",1,"")</f>
        <v/>
      </c>
      <c r="ACQ8" t="str">
        <f>IF(Guillotine!F15="SP13AB Paperbark",1,"")</f>
        <v/>
      </c>
      <c r="ACR8" t="str">
        <f>IF(Guillotine!F15="SP13AB Mist Green",1,"")</f>
        <v/>
      </c>
      <c r="ACS8" t="str">
        <f>IF(Guillotine!F15="SP13AB Primrose",1,"")</f>
        <v/>
      </c>
      <c r="ACT8" t="str">
        <f>IF(Guillotine!F15="SP13AB Ultra Silver",1,"")</f>
        <v/>
      </c>
      <c r="ACU8" t="str">
        <f>IF(Guillotine!F15="SP13AB Woodland Grey(Green Tone)",1,"")</f>
        <v/>
      </c>
      <c r="ACV8" t="str">
        <f>IF(Guillotine!F15="SP13AB Pearl White",1,"")</f>
        <v/>
      </c>
      <c r="ACW8" t="str">
        <f>IF(Guillotine!F15="SP13AB Monument",1,"")</f>
        <v/>
      </c>
      <c r="ACX8" t="str">
        <f>IF(Guillotine!F15="SP13AB Surfmist",1,"")</f>
        <v/>
      </c>
      <c r="ACY8" t="str">
        <f>IF(Guillotine!F15="SP13AB Dune",1,"")</f>
        <v/>
      </c>
      <c r="ACZ8" t="str">
        <f>IF(Guillotine!F15="SP13AB Powdercoat",1,"")</f>
        <v/>
      </c>
      <c r="ADA8" t="str">
        <f>IF(Guillotine!F15="SP13BB Apo Grey",1,"")</f>
        <v/>
      </c>
      <c r="ADB8" t="str">
        <f>IF(Guillotine!F15="SP13BB White Birch",1,"")</f>
        <v/>
      </c>
      <c r="ADC8" t="str">
        <f>IF(Guillotine!F15="SP13BB Black",1,"")</f>
        <v/>
      </c>
      <c r="ADD8" t="str">
        <f>IF(Guillotine!F15="SP13BB Brown",1,"")</f>
        <v/>
      </c>
      <c r="ADE8" t="str">
        <f>IF(Guillotine!F15="SP13BB Deep Ocean",1,"")</f>
        <v/>
      </c>
      <c r="ADF8" t="str">
        <f>IF(Guillotine!F15="SP13BB Jasper",1,"")</f>
        <v/>
      </c>
      <c r="ADG8" t="str">
        <f>IF(Guillotine!F15="SP13BB Paperbark",1,"")</f>
        <v/>
      </c>
      <c r="ADH8" t="str">
        <f>IF(Guillotine!F15="SP13BB Mist Green",1,"")</f>
        <v/>
      </c>
      <c r="ADI8" t="str">
        <f>IF(Guillotine!F15="SP13BB Primrose",1,"")</f>
        <v/>
      </c>
      <c r="ADJ8" t="str">
        <f>IF(Guillotine!F15="SP13BB Ultra Silver",1,"")</f>
        <v/>
      </c>
      <c r="ADK8" t="str">
        <f>IF(Guillotine!F15="SP13BB Woodland Grey(Green Tone)",1,"")</f>
        <v/>
      </c>
      <c r="ADL8" t="str">
        <f>IF(Guillotine!F15="SP13BB Pearl White",1,"")</f>
        <v/>
      </c>
      <c r="ADM8" t="str">
        <f>IF(Guillotine!F15="SP13BB Monument",1,"")</f>
        <v/>
      </c>
      <c r="ADN8" t="str">
        <f>IF(Guillotine!F15="SP13BB Surfmist",1,"")</f>
        <v/>
      </c>
      <c r="ADO8" t="str">
        <f>IF(Guillotine!F15="SP13BB Dune",1,"")</f>
        <v/>
      </c>
      <c r="ADP8" t="str">
        <f>IF(Guillotine!F15="SP13BB Powdercoat",1,"")</f>
        <v/>
      </c>
      <c r="ADQ8" t="str">
        <f>IF(Guillotine!F15="SP14AB Apo Grey",1,"")</f>
        <v/>
      </c>
      <c r="ADR8" t="str">
        <f>IF(Guillotine!F15="SP14AB White Birch",1,"")</f>
        <v/>
      </c>
      <c r="ADS8" t="str">
        <f>IF(Guillotine!F15="SP14AB Black",1,"")</f>
        <v/>
      </c>
      <c r="ADT8" t="str">
        <f>IF(Guillotine!F15="SP14AB Brown",1,"")</f>
        <v/>
      </c>
      <c r="ADU8" t="str">
        <f>IF(Guillotine!F15="SP14AB Deep Ocean",1,"")</f>
        <v/>
      </c>
      <c r="ADV8" t="str">
        <f>IF(Guillotine!F15="SP14AB Jasper",1,"")</f>
        <v/>
      </c>
      <c r="ADW8" t="str">
        <f>IF(Guillotine!F15="SP14AB Paperbark",1,"")</f>
        <v/>
      </c>
      <c r="ADX8" t="str">
        <f>IF(Guillotine!F15="SP14AB Mist Green",1,"")</f>
        <v/>
      </c>
      <c r="ADY8" t="str">
        <f>IF(Guillotine!F15="SP14AB Primrose",1,"")</f>
        <v/>
      </c>
      <c r="ADZ8" t="str">
        <f>IF(Guillotine!F15="SP14AB Ultra Silver",1,"")</f>
        <v/>
      </c>
      <c r="AEA8" t="str">
        <f>IF(Guillotine!F15="SP14AB Woodland Grey(Green Tone)",1,"")</f>
        <v/>
      </c>
      <c r="AEB8" t="str">
        <f>IF(Guillotine!F15="SP14AB Pearl White",1,"")</f>
        <v/>
      </c>
      <c r="AEC8" t="str">
        <f>IF(Guillotine!F15="SP14AB Monument",1,"")</f>
        <v/>
      </c>
      <c r="AED8" t="str">
        <f>IF(Guillotine!F15="SP14AB Surfmist",1,"")</f>
        <v/>
      </c>
      <c r="AEE8" t="str">
        <f>IF(Guillotine!F15="SP14AB Dune",1,"")</f>
        <v/>
      </c>
      <c r="AEF8" t="str">
        <f>IF(Guillotine!F15="SP14AB Powdercoat",1,"")</f>
        <v/>
      </c>
      <c r="AEG8" t="str">
        <f>IF(Guillotine!F15="SP17AB Apo Grey",1,"")</f>
        <v/>
      </c>
      <c r="AEH8" t="str">
        <f>IF(Guillotine!F15="SP17AB White Birch",1,"")</f>
        <v/>
      </c>
      <c r="AEI8" t="str">
        <f>IF(Guillotine!F15="SP17AB Black",1,"")</f>
        <v/>
      </c>
      <c r="AEJ8" t="str">
        <f>IF(Guillotine!F15="SP17AB Brown",1,"")</f>
        <v/>
      </c>
      <c r="AEK8" t="str">
        <f>IF(Guillotine!F15="SP17AB Deep Ocean",1,"")</f>
        <v/>
      </c>
      <c r="AEL8" t="str">
        <f>IF(Guillotine!F15="SP17AB Jasper",1,"")</f>
        <v/>
      </c>
      <c r="AEM8" t="str">
        <f>IF(Guillotine!F15="SP17AB Paperbark",1,"")</f>
        <v/>
      </c>
      <c r="AEN8" t="str">
        <f>IF(Guillotine!F15="SP17AB Mist Green",1,"")</f>
        <v/>
      </c>
      <c r="AEO8" t="str">
        <f>IF(Guillotine!F15="SP17AB Primrose",1,"")</f>
        <v/>
      </c>
      <c r="AEP8" t="str">
        <f>IF(Guillotine!F15="SP17AB Ultra Silver",1,"")</f>
        <v/>
      </c>
      <c r="AEQ8" t="str">
        <f>IF(Guillotine!F15="SP17AB Woodland Grey(Green Tone)",1,"")</f>
        <v/>
      </c>
      <c r="AER8" t="str">
        <f>IF(Guillotine!F15="SP17AB Pearl White",1,"")</f>
        <v/>
      </c>
      <c r="AES8" t="str">
        <f>IF(Guillotine!F15="SP17AB Monument",1,"")</f>
        <v/>
      </c>
      <c r="AET8" t="str">
        <f>IF(Guillotine!F15="SP17AB Surfmist",1,"")</f>
        <v/>
      </c>
      <c r="AEU8" t="str">
        <f>IF(Guillotine!F15="SP17AB Dune",1,"")</f>
        <v/>
      </c>
      <c r="AEV8" t="str">
        <f>IF(Guillotine!F15="SP17AB Powdercoat",1,"")</f>
        <v/>
      </c>
      <c r="AEW8" t="str">
        <f>IF(Guillotine!F15="SP27AB Apo Grey",1,"")</f>
        <v/>
      </c>
      <c r="AEX8" t="str">
        <f>IF(Guillotine!F15="SP27AB White Birch",1,"")</f>
        <v/>
      </c>
      <c r="AEY8" t="str">
        <f>IF(Guillotine!F15="SP27AB Black",1,"")</f>
        <v/>
      </c>
      <c r="AEZ8" t="str">
        <f>IF(Guillotine!F15="SP27AB Brown",1,"")</f>
        <v/>
      </c>
      <c r="AFA8" t="str">
        <f>IF(Guillotine!F15="SP27AB Deep Ocean",1,"")</f>
        <v/>
      </c>
      <c r="AFB8" t="str">
        <f>IF(Guillotine!F15="SP27AB Jasper",1,"")</f>
        <v/>
      </c>
      <c r="AFC8" t="str">
        <f>IF(Guillotine!F15="SP27AB Paperbark",1,"")</f>
        <v/>
      </c>
      <c r="AFD8" t="str">
        <f>IF(Guillotine!F15="SP27AB Mist Green",1,"")</f>
        <v/>
      </c>
      <c r="AFE8" t="str">
        <f>IF(Guillotine!F15="SP27AB Primrose",1,"")</f>
        <v/>
      </c>
      <c r="AFF8" t="str">
        <f>IF(Guillotine!F15="SP27AB Ultra Silver",1,"")</f>
        <v/>
      </c>
      <c r="AFG8" t="str">
        <f>IF(Guillotine!F15="SP27AB Woodland Grey(Green Tone)",1,"")</f>
        <v/>
      </c>
      <c r="AFH8" t="str">
        <f>IF(Guillotine!F15="SP27AB Pearl White",1,"")</f>
        <v/>
      </c>
      <c r="AFI8" t="str">
        <f>IF(Guillotine!F15="SP27AB Monument",1,"")</f>
        <v/>
      </c>
      <c r="AFJ8" t="str">
        <f>IF(Guillotine!F15="SP27AB Surfmist",1,"")</f>
        <v/>
      </c>
      <c r="AFK8" t="str">
        <f>IF(Guillotine!F15="SP27AB Dune",1,"")</f>
        <v/>
      </c>
      <c r="AFL8" t="str">
        <f>IF(Guillotine!F15="SP27AB Powdercoat",1,"")</f>
        <v/>
      </c>
      <c r="AFM8" t="str">
        <f>IF(Guillotine!F15="SP29AB Apo Grey",1,"")</f>
        <v/>
      </c>
      <c r="AFN8" t="str">
        <f>IF(Guillotine!F15="SP29AB White Birch",1,"")</f>
        <v/>
      </c>
      <c r="AFO8" t="str">
        <f>IF(Guillotine!F15="SP29AB Black",1,"")</f>
        <v/>
      </c>
      <c r="AFP8" t="str">
        <f>IF(Guillotine!F15="SP29AB Brown",1,"")</f>
        <v/>
      </c>
      <c r="AFQ8" t="str">
        <f>IF(Guillotine!F15="SP29AB Deep Ocean",1,"")</f>
        <v/>
      </c>
      <c r="AFR8" t="str">
        <f>IF(Guillotine!F15="SP29AB Jasper",1,"")</f>
        <v/>
      </c>
      <c r="AFS8" t="str">
        <f>IF(Guillotine!F15="SP29AB Paperbark",1,"")</f>
        <v/>
      </c>
      <c r="AFT8" t="str">
        <f>IF(Guillotine!F15="SP29AB Mist Green",1,"")</f>
        <v/>
      </c>
      <c r="AFU8" t="str">
        <f>IF(Guillotine!F15="SP29AB Primrose",1,"")</f>
        <v/>
      </c>
      <c r="AFV8" t="str">
        <f>IF(Guillotine!F15="SP29AB Ultra Silver",1,"")</f>
        <v/>
      </c>
      <c r="AFW8" t="str">
        <f>IF(Guillotine!F15="SP29AB Woodland Grey(Green Tone)",1,"")</f>
        <v/>
      </c>
      <c r="AFX8" t="str">
        <f>IF(Guillotine!F15="SP29AB Pearl White",1,"")</f>
        <v/>
      </c>
      <c r="AFY8" t="str">
        <f>IF(Guillotine!F15="SP29AB Monument",1,"")</f>
        <v/>
      </c>
      <c r="AFZ8" t="str">
        <f>IF(Guillotine!F15="SP29AB Surfmist",1,"")</f>
        <v/>
      </c>
      <c r="AGA8" t="str">
        <f>IF(Guillotine!F15="SP29AB Dune",1,"")</f>
        <v/>
      </c>
      <c r="AGB8" t="str">
        <f>IF(Guillotine!F15="SP29AB Powdercoat",1,"")</f>
        <v/>
      </c>
      <c r="AGC8" t="str">
        <f>IF(Guillotine!F15="SP34AB Apo Grey",1,"")</f>
        <v/>
      </c>
      <c r="AGD8" t="str">
        <f>IF(Guillotine!F15="SP34AB White Birch",1,"")</f>
        <v/>
      </c>
      <c r="AGE8" t="str">
        <f>IF(Guillotine!F15="SP34AB Black",1,"")</f>
        <v/>
      </c>
      <c r="AGF8" t="str">
        <f>IF(Guillotine!F15="SP34AB Brown",1,"")</f>
        <v/>
      </c>
      <c r="AGG8" t="str">
        <f>IF(Guillotine!F15="SP34AB Deep Ocean",1,"")</f>
        <v/>
      </c>
      <c r="AGH8" t="str">
        <f>IF(Guillotine!F15="SP34AB Jasper",1,"")</f>
        <v/>
      </c>
      <c r="AGI8" t="str">
        <f>IF(Guillotine!F15="SP34AB Paperbark",1,"")</f>
        <v/>
      </c>
      <c r="AGJ8" t="str">
        <f>IF(Guillotine!F15="SP34AB Mist Green",1,"")</f>
        <v/>
      </c>
      <c r="AGK8" t="str">
        <f>IF(Guillotine!F15="SP34AB Primrose",1,"")</f>
        <v/>
      </c>
      <c r="AGL8" t="str">
        <f>IF(Guillotine!F15="SP34AB Ultra Silver",1,"")</f>
        <v/>
      </c>
      <c r="AGM8" t="str">
        <f>IF(Guillotine!F15="SP34AB Woodland Grey(Green Tone)",1,"")</f>
        <v/>
      </c>
      <c r="AGN8" t="str">
        <f>IF(Guillotine!F15="SP34AB Pearl White",1,"")</f>
        <v/>
      </c>
      <c r="AGO8" t="str">
        <f>IF(Guillotine!F15="SP34AB Monument",1,"")</f>
        <v/>
      </c>
      <c r="AGP8" t="str">
        <f>IF(Guillotine!F15="SP34AB Surfmist",1,"")</f>
        <v/>
      </c>
      <c r="AGQ8" t="str">
        <f>IF(Guillotine!F15="SP34AB Dune",1,"")</f>
        <v/>
      </c>
      <c r="AGR8" t="str">
        <f>IF(Guillotine!F15="SP34AB Powdercoat",1,"")</f>
        <v/>
      </c>
      <c r="AGS8" t="str">
        <f>IF(Guillotine!F15="SP37AB Apo Grey",1,"")</f>
        <v/>
      </c>
      <c r="AGT8" t="str">
        <f>IF(Guillotine!F15="SP37AB White Birch",1,"")</f>
        <v/>
      </c>
      <c r="AGU8" t="str">
        <f>IF(Guillotine!F15="SP37AB Black",1,"")</f>
        <v/>
      </c>
      <c r="AGV8" t="str">
        <f>IF(Guillotine!F15="SP37AB Brown",1,"")</f>
        <v/>
      </c>
      <c r="AGW8" t="str">
        <f>IF(Guillotine!F15="SP37AB Deep Ocean",1,"")</f>
        <v/>
      </c>
      <c r="AGX8" t="str">
        <f>IF(Guillotine!F15="SP37AB Jasper",1,"")</f>
        <v/>
      </c>
      <c r="AGY8" t="str">
        <f>IF(Guillotine!F15="SP37AB Paperbark",1,"")</f>
        <v/>
      </c>
      <c r="AGZ8" t="str">
        <f>IF(Guillotine!F15="SP37AB Mist Green",1,"")</f>
        <v/>
      </c>
      <c r="AHA8" t="str">
        <f>IF(Guillotine!F15="SP37AB Primrose",1,"")</f>
        <v/>
      </c>
      <c r="AHB8" t="str">
        <f>IF(Guillotine!F15="SP37AB Ultra Silver",1,"")</f>
        <v/>
      </c>
      <c r="AHC8" t="str">
        <f>IF(Guillotine!F15="SP37AB Woodland Grey(Green Tone)",1,"")</f>
        <v/>
      </c>
      <c r="AHD8" t="str">
        <f>IF(Guillotine!F15="SP37AB Pearl White",1,"")</f>
        <v/>
      </c>
      <c r="AHE8" t="str">
        <f>IF(Guillotine!F15="SP37AB Monument",1,"")</f>
        <v/>
      </c>
      <c r="AHF8" t="str">
        <f>IF(Guillotine!F15="SP37AB Surfmist",1,"")</f>
        <v/>
      </c>
      <c r="AHG8" t="str">
        <f>IF(Guillotine!F15="SP37AB Dune",1,"")</f>
        <v/>
      </c>
      <c r="AHH8" t="str">
        <f>IF(Guillotine!F15="SP37AB Powdercoat",1,"")</f>
        <v/>
      </c>
      <c r="AHI8" t="str">
        <f>IF(Guillotine!F15="SP52 Apo Grey",1,"")</f>
        <v/>
      </c>
      <c r="AHJ8" t="str">
        <f>IF(Guillotine!F15="SP52 White Birch",1,"")</f>
        <v/>
      </c>
      <c r="AHK8" t="str">
        <f>IF(Guillotine!F15="SP52 Black",1,"")</f>
        <v/>
      </c>
      <c r="AHL8" t="str">
        <f>IF(Guillotine!F15="SP52 Brown",1,"")</f>
        <v/>
      </c>
      <c r="AHM8" t="str">
        <f>IF(Guillotine!F15="SP52 Deep Ocean",1,"")</f>
        <v/>
      </c>
      <c r="AHN8" t="str">
        <f>IF(Guillotine!F15="SP52 Jasper",1,"")</f>
        <v/>
      </c>
      <c r="AHO8" t="str">
        <f>IF(Guillotine!F15="SP52 Paperbark",1,"")</f>
        <v/>
      </c>
      <c r="AHP8" t="str">
        <f>IF(Guillotine!F15="SP52 Mist Green",1,"")</f>
        <v/>
      </c>
      <c r="AHQ8" t="str">
        <f>IF(Guillotine!F15="SP52 Primrose",1,"")</f>
        <v/>
      </c>
      <c r="AHR8" t="str">
        <f>IF(Guillotine!F15="SP52 Ultra Silver",1,"")</f>
        <v/>
      </c>
      <c r="AHS8" t="str">
        <f>IF(Guillotine!F15="SP52 Woodland Grey(Green Tone)",1,"")</f>
        <v/>
      </c>
      <c r="AHT8" t="str">
        <f>IF(Guillotine!F15="SP52 Pearl White",1,"")</f>
        <v/>
      </c>
      <c r="AHU8" t="str">
        <f>IF(Guillotine!F15="SP52 Monument",1,"")</f>
        <v/>
      </c>
      <c r="AHV8" t="str">
        <f>IF(Guillotine!F15="SP52 Surfmist",1,"")</f>
        <v/>
      </c>
      <c r="AHW8" t="str">
        <f>IF(Guillotine!F15="SP52 Dune",1,"")</f>
        <v/>
      </c>
      <c r="AHX8" t="str">
        <f>IF(Guillotine!F15="SP52 Powdercoat",1,"")</f>
        <v/>
      </c>
      <c r="AHY8" t="str">
        <f>IF(Guillotine!F15="SP53 Apo Grey",1,"")</f>
        <v/>
      </c>
      <c r="AHZ8" t="str">
        <f>IF(Guillotine!F15="SP53 White Birch",1,"")</f>
        <v/>
      </c>
      <c r="AIA8" t="str">
        <f>IF(Guillotine!F15="SP53 Black",1,"")</f>
        <v/>
      </c>
      <c r="AIB8" t="str">
        <f>IF(Guillotine!F15="SP53 Brown",1,"")</f>
        <v/>
      </c>
      <c r="AIC8" t="str">
        <f>IF(Guillotine!F15="SP53 Deep Ocean",1,"")</f>
        <v/>
      </c>
      <c r="AID8" t="str">
        <f>IF(Guillotine!F15="SP53 Jasper",1,"")</f>
        <v/>
      </c>
      <c r="AIE8" t="str">
        <f>IF(Guillotine!F15="SP53 Paperbark",1,"")</f>
        <v/>
      </c>
      <c r="AIF8" t="str">
        <f>IF(Guillotine!F15="SP53 Mist Green",1,"")</f>
        <v/>
      </c>
      <c r="AIG8" t="str">
        <f>IF(Guillotine!F15="SP53 Primrose",1,"")</f>
        <v/>
      </c>
      <c r="AIH8" t="str">
        <f>IF(Guillotine!F15="SP53 Ultra Silver",1,"")</f>
        <v/>
      </c>
      <c r="AII8" t="str">
        <f>IF(Guillotine!F15="SP53 Woodland Grey(Green Tone)",1,"")</f>
        <v/>
      </c>
      <c r="AIJ8" t="str">
        <f>IF(Guillotine!F15="SP53 Pearl White",1,"")</f>
        <v/>
      </c>
      <c r="AIK8" t="str">
        <f>IF(Guillotine!F15="SP53 Monument",1,"")</f>
        <v/>
      </c>
      <c r="AIL8" t="str">
        <f>IF(Guillotine!F15="SP53 Surfmist",1,"")</f>
        <v/>
      </c>
      <c r="AIM8" t="str">
        <f>IF(Guillotine!F15="SP53 Dune",1,"")</f>
        <v/>
      </c>
      <c r="AIN8" t="str">
        <f>IF(Guillotine!F15="SP53 Powdercoat",1,"")</f>
        <v/>
      </c>
      <c r="AIO8" t="str">
        <f>IF(Guillotine!F15="SP55 Apo Grey",1,"")</f>
        <v/>
      </c>
      <c r="AIP8" t="str">
        <f>IF(Guillotine!F15="SP55 White Birch",1,"")</f>
        <v/>
      </c>
      <c r="AIQ8" t="str">
        <f>IF(Guillotine!F15="SP55 Black",1,"")</f>
        <v/>
      </c>
      <c r="AIR8" t="str">
        <f>IF(Guillotine!F15="SP55 Brown",1,"")</f>
        <v/>
      </c>
      <c r="AIS8" t="str">
        <f>IF(Guillotine!F15="SP55 Deep Ocean",1,"")</f>
        <v/>
      </c>
      <c r="AIT8" t="str">
        <f>IF(Guillotine!F15="SP55 Jasper",1,"")</f>
        <v/>
      </c>
      <c r="AIU8" t="str">
        <f>IF(Guillotine!F15="SP55 Paperbark",1,"")</f>
        <v/>
      </c>
      <c r="AIV8" t="str">
        <f>IF(Guillotine!F15="SP55 Mist Green",1,"")</f>
        <v/>
      </c>
      <c r="AIW8" t="str">
        <f>IF(Guillotine!F15="SP55 Primrose",1,"")</f>
        <v/>
      </c>
      <c r="AIX8" t="str">
        <f>IF(Guillotine!F15="SP55 Ultra Silver",1,"")</f>
        <v/>
      </c>
      <c r="AIY8" t="str">
        <f>IF(Guillotine!F15="SP55 Woodland Grey(Green Tone)",1,"")</f>
        <v/>
      </c>
      <c r="AIZ8" t="str">
        <f>IF(Guillotine!F15="SP55 Pearl White",1,"")</f>
        <v/>
      </c>
      <c r="AJA8" t="str">
        <f>IF(Guillotine!F15="SP55 Monument",1,"")</f>
        <v/>
      </c>
      <c r="AJB8" t="str">
        <f>IF(Guillotine!F15="SP55 Surfmist",1,"")</f>
        <v/>
      </c>
      <c r="AJC8" t="str">
        <f>IF(Guillotine!F15="SP55 Dune",1,"")</f>
        <v/>
      </c>
      <c r="AJD8" t="str">
        <f>IF(Guillotine!F15="SP55 Powdercoat",1,"")</f>
        <v/>
      </c>
      <c r="AJE8" t="str">
        <f>IF(Guillotine!F15="SP56 Apo Grey",1,"")</f>
        <v/>
      </c>
      <c r="AJF8" t="str">
        <f>IF(Guillotine!F15="SP56 White Birch",1,"")</f>
        <v/>
      </c>
      <c r="AJG8" t="str">
        <f>IF(Guillotine!F15="SP56 Black",1,"")</f>
        <v/>
      </c>
      <c r="AJH8" t="str">
        <f>IF(Guillotine!F15="SP56 Brown",1,"")</f>
        <v/>
      </c>
      <c r="AJI8" t="str">
        <f>IF(Guillotine!F15="SP56 Deep Ocean",1,"")</f>
        <v/>
      </c>
      <c r="AJJ8" t="str">
        <f>IF(Guillotine!F15="SP56 Jasper",1,"")</f>
        <v/>
      </c>
      <c r="AJK8" t="str">
        <f>IF(Guillotine!F15="SP56 Paperbark",1,"")</f>
        <v/>
      </c>
      <c r="AJL8" t="str">
        <f>IF(Guillotine!F15="SP56 Mist Green",1,"")</f>
        <v/>
      </c>
      <c r="AJM8" t="str">
        <f>IF(Guillotine!F15="SP56 Primrose",1,"")</f>
        <v/>
      </c>
      <c r="AJN8" t="str">
        <f>IF(Guillotine!F15="SP56 Ultra Silver",1,"")</f>
        <v/>
      </c>
      <c r="AJO8" t="str">
        <f>IF(Guillotine!F15="SP56 Woodland Grey(Green Tone)",1,"")</f>
        <v/>
      </c>
      <c r="AJP8" t="str">
        <f>IF(Guillotine!F15="SP56 Pearl White",1,"")</f>
        <v/>
      </c>
      <c r="AJQ8" t="str">
        <f>IF(Guillotine!F15="SP56 Monument",1,"")</f>
        <v/>
      </c>
      <c r="AJR8" t="str">
        <f>IF(Guillotine!F15="SP56 Surfmist",1,"")</f>
        <v/>
      </c>
      <c r="AJS8" t="str">
        <f>IF(Guillotine!F15="SP56 Dune",1,"")</f>
        <v/>
      </c>
      <c r="AJT8" t="str">
        <f>IF(Guillotine!F15="SP56 Powdercoat",1,"")</f>
        <v/>
      </c>
      <c r="AJU8" t="str">
        <f>IF(Guillotine!F15="SP65 Apo Grey",1,"")</f>
        <v/>
      </c>
      <c r="AJV8" t="str">
        <f>IF(Guillotine!F15="SP65 White Birch",1,"")</f>
        <v/>
      </c>
      <c r="AJW8" t="str">
        <f>IF(Guillotine!F15="SP65 Black",1,"")</f>
        <v/>
      </c>
      <c r="AJX8" t="str">
        <f>IF(Guillotine!F15="SP65 Brown",1,"")</f>
        <v/>
      </c>
      <c r="AJY8" t="str">
        <f>IF(Guillotine!F15="SP65 Deep Ocean",1,"")</f>
        <v/>
      </c>
      <c r="AJZ8" t="str">
        <f>IF(Guillotine!F15="SP65 Jasper",1,"")</f>
        <v/>
      </c>
      <c r="AKA8" t="str">
        <f>IF(Guillotine!F15="SP65 Paperbark",1,"")</f>
        <v/>
      </c>
      <c r="AKB8" t="str">
        <f>IF(Guillotine!F15="SP65 Mist Green",1,"")</f>
        <v/>
      </c>
      <c r="AKC8" t="str">
        <f>IF(Guillotine!F15="SP65 Primrose",1,"")</f>
        <v/>
      </c>
      <c r="AKD8" t="str">
        <f>IF(Guillotine!F15="SP65 Ultra Silver",1,"")</f>
        <v/>
      </c>
      <c r="AKE8" t="str">
        <f>IF(Guillotine!F15="SP65 Woodland Grey(Green Tone)",1,"")</f>
        <v/>
      </c>
      <c r="AKF8" t="str">
        <f>IF(Guillotine!F15="SP65 Pearl White",1,"")</f>
        <v/>
      </c>
      <c r="AKG8" t="str">
        <f>IF(Guillotine!F15="SP65 Monument",1,"")</f>
        <v/>
      </c>
      <c r="AKH8" t="str">
        <f>IF(Guillotine!F15="SP65 Surfmist",1,"")</f>
        <v/>
      </c>
      <c r="AKI8" t="str">
        <f>IF(Guillotine!F15="SP65 Dune",1,"")</f>
        <v/>
      </c>
      <c r="AKJ8" t="str">
        <f>IF(Guillotine!F15="SP65 Powdercoat",1,"")</f>
        <v/>
      </c>
      <c r="AKK8" t="str">
        <f>IF(Guillotine!F15="SP72 Apo Grey",1,"")</f>
        <v/>
      </c>
      <c r="AKL8" t="str">
        <f>IF(Guillotine!F15="SP72 White Birch",1,"")</f>
        <v/>
      </c>
      <c r="AKM8" t="str">
        <f>IF(Guillotine!F15="SP72 Black",1,"")</f>
        <v/>
      </c>
      <c r="AKN8" t="str">
        <f>IF(Guillotine!F15="SP72 Brown",1,"")</f>
        <v/>
      </c>
      <c r="AKO8" t="str">
        <f>IF(Guillotine!F15="SP72 Deep Ocean",1,"")</f>
        <v/>
      </c>
      <c r="AKP8" t="str">
        <f>IF(Guillotine!F15="SP72 Jasper",1,"")</f>
        <v/>
      </c>
      <c r="AKQ8" t="str">
        <f>IF(Guillotine!F15="SP72 Paperbark",1,"")</f>
        <v/>
      </c>
      <c r="AKR8" t="str">
        <f>IF(Guillotine!F15="SP72 Mist Green",1,"")</f>
        <v/>
      </c>
      <c r="AKS8" t="str">
        <f>IF(Guillotine!F15="SP72 Primrose",1,"")</f>
        <v/>
      </c>
      <c r="AKT8" t="str">
        <f>IF(Guillotine!F15="SP72 Ultra Silver",1,"")</f>
        <v/>
      </c>
      <c r="AKU8" t="str">
        <f>IF(Guillotine!F15="SP72 Woodland Grey(Green Tone)",1,"")</f>
        <v/>
      </c>
      <c r="AKV8" t="str">
        <f>IF(Guillotine!F15="SP72 Pearl White",1,"")</f>
        <v/>
      </c>
      <c r="AKW8" t="str">
        <f>IF(Guillotine!F15="SP72 Monument",1,"")</f>
        <v/>
      </c>
      <c r="AKX8" t="str">
        <f>IF(Guillotine!F15="SP72 Surfmist",1,"")</f>
        <v/>
      </c>
      <c r="AKY8" t="str">
        <f>IF(Guillotine!F15="SP72 Dune",1,"")</f>
        <v/>
      </c>
      <c r="AKZ8" t="str">
        <f>IF(Guillotine!F15="SP72 Powdercoat",1,"")</f>
        <v/>
      </c>
      <c r="ALA8" t="str">
        <f>IF(Guillotine!F15="SP74 Apo Grey",1,"")</f>
        <v/>
      </c>
      <c r="ALB8" t="str">
        <f>IF(Guillotine!F15="SP74 White Birch",1,"")</f>
        <v/>
      </c>
      <c r="ALC8" t="str">
        <f>IF(Guillotine!F15="SP74 Black",1,"")</f>
        <v/>
      </c>
      <c r="ALD8" t="str">
        <f>IF(Guillotine!F15="SP74 Brown",1,"")</f>
        <v/>
      </c>
      <c r="ALE8" t="str">
        <f>IF(Guillotine!F15="SP74 Deep Ocean",1,"")</f>
        <v/>
      </c>
      <c r="ALF8" t="str">
        <f>IF(Guillotine!F15="SP74 Jasper",1,"")</f>
        <v/>
      </c>
      <c r="ALG8" t="str">
        <f>IF(Guillotine!F15="SP74 Paperbark",1,"")</f>
        <v/>
      </c>
      <c r="ALH8" t="str">
        <f>IF(Guillotine!F15="SP74 Mist Green",1,"")</f>
        <v/>
      </c>
      <c r="ALI8" t="str">
        <f>IF(Guillotine!F15="SP74 Primrose",1,"")</f>
        <v/>
      </c>
      <c r="ALJ8" t="str">
        <f>IF(Guillotine!F15="SP74 Ultra Silver",1,"")</f>
        <v/>
      </c>
      <c r="ALK8" t="str">
        <f>IF(Guillotine!F15="SP74 Woodland Grey(Green Tone)",1,"")</f>
        <v/>
      </c>
      <c r="ALL8" t="str">
        <f>IF(Guillotine!F15="SP74 Pearl White",1,"")</f>
        <v/>
      </c>
      <c r="ALM8" t="str">
        <f>IF(Guillotine!F15="SP74 Monument",1,"")</f>
        <v/>
      </c>
      <c r="ALN8" t="str">
        <f>IF(Guillotine!F15="SP74 Surfmist",1,"")</f>
        <v/>
      </c>
      <c r="ALO8" t="str">
        <f>IF(Guillotine!F15="SP74 Dune",1,"")</f>
        <v/>
      </c>
      <c r="ALP8" t="str">
        <f>IF(Guillotine!F15="SP74 Powdercoat",1,"")</f>
        <v/>
      </c>
      <c r="ALQ8" t="str">
        <f>IF(Guillotine!F15="SP78 Apo Grey",1,"")</f>
        <v/>
      </c>
      <c r="ALR8" t="str">
        <f>IF(Guillotine!F15="SP78 White Birch",1,"")</f>
        <v/>
      </c>
      <c r="ALS8" t="str">
        <f>IF(Guillotine!F15="SP78 Black",1,"")</f>
        <v/>
      </c>
      <c r="ALT8" t="str">
        <f>IF(Guillotine!F15="SP78 Brown",1,"")</f>
        <v/>
      </c>
      <c r="ALU8" t="str">
        <f>IF(Guillotine!F15="SP78 Deep Ocean",1,"")</f>
        <v/>
      </c>
      <c r="ALV8" t="str">
        <f>IF(Guillotine!F15="SP78 Jasper",1,"")</f>
        <v/>
      </c>
      <c r="ALW8" t="str">
        <f>IF(Guillotine!F15="SP78 Paperbark",1,"")</f>
        <v/>
      </c>
      <c r="ALX8" t="str">
        <f>IF(Guillotine!F15="SP78 Mist Green",1,"")</f>
        <v/>
      </c>
      <c r="ALY8" t="str">
        <f>IF(Guillotine!F15="SP78 Primrose",1,"")</f>
        <v/>
      </c>
      <c r="ALZ8" t="str">
        <f>IF(Guillotine!F15="SP78 Ultra Silver",1,"")</f>
        <v/>
      </c>
      <c r="AMA8" t="str">
        <f>IF(Guillotine!F15="SP78 Woodland Grey(Green Tone)",1,"")</f>
        <v/>
      </c>
      <c r="AMB8" t="str">
        <f>IF(Guillotine!F15="SP78 Pearl White",1,"")</f>
        <v/>
      </c>
      <c r="AMC8" t="str">
        <f>IF(Guillotine!F15="SP78 Monument",1,"")</f>
        <v/>
      </c>
      <c r="AMD8" t="str">
        <f>IF(Guillotine!F15="SP78 Surfmist",1,"")</f>
        <v/>
      </c>
      <c r="AME8" t="str">
        <f>IF(Guillotine!F15="SP78 Dune",1,"")</f>
        <v/>
      </c>
      <c r="AMF8" t="str">
        <f>IF(Guillotine!F15="SP78 Powdercoat",1,"")</f>
        <v/>
      </c>
    </row>
    <row r="9" spans="4:1020" ht="13.2" customHeight="1">
      <c r="D9" t="str">
        <f>IF(Data!AV15="","",CONCATENATE(Data!BC$5,".",Data!BD$5))</f>
        <v/>
      </c>
      <c r="E9" t="str">
        <f>IF(D9="","",Data!AW15)</f>
        <v/>
      </c>
      <c r="F9" t="str">
        <f>IF(D9="","",Data!AV15)</f>
        <v/>
      </c>
      <c r="G9" t="str">
        <f t="shared" si="1"/>
        <v/>
      </c>
      <c r="H9" t="str">
        <f>IF(D9="","",Data!BF$5)</f>
        <v/>
      </c>
      <c r="I9" t="str">
        <f>IF(D9="","",Data!AX$5)</f>
        <v/>
      </c>
      <c r="J9" s="73" t="str">
        <f>IF(AND('Mitred Cutting'!C15="Standard",'Mitred Cutting'!D15="APO Grey"),(('Job Sheet'!BH15+'Job Sheet'!BI15)*2),"")</f>
        <v/>
      </c>
      <c r="K9" s="73" t="str">
        <f>IF(AND('Mitred Cutting'!C15="Standard",'Mitred Cutting'!D15="White Birch"),(('Job Sheet'!BH15+'Job Sheet'!BI15)*2),"")</f>
        <v/>
      </c>
      <c r="L9" s="73" t="str">
        <f>IF(AND('Mitred Cutting'!C15="Standard",'Mitred Cutting'!D15="Black"),(('Job Sheet'!BH15+'Job Sheet'!BI15)*2),"")</f>
        <v/>
      </c>
      <c r="M9" s="73" t="str">
        <f>IF(AND('Mitred Cutting'!C15="Standard",'Mitred Cutting'!D15="Brown"),(('Job Sheet'!BH15+'Job Sheet'!BI15)*2),"")</f>
        <v/>
      </c>
      <c r="N9" s="73" t="str">
        <f>IF(AND('Mitred Cutting'!C15="Standard",'Mitred Cutting'!D15="Deep Ocean"),(('Job Sheet'!BH15+'Job Sheet'!BI15)*2),"")</f>
        <v/>
      </c>
      <c r="O9" s="73" t="str">
        <f>IF(AND('Mitred Cutting'!C15="Standard",'Mitred Cutting'!D15="Jasper"),(('Job Sheet'!BH15+'Job Sheet'!BI15)*2),"")</f>
        <v/>
      </c>
      <c r="P9" s="73" t="str">
        <f>IF(AND('Mitred Cutting'!C15="Standard",'Mitred Cutting'!D15="Paperbark"),(('Job Sheet'!BH15+'Job Sheet'!BI15)*2),"")</f>
        <v/>
      </c>
      <c r="Q9" s="73" t="str">
        <f>IF(AND('Mitred Cutting'!C15="Standard",'Mitred Cutting'!D15="Mist Green"),(('Job Sheet'!BH15+'Job Sheet'!BI15)*2),"")</f>
        <v/>
      </c>
      <c r="R9" s="73" t="str">
        <f>IF(AND('Mitred Cutting'!C15="Standard",'Mitred Cutting'!D15="Primrose"),(('Job Sheet'!BH15+'Job Sheet'!BI15)*2),"")</f>
        <v/>
      </c>
      <c r="S9" s="73" t="str">
        <f>IF(AND('Mitred Cutting'!C15="Standard",'Mitred Cutting'!D15="Ultra Silver"),(('Job Sheet'!BH15+'Job Sheet'!BI15)*2),"")</f>
        <v/>
      </c>
      <c r="T9" s="73" t="str">
        <f>IF(AND('Mitred Cutting'!C15="Standard",'Mitred Cutting'!D15="Woodland Grey(Green Tone)"),(('Job Sheet'!BH15+'Job Sheet'!BI15)*2),"")</f>
        <v/>
      </c>
      <c r="U9" s="73" t="str">
        <f>IF(AND('Mitred Cutting'!C15="Standard",'Mitred Cutting'!D15="Pearl White"),(('Job Sheet'!BH15+'Job Sheet'!BI15)*2),"")</f>
        <v/>
      </c>
      <c r="V9" s="73" t="str">
        <f>IF(AND('Mitred Cutting'!C15="Standard",'Mitred Cutting'!D15="Monument"),(('Job Sheet'!BH15+'Job Sheet'!BI15)*2),"")</f>
        <v/>
      </c>
      <c r="W9" s="73" t="str">
        <f>IF(AND('Mitred Cutting'!C15="Standard",'Mitred Cutting'!D15="Surfmist"),(('Job Sheet'!BH15+'Job Sheet'!BI15)*2),"")</f>
        <v/>
      </c>
      <c r="X9" s="73" t="str">
        <f>IF(AND('Mitred Cutting'!C15="Standard",'Mitred Cutting'!D15="Dune"),(('Job Sheet'!BH15+'Job Sheet'!BI15)*2),"")</f>
        <v/>
      </c>
      <c r="Y9" s="73" t="str">
        <f>IF(AND('Mitred Cutting'!C15="Standard",'Job Sheet'!AA15="Woodland Grey (Dulux)"),(('Job Sheet'!BH15+'Job Sheet'!BI15)*2),"")</f>
        <v/>
      </c>
      <c r="Z9" s="73" t="str">
        <f>IF(AND('Mitred Cutting'!C15="Standard",Data!BP15="Powdercoat",'Job Sheet'!AA15&lt;&gt;"Woodland Grey (Dulux)"),(('Job Sheet'!BH15+'Job Sheet'!BI15)*2),"")</f>
        <v/>
      </c>
      <c r="AA9" s="73" t="str">
        <f>IF(AND('Mitred Cutting'!C15="Invisi-Gard",'Mitred Cutting'!D15="APO Grey"),(('Job Sheet'!BH15+'Job Sheet'!BI15)*2),"")</f>
        <v/>
      </c>
      <c r="AB9" s="73" t="str">
        <f>IF(AND('Mitred Cutting'!C15="Invisi-Gard",'Mitred Cutting'!D15="White Birch"),(('Job Sheet'!BH15+'Job Sheet'!BI15)*2),"")</f>
        <v/>
      </c>
      <c r="AC9" s="73" t="str">
        <f>IF(AND('Mitred Cutting'!C15="Invisi-Gard",'Mitred Cutting'!D15="Black"),(('Job Sheet'!BH15+'Job Sheet'!BI15)*2),"")</f>
        <v/>
      </c>
      <c r="AD9" s="73" t="str">
        <f>IF(AND('Mitred Cutting'!C15="Invisi-Gard",'Mitred Cutting'!D15="Brown"),(('Job Sheet'!BH15+'Job Sheet'!BI15)*2),"")</f>
        <v/>
      </c>
      <c r="AE9" s="73" t="str">
        <f>IF(AND('Mitred Cutting'!C15="Invisi-Gard",'Mitred Cutting'!D15="Deep Ocean"),(('Job Sheet'!BH15+'Job Sheet'!BI15)*2),"")</f>
        <v/>
      </c>
      <c r="AF9" s="73" t="str">
        <f>IF(AND('Mitred Cutting'!C15="Invisi-Gard",'Mitred Cutting'!D15="Jasper"),(('Job Sheet'!BH15+'Job Sheet'!BI15)*2),"")</f>
        <v/>
      </c>
      <c r="AG9" s="73" t="str">
        <f>IF(AND('Mitred Cutting'!C15="Invisi-Gard",'Mitred Cutting'!D15="Paperbark"),(('Job Sheet'!BH15+'Job Sheet'!BI15)*2),"")</f>
        <v/>
      </c>
      <c r="AH9" s="73" t="str">
        <f>IF(AND('Mitred Cutting'!C15="Invisi-Gard",'Mitred Cutting'!D15="Mist Green"),(('Job Sheet'!BH15+'Job Sheet'!BI15)*2),"")</f>
        <v/>
      </c>
      <c r="AI9" s="73" t="str">
        <f>IF(AND('Mitred Cutting'!C15="Invisi-Gard",'Mitred Cutting'!D15="Primrose"),(('Job Sheet'!BH15+'Job Sheet'!BI15)*2),"")</f>
        <v/>
      </c>
      <c r="AJ9" s="73" t="str">
        <f>IF(AND('Mitred Cutting'!C15="Invisi-Gard",'Mitred Cutting'!D15="Ultra Silver"),(('Job Sheet'!BH15+'Job Sheet'!BI15)*2),"")</f>
        <v/>
      </c>
      <c r="AK9" s="73" t="str">
        <f>IF(AND('Mitred Cutting'!C15="Invisi-Gard",'Mitred Cutting'!D15="Woodland Grey(Green Tone)"),(('Job Sheet'!BH15+'Job Sheet'!BI15)*2),"")</f>
        <v/>
      </c>
      <c r="AL9" s="73" t="str">
        <f>IF(AND('Mitred Cutting'!C15="Invisi-Gard",'Mitred Cutting'!D15="Pearl White"),(('Job Sheet'!BH15+'Job Sheet'!BI15)*2),"")</f>
        <v/>
      </c>
      <c r="AM9" s="73" t="str">
        <f>IF(AND('Mitred Cutting'!C15="Invisi-Gard",'Mitred Cutting'!D15="Monument"),(('Job Sheet'!BH15+'Job Sheet'!BI15)*2),"")</f>
        <v/>
      </c>
      <c r="AN9" s="73" t="str">
        <f>IF(AND('Mitred Cutting'!C15="Invisi-Gard",'Mitred Cutting'!D15="Surfmist"),(('Job Sheet'!BH15+'Job Sheet'!BI15)*2),"")</f>
        <v/>
      </c>
      <c r="AO9" s="73" t="str">
        <f>IF(AND('Mitred Cutting'!C15="Invisi-Gard",'Mitred Cutting'!D15="Dune"),(('Job Sheet'!BH15+'Job Sheet'!BI15)*2),"")</f>
        <v/>
      </c>
      <c r="AP9" s="73" t="str">
        <f>IF(AND('Mitred Cutting'!C15="Invisi-Gard",'Job Sheet'!AA15="Woodland Grey (Dulux)"),(('Job Sheet'!BH15+'Job Sheet'!BI15)*2),"")</f>
        <v/>
      </c>
      <c r="AQ9" s="73" t="str">
        <f>IF(AND('Mitred Cutting'!C15="Invisi-Gard",Data!BP15="Powdercoat",'Job Sheet'!AA15&lt;&gt;"Woodland Grey (Dulux)"),(('Job Sheet'!BH15+'Job Sheet'!BI15)*2),"")</f>
        <v/>
      </c>
      <c r="BZ9" s="73"/>
      <c r="CA9" s="73"/>
      <c r="CB9" s="73"/>
      <c r="CC9" s="73"/>
      <c r="CD9" s="73"/>
      <c r="CE9" s="73"/>
      <c r="CF9" s="73"/>
      <c r="CG9" s="73"/>
      <c r="CH9" s="73"/>
      <c r="CI9" s="73"/>
      <c r="CJ9" s="73"/>
      <c r="CK9" s="73"/>
      <c r="CL9" s="73"/>
      <c r="CM9" s="73"/>
      <c r="CN9" s="73"/>
      <c r="CO9" s="73"/>
      <c r="CP9" s="73"/>
      <c r="CQ9" s="73" t="str">
        <f>IF(D9="","",IF(AND('Job Sheet'!AO15="Yes",'Mitred Cutting'!I15="Short Leg Left, Right and Top",'Mitred Cutting'!J15="APO Grey"),(('Job Sheet'!E15*2+60)+'Job Sheet'!AP15+60),IF(AND('Mitred Cutting'!I15="Short Leg 1 Side",'Mitred Cutting'!J15="APO Grey"),'Job Sheet'!E15+30,IF(AND('Mitred Cutting'!I15="Short Leg Left, Right and Top",'Mitred Cutting'!J15="APO Grey"),(('Job Sheet'!E15*2+60)+'Job Sheet'!D15+60),""))))</f>
        <v/>
      </c>
      <c r="CR9" s="73" t="str">
        <f>IF(D9="","",IF(AND('Job Sheet'!AO15="Yes",'Mitred Cutting'!I15="Short Leg Left, Right and Top",'Mitred Cutting'!J15="White Birch"),(('Job Sheet'!E15*2+60)+'Job Sheet'!AP15+60),IF(AND('Mitred Cutting'!I15="Short Leg 1 Side",'Mitred Cutting'!J15="White Birch"),'Job Sheet'!E15+30,IF(AND('Mitred Cutting'!I15="Short Leg Left, Right and Top",'Mitred Cutting'!J15="White Birch"),(('Job Sheet'!E15*2+60)+'Job Sheet'!D15+60),""))))</f>
        <v/>
      </c>
      <c r="CS9" s="73" t="str">
        <f>IF(D9="","",IF(AND('Job Sheet'!AO15="Yes",'Mitred Cutting'!I15="Short Leg Left, Right and Top",'Mitred Cutting'!J15="Black"),(('Job Sheet'!E15*2+60)+'Job Sheet'!AP15+60),IF(AND('Mitred Cutting'!I15="Short Leg 1 Side",'Mitred Cutting'!J15="Black"),'Job Sheet'!E15+30,IF(AND('Mitred Cutting'!I15="Short Leg Left, Right and Top",'Mitred Cutting'!J15="Black"),(('Job Sheet'!E15*2+60)+'Job Sheet'!D15+60),""))))</f>
        <v/>
      </c>
      <c r="CT9" s="73" t="str">
        <f>IF(D9="","",IF(AND('Job Sheet'!AO15="Yes",'Mitred Cutting'!I15="Short Leg Left, Right and Top",'Mitred Cutting'!J15="Brown"),(('Job Sheet'!E15*2+60)+'Job Sheet'!AP15+60),IF(AND('Mitred Cutting'!I15="Short Leg 1 Side",'Mitred Cutting'!J15="Brown"),'Job Sheet'!E15+30,IF(AND('Mitred Cutting'!I15="Short Leg Left, Right and Top",'Mitred Cutting'!J15="Brown"),(('Job Sheet'!E15*2+60)+'Job Sheet'!D15+60),""))))</f>
        <v/>
      </c>
      <c r="CU9" s="73" t="str">
        <f>IF(D9="","",IF(AND('Job Sheet'!AO15="Yes",'Mitred Cutting'!I15="Short Leg Left, Right and Top",'Mitred Cutting'!J15="Deep Ocean"),(('Job Sheet'!E15*2+60)+'Job Sheet'!AP15+60),IF(AND('Mitred Cutting'!I15="Short Leg 1 Side",'Mitred Cutting'!J15="Deep Ocean"),'Job Sheet'!E15+30,IF(AND('Mitred Cutting'!I15="Short Leg Left, Right and Top",'Mitred Cutting'!J15="Deep Ocean"),(('Job Sheet'!E15*2+60)+'Job Sheet'!D15+60),""))))</f>
        <v/>
      </c>
      <c r="CV9" s="73" t="str">
        <f>IF(D9="","",IF(AND('Job Sheet'!AO15="Yes",'Mitred Cutting'!I15="Short Leg Left, Right and Top",'Mitred Cutting'!J15="Jasper"),(('Job Sheet'!E15*2+60)+'Job Sheet'!AP15+60),IF(AND('Mitred Cutting'!I15="Short Leg 1 Side",'Mitred Cutting'!J15="Jasper"),'Job Sheet'!E15+30,IF(AND('Mitred Cutting'!I15="Short Leg Left, Right and Top",'Mitred Cutting'!J15="Jasper"),(('Job Sheet'!E15*2+60)+'Job Sheet'!D15+60),""))))</f>
        <v/>
      </c>
      <c r="CW9" s="73" t="str">
        <f>IF(D9="","",IF(AND('Job Sheet'!AO15="Yes",'Mitred Cutting'!I15="Short Leg Left, Right and Top",'Mitred Cutting'!J15="Paperbark"),(('Job Sheet'!E15*2+60)+'Job Sheet'!AP15+60),IF(AND('Mitred Cutting'!I15="Short Leg 1 Side",'Mitred Cutting'!J15="Paperbark"),'Job Sheet'!E15+30,IF(AND('Mitred Cutting'!I15="Short Leg Left, Right and Top",'Mitred Cutting'!J15="Paperbark"),(('Job Sheet'!E15*2+60)+'Job Sheet'!D15+60),""))))</f>
        <v/>
      </c>
      <c r="CX9" s="73" t="str">
        <f>IF(D9="","",IF(AND('Job Sheet'!AO15="Yes",'Mitred Cutting'!I15="Short Leg Left, Right and Top",'Mitred Cutting'!J15="Mist Green"),(('Job Sheet'!E15*2+60)+'Job Sheet'!AP15+60),IF(AND('Mitred Cutting'!I15="Short Leg 1 Side",'Mitred Cutting'!J15="Mist Green"),'Job Sheet'!E15+30,IF(AND('Mitred Cutting'!I15="Short Leg Left, Right and Top",'Mitred Cutting'!J15="Mist Green"),(('Job Sheet'!E15*2+60)+'Job Sheet'!D15+60),""))))</f>
        <v/>
      </c>
      <c r="CY9" s="73" t="str">
        <f>IF(D9="","",IF(AND('Job Sheet'!AO15="Yes",'Mitred Cutting'!I15="Short Leg Left, Right and Top",'Mitred Cutting'!J15="Primrose"),(('Job Sheet'!E15*2+60)+'Job Sheet'!AP15+60),IF(AND('Mitred Cutting'!I15="Short Leg 1 Side",'Mitred Cutting'!J15="Primrose"),'Job Sheet'!E15+30,IF(AND('Mitred Cutting'!I15="Short Leg Left, Right and Top",'Mitred Cutting'!J15="Primrose"),(('Job Sheet'!E15*2+60)+'Job Sheet'!D15+60),""))))</f>
        <v/>
      </c>
      <c r="CZ9" s="73" t="str">
        <f>IF(D9="","",IF(AND('Job Sheet'!AO15="Yes",'Mitred Cutting'!I15="Short Leg Left, Right and Top",'Mitred Cutting'!J15="Ultra Silver"),(('Job Sheet'!E15*2+60)+'Job Sheet'!AP15+60),IF(AND('Mitred Cutting'!I15="Short Leg 1 Side",'Mitred Cutting'!J15="Ultra Silver"),'Job Sheet'!E15+30,IF(AND('Mitred Cutting'!I15="Short Leg Left, Right and Top",'Mitred Cutting'!J15="Ultra Silver"),(('Job Sheet'!E15*2+60)+'Job Sheet'!D15+60),""))))</f>
        <v/>
      </c>
      <c r="DA9" s="73" t="str">
        <f>IF(D9="","",IF(AND('Job Sheet'!AO15="Yes",'Mitred Cutting'!I15="Short Leg Left, Right and Top",'Mitred Cutting'!J15="Woodland Grey(Green Tone)"),(('Job Sheet'!E15*2+60)+'Job Sheet'!AP15+60),IF(AND('Mitred Cutting'!I15="Short Leg 1 Side",'Mitred Cutting'!J15="Woodland Grey(Green Tone)"),'Job Sheet'!E15+30,IF(AND('Mitred Cutting'!I15="Short Leg Left, Right and Top",'Mitred Cutting'!J15="Woodland Grey(Green Tone)"),(('Job Sheet'!E15*2+60)+'Job Sheet'!D15+60),""))))</f>
        <v/>
      </c>
      <c r="DB9" s="73" t="str">
        <f>IF(D9="","",IF(AND('Job Sheet'!AO15="Yes",'Mitred Cutting'!I15="Short Leg Left, Right and Top",'Mitred Cutting'!J15="Pearl White"),(('Job Sheet'!E15*2+60)+'Job Sheet'!AP15+60),IF(AND('Mitred Cutting'!I15="Short Leg 1 Side",'Mitred Cutting'!J15="Pearl White"),'Job Sheet'!E15+30,IF(AND('Mitred Cutting'!I15="Short Leg Left, Right and Top",'Mitred Cutting'!J15="Pearl White"),(('Job Sheet'!E15*2+60)+'Job Sheet'!D15+60),""))))</f>
        <v/>
      </c>
      <c r="DC9" s="73" t="str">
        <f>IF(D9="","",IF(AND('Job Sheet'!AO15="Yes",'Mitred Cutting'!I15="Short Leg Left, Right and Top",'Mitred Cutting'!J15="Monument"),(('Job Sheet'!E15*2+60)+'Job Sheet'!AP15+60),IF(AND('Mitred Cutting'!I15="Short Leg 1 Side",'Mitred Cutting'!J15="Monument"),'Job Sheet'!E15+30,IF(AND('Mitred Cutting'!I15="Short Leg Left, Right and Top",'Mitred Cutting'!J15="Monument"),(('Job Sheet'!E15*2+60)+'Job Sheet'!D15+60),""))))</f>
        <v/>
      </c>
      <c r="DD9" s="73" t="str">
        <f>IF(D9="","",IF(AND('Job Sheet'!AO15="Yes",'Mitred Cutting'!I15="Short Leg Left, Right and Top",'Mitred Cutting'!J15="Surfmist"),(('Job Sheet'!E15*2+60)+'Job Sheet'!AP15+60),IF(AND('Mitred Cutting'!I15="Short Leg 1 Side",'Mitred Cutting'!J15="Surfmist"),'Job Sheet'!E15+30,IF(AND('Mitred Cutting'!I15="Short Leg Left, Right and Top",'Mitred Cutting'!J15="Surfmist"),(('Job Sheet'!E15*2+60)+'Job Sheet'!D15+60),""))))</f>
        <v/>
      </c>
      <c r="DE9" s="73" t="str">
        <f>IF(D9="","",IF(AND('Job Sheet'!AO15="Yes",'Mitred Cutting'!I15="Short Leg Left, Right and Top",'Mitred Cutting'!J15="Dune"),(('Job Sheet'!E15*2+60)+'Job Sheet'!AP15+60),IF(AND('Mitred Cutting'!I15="Short Leg 1 Side",'Mitred Cutting'!J15="Dune"),'Job Sheet'!E15+30,IF(AND('Mitred Cutting'!I15="Short Leg Left, Right and Top",'Mitred Cutting'!J15="Dune"),(('Job Sheet'!E15*2+60)+'Job Sheet'!D15+60),""))))</f>
        <v/>
      </c>
      <c r="DG9" s="73" t="str">
        <f>IF(D9="","",IF(AND('Job Sheet'!AO15="Yes",'Mitred Cutting'!I15="Short Leg Left, Right and Top",Data!BP15="Powdercoat"),(('Job Sheet'!E15*2+60)+'Job Sheet'!AP15+60),IF(AND('Mitred Cutting'!I15="Short Leg 1 Side",Data!BP15="Powdercoat"),'Job Sheet'!E15+30,IF(AND('Mitred Cutting'!I15="Short Leg Left, Right and Top",Data!BP15="Powdercoat"),(('Job Sheet'!E15*2+60)+'Job Sheet'!D15+60),""))))</f>
        <v/>
      </c>
      <c r="DH9" s="73" t="str">
        <f>IF(D9="","",IF(AND('Job Sheet'!AO15="Yes",'Mitred Cutting'!I15="Long Leg Left, Right and Top",'Mitred Cutting'!J15="APO Grey"),(('Job Sheet'!E15*2+60)+'Job Sheet'!AP15+60),IF(AND('Mitred Cutting'!I15="Long Leg 1 Side",'Mitred Cutting'!J15="APO Grey"),'Job Sheet'!E15+30,IF(AND('Mitred Cutting'!I15="Long Leg Left, Right and Top",'Mitred Cutting'!J15="APO Grey"),(('Job Sheet'!E15*2+60)+'Job Sheet'!D15+60),""))))</f>
        <v/>
      </c>
      <c r="DI9" s="73" t="str">
        <f>IF(D9="","",IF(AND('Job Sheet'!AO15="Yes",'Mitred Cutting'!I15="Long Leg Left, Right and Top",'Mitred Cutting'!J15="White Birch"),(('Job Sheet'!E15*2+60)+'Job Sheet'!AP15+60),IF(AND('Mitred Cutting'!I15="Long Leg 1 Side",'Mitred Cutting'!J15="White Birch"),'Job Sheet'!E15+30,IF(AND('Mitred Cutting'!I15="Long Leg Left, Right and Top",'Mitred Cutting'!J15="White Birch"),(('Job Sheet'!E15*2+60)+'Job Sheet'!D15+60),""))))</f>
        <v/>
      </c>
      <c r="DJ9" s="73" t="str">
        <f>IF(D9="","",IF(AND('Job Sheet'!AO15="Yes",'Mitred Cutting'!I15="Long Leg Left, Right and Top",'Mitred Cutting'!J15="Black"),(('Job Sheet'!E15*2+60)+'Job Sheet'!AP15+60),IF(AND('Mitred Cutting'!I15="Long Leg 1 Side",'Mitred Cutting'!J15="Black"),'Job Sheet'!E15+30,IF(AND('Mitred Cutting'!I15="Long Leg Left, Right and Top",'Mitred Cutting'!J15="Black"),(('Job Sheet'!E15*2+60)+'Job Sheet'!D15+60),""))))</f>
        <v/>
      </c>
      <c r="DK9" s="73" t="str">
        <f>IF(D9="","",IF(AND('Job Sheet'!AO15="Yes",'Mitred Cutting'!I15="Long Leg Left, Right and Top",'Mitred Cutting'!J15="Brown"),(('Job Sheet'!E15*2+60)+'Job Sheet'!AP15+60),IF(AND('Mitred Cutting'!I15="Long Leg 1 Side",'Mitred Cutting'!J15="Brown"),'Job Sheet'!E15+30,IF(AND('Mitred Cutting'!I15="Long Leg Left, Right and Top",'Mitred Cutting'!J15="Brown"),(('Job Sheet'!E15*2+60)+'Job Sheet'!D15+60),""))))</f>
        <v/>
      </c>
      <c r="DL9" s="73" t="str">
        <f>IF(D9="","",IF(AND('Job Sheet'!AO15="Yes",'Mitred Cutting'!I15="Long Leg Left, Right and Top",'Mitred Cutting'!J15="Deep Ocean"),(('Job Sheet'!E15*2+60)+'Job Sheet'!AP15+60),IF(AND('Mitred Cutting'!I15="Long Leg 1 Side",'Mitred Cutting'!J15="Deep Ocean"),'Job Sheet'!E15+30,IF(AND('Mitred Cutting'!I15="Long Leg Left, Right and Top",'Mitred Cutting'!J15="Deep Ocean"),(('Job Sheet'!E15*2+60)+'Job Sheet'!D15+60),""))))</f>
        <v/>
      </c>
      <c r="DM9" s="73" t="str">
        <f>IF(D9="","",IF(AND('Job Sheet'!AO15="Yes",'Mitred Cutting'!I15="Long Leg Left, Right and Top",'Mitred Cutting'!J15="Jasper"),(('Job Sheet'!E15*2+60)+'Job Sheet'!AP15+60),IF(AND('Mitred Cutting'!I15="Long Leg 1 Side",'Mitred Cutting'!J15="Jasper"),'Job Sheet'!E15+30,IF(AND('Mitred Cutting'!I15="Long Leg Left, Right and Top",'Mitred Cutting'!J15="Jasper"),(('Job Sheet'!E15*2+60)+'Job Sheet'!D15+60),""))))</f>
        <v/>
      </c>
      <c r="DN9" s="73" t="str">
        <f>IF(D9="","",IF(AND('Job Sheet'!AO15="Yes",'Mitred Cutting'!I15="Long Leg Left, Right and Top",'Mitred Cutting'!J15="Paperbark"),(('Job Sheet'!E15*2+60)+'Job Sheet'!AP15+60),IF(AND('Mitred Cutting'!I15="Long Leg 1 Side",'Mitred Cutting'!J15="Paperbark"),'Job Sheet'!E15+30,IF(AND('Mitred Cutting'!I15="Long Leg Left, Right and Top",'Mitred Cutting'!J15="Paperbark"),(('Job Sheet'!E15*2+60)+'Job Sheet'!D15+60),""))))</f>
        <v/>
      </c>
      <c r="DO9" s="73" t="str">
        <f>IF(D9="","",IF(AND('Job Sheet'!AO15="Yes",'Mitred Cutting'!I15="Long Leg Left, Right and Top",'Mitred Cutting'!J15="Mist Green"),(('Job Sheet'!E15*2+60)+'Job Sheet'!AP15+60),IF(AND('Mitred Cutting'!I15="Long Leg 1 Side",'Mitred Cutting'!J15="Mist Green"),'Job Sheet'!E15+30,IF(AND('Mitred Cutting'!I15="Long Leg Left, Right and Top",'Mitred Cutting'!J15="Mist Green"),(('Job Sheet'!E15*2+60)+'Job Sheet'!D15+60),""))))</f>
        <v/>
      </c>
      <c r="DP9" s="73" t="str">
        <f>IF(D9="","",IF(AND('Job Sheet'!AO15="Yes",'Mitred Cutting'!I15="Long Leg Left, Right and Top",'Mitred Cutting'!J15="Primrose"),(('Job Sheet'!E15*2+60)+'Job Sheet'!AP15+60),IF(AND('Mitred Cutting'!I15="Long Leg 1 Side",'Mitred Cutting'!J15="Primrose"),'Job Sheet'!E15+30,IF(AND('Mitred Cutting'!I15="Long Leg Left, Right and Top",'Mitred Cutting'!J15="Primrose"),(('Job Sheet'!E15*2+60)+'Job Sheet'!D15+60),""))))</f>
        <v/>
      </c>
      <c r="DQ9" s="73" t="str">
        <f>IF(D9="","",IF(AND('Job Sheet'!AO15="Yes",'Mitred Cutting'!I15="Long Leg Left, Right and Top",'Mitred Cutting'!J15="Ultra Silver"),(('Job Sheet'!E15*2+60)+'Job Sheet'!AP15+60),IF(AND('Mitred Cutting'!I15="Long Leg 1 Side",'Mitred Cutting'!J15="Ultra Silver"),'Job Sheet'!E15+30,IF(AND('Mitred Cutting'!I15="Long Leg Left, Right and Top",'Mitred Cutting'!J15="Ultra Silver"),(('Job Sheet'!E15*2+60)+'Job Sheet'!D15+60),""))))</f>
        <v/>
      </c>
      <c r="DR9" s="73" t="str">
        <f>IF(D9="","",IF(AND('Job Sheet'!AO15="Yes",'Mitred Cutting'!I15="Long Leg Left, Right and Top",'Mitred Cutting'!J15="Woodland Grey(Green Tone)"),(('Job Sheet'!E15*2+60)+'Job Sheet'!AP15+60),IF(AND('Mitred Cutting'!I15="Long Leg 1 Side",'Mitred Cutting'!J15="Woodland Grey(Green Tone)"),'Job Sheet'!E15+30,IF(AND('Mitred Cutting'!I15="Long Leg Left, Right and Top",'Mitred Cutting'!J15="Woodland Grey(Green Tone)"),(('Job Sheet'!E15*2+60)+'Job Sheet'!D15+60),""))))</f>
        <v/>
      </c>
      <c r="DS9" s="73" t="str">
        <f>IF(D9="","",IF(AND('Job Sheet'!AO15="Yes",'Mitred Cutting'!I15="Long Leg Left, Right and Top",'Mitred Cutting'!J15="Pearl White"),(('Job Sheet'!E15*2+60)+'Job Sheet'!AP15+60),IF(AND('Mitred Cutting'!I15="Long Leg 1 Side",'Mitred Cutting'!J15="Pearl White"),'Job Sheet'!E15+30,IF(AND('Mitred Cutting'!I15="Long Leg Left, Right and Top",'Mitred Cutting'!J15="Pearl White"),(('Job Sheet'!E15*2+60)+'Job Sheet'!D15+60),""))))</f>
        <v/>
      </c>
      <c r="DT9" s="73" t="str">
        <f>IF(D9="","",IF(AND('Job Sheet'!AO15="Yes",'Mitred Cutting'!I15="Long Leg Left, Right and Top",'Mitred Cutting'!J15="Monument"),(('Job Sheet'!E15*2+60)+'Job Sheet'!AP15+60),IF(AND('Mitred Cutting'!I15="Long Leg 1 Side",'Mitred Cutting'!J15="Monument"),'Job Sheet'!E15+30,IF(AND('Mitred Cutting'!I15="Long Leg Left, Right and Top",'Mitred Cutting'!J15="Monument"),(('Job Sheet'!E15*2+60)+'Job Sheet'!D15+60),""))))</f>
        <v/>
      </c>
      <c r="DU9" s="73" t="str">
        <f>IF(D9="","",IF(AND('Job Sheet'!AO15="Yes",'Mitred Cutting'!I15="Long Leg Left, Right and Top",'Mitred Cutting'!J15="Surfmist"),(('Job Sheet'!E15*2+60)+'Job Sheet'!AP15+60),IF(AND('Mitred Cutting'!I15="Long Leg 1 Side",'Mitred Cutting'!J15="Surfmist"),'Job Sheet'!E15+30,IF(AND('Mitred Cutting'!I15="Long Leg Left, Right and Top",'Mitred Cutting'!J15="Surfmist"),(('Job Sheet'!E15*2+60)+'Job Sheet'!D15+60),""))))</f>
        <v/>
      </c>
      <c r="DV9" s="73" t="str">
        <f>IF(D9="","",IF(AND('Job Sheet'!AO15="Yes",'Mitred Cutting'!I15="Long Leg Left, Right and Top",'Mitred Cutting'!J15="Dune"),(('Job Sheet'!E15*2+60)+'Job Sheet'!AP15+60),IF(AND('Mitred Cutting'!I15="Long Leg 1 Side",'Mitred Cutting'!J15="Dune"),'Job Sheet'!E15+30,IF(AND('Mitred Cutting'!I15="Long Leg Left, Right and Top",'Mitred Cutting'!J15="Dune"),(('Job Sheet'!E15*2+60)+'Job Sheet'!D15+60),""))))</f>
        <v/>
      </c>
      <c r="DX9" s="73" t="str">
        <f>IF(D9="","",IF(AND('Job Sheet'!AO15="Yes",'Mitred Cutting'!I15="Long Leg Left, Right and Top",Data!BP15="Powdercoat"),(('Job Sheet'!E15*2+60)+'Job Sheet'!AP15+60),IF(AND('Mitred Cutting'!I15="Long Leg 1 Side",Data!BP15="Powdercoat"),'Job Sheet'!E15+30,IF(AND('Mitred Cutting'!I15="Long Leg Left, Right and Top",Data!BP15="Powdercoat"),(('Job Sheet'!E15*2+60)+'Job Sheet'!D15+60),""))))</f>
        <v/>
      </c>
      <c r="EA9" s="73" t="str">
        <f>IF(Data!AV15="","",IF('Job Sheet'!AV15="Yes",VLOOKUP(CONCATENATE('Job Sheet'!AW15,'Job Sheet'!AY15),DogDoor,4,FALSE),""))</f>
        <v/>
      </c>
      <c r="FE9" s="73" t="str">
        <f>IF(AND('Straight Cutting'!F15&lt;&gt;"",'Mitred Cutting'!D15="APO Grey"),'Straight Cutting'!F15,"")</f>
        <v/>
      </c>
      <c r="FF9" s="73" t="str">
        <f>IF(AND('Straight Cutting'!F15&lt;&gt;"",'Mitred Cutting'!D15="White Birch"),'Straight Cutting'!F15,"")</f>
        <v/>
      </c>
      <c r="FG9" s="73" t="str">
        <f>IF(AND('Straight Cutting'!F15&lt;&gt;"",'Mitred Cutting'!D15="Black"),'Straight Cutting'!F15,"")</f>
        <v/>
      </c>
      <c r="FH9" s="73" t="str">
        <f>IF(AND('Straight Cutting'!F15&lt;&gt;"",'Mitred Cutting'!D15="Brown"),'Straight Cutting'!F15,"")</f>
        <v/>
      </c>
      <c r="FI9" s="73" t="str">
        <f>IF(AND('Straight Cutting'!F15&lt;&gt;"",'Mitred Cutting'!D15="Deep Ocean"),'Straight Cutting'!F15,"")</f>
        <v/>
      </c>
      <c r="FJ9" s="73" t="str">
        <f>IF(AND('Straight Cutting'!F15&lt;&gt;"",'Mitred Cutting'!D15="Jasper"),'Straight Cutting'!F15,"")</f>
        <v/>
      </c>
      <c r="FK9" s="73" t="str">
        <f>IF(AND('Straight Cutting'!F15&lt;&gt;"",'Mitred Cutting'!D15="Paperbark"),'Straight Cutting'!F15,"")</f>
        <v/>
      </c>
      <c r="FL9" s="73" t="str">
        <f>IF(AND('Straight Cutting'!F15&lt;&gt;"",'Mitred Cutting'!D15="Mist Green"),'Straight Cutting'!F15,"")</f>
        <v/>
      </c>
      <c r="FM9" s="73" t="str">
        <f>IF(AND('Straight Cutting'!F15&lt;&gt;"",'Mitred Cutting'!D15="Primrose"),'Straight Cutting'!F15,"")</f>
        <v/>
      </c>
      <c r="FN9" s="73" t="str">
        <f>IF(AND('Straight Cutting'!F15&lt;&gt;"",'Mitred Cutting'!D15="Ultra Silver"),'Straight Cutting'!F15,"")</f>
        <v/>
      </c>
      <c r="FO9" s="73" t="str">
        <f>IF(AND('Straight Cutting'!F15&lt;&gt;"",'Mitred Cutting'!D15="Woodland Grey(Green Tone)"),'Straight Cutting'!F15,"")</f>
        <v/>
      </c>
      <c r="FP9" s="73" t="str">
        <f>IF(AND('Straight Cutting'!F15&lt;&gt;"",'Mitred Cutting'!D15="Pearl White"),'Straight Cutting'!F15,"")</f>
        <v/>
      </c>
      <c r="FQ9" s="73" t="str">
        <f>IF(AND('Straight Cutting'!F15&lt;&gt;"",'Mitred Cutting'!D15="Monument"),'Straight Cutting'!F15,"")</f>
        <v/>
      </c>
      <c r="FR9" s="73" t="str">
        <f>IF(AND('Straight Cutting'!F15&lt;&gt;"",'Mitred Cutting'!D15="Surfmist"),'Straight Cutting'!F15,"")</f>
        <v/>
      </c>
      <c r="FS9" s="73" t="str">
        <f>IF(AND('Straight Cutting'!F15&lt;&gt;"",'Mitred Cutting'!D15="Dune"),'Straight Cutting'!F15,"")</f>
        <v/>
      </c>
      <c r="FU9" s="73" t="str">
        <f>IF(AND('Straight Cutting'!F15&lt;&gt;"",Data!BP15="Powdercoat",'Job Sheet'!AA15&lt;&gt;"Woodland Grey (Dulux)"),'Straight Cutting'!F15,"")</f>
        <v/>
      </c>
      <c r="FV9" s="73" t="str">
        <f>IF(AND('Straight Cutting'!E15="F &amp; Z Frames",'Mitred Cutting'!D15="APO Grey"),'Straight Cutting'!G15,"")</f>
        <v/>
      </c>
      <c r="FW9" s="73" t="str">
        <f>IF(AND('Straight Cutting'!E15="F &amp; Z Frames",'Mitred Cutting'!D15="White Birch"),'Straight Cutting'!G15,"")</f>
        <v/>
      </c>
      <c r="FX9" s="73" t="str">
        <f>IF(AND('Straight Cutting'!E15="F &amp; Z Frames",'Mitred Cutting'!D15="Black"),'Straight Cutting'!G15,"")</f>
        <v/>
      </c>
      <c r="FY9" s="73" t="str">
        <f>IF(AND('Straight Cutting'!E15="F &amp; Z Frames",'Mitred Cutting'!D15="Brown"),'Straight Cutting'!G15,"")</f>
        <v/>
      </c>
      <c r="FZ9" s="73" t="str">
        <f>IF(AND('Straight Cutting'!E15="F &amp; Z Frames",'Mitred Cutting'!D15="Deep Ocean"),'Straight Cutting'!G15,"")</f>
        <v/>
      </c>
      <c r="GA9" s="73" t="str">
        <f>IF(AND('Straight Cutting'!E15="F &amp; Z Frames",'Mitred Cutting'!D15="Jasper"),'Straight Cutting'!G15,"")</f>
        <v/>
      </c>
      <c r="GB9" s="73" t="str">
        <f>IF(AND('Straight Cutting'!E15="F &amp; Z Frames",'Mitred Cutting'!D15="Paperbark"),'Straight Cutting'!G15,"")</f>
        <v/>
      </c>
      <c r="GC9" s="73" t="str">
        <f>IF(AND('Straight Cutting'!E15="F &amp; Z Frames",'Mitred Cutting'!D15="Mist Green"),'Straight Cutting'!G15,"")</f>
        <v/>
      </c>
      <c r="GD9" s="73" t="str">
        <f>IF(AND('Straight Cutting'!E15="F &amp; Z Frames",'Mitred Cutting'!D15="Primrose"),'Straight Cutting'!G15,"")</f>
        <v/>
      </c>
      <c r="GE9" s="73" t="str">
        <f>IF(AND('Straight Cutting'!E15="F &amp; Z Frames",'Mitred Cutting'!D15="Ultra Silver"),'Straight Cutting'!G15,"")</f>
        <v/>
      </c>
      <c r="GF9" s="73" t="str">
        <f>IF(AND('Straight Cutting'!E15="F &amp; Z Frames",'Mitred Cutting'!D15="Woodland Grey(Green Tone)"),'Straight Cutting'!G15,"")</f>
        <v/>
      </c>
      <c r="GG9" s="73" t="str">
        <f>IF(AND('Straight Cutting'!E15="F &amp; Z Frames",'Mitred Cutting'!D15="Pearl White"),'Straight Cutting'!G15,"")</f>
        <v/>
      </c>
      <c r="GH9" s="73" t="str">
        <f>IF(AND('Straight Cutting'!E15="F &amp; Z Frames",'Mitred Cutting'!D15="Monument"),'Straight Cutting'!G15,"")</f>
        <v/>
      </c>
      <c r="GI9" s="73" t="str">
        <f>IF(AND('Straight Cutting'!E15="F &amp; Z Frames",'Mitred Cutting'!D15="Surfmist"),'Straight Cutting'!G15,"")</f>
        <v/>
      </c>
      <c r="GJ9" s="73" t="str">
        <f>IF(AND('Straight Cutting'!E15="F &amp; Z Frames",'Mitred Cutting'!D15="Dune"),'Straight Cutting'!G15,"")</f>
        <v/>
      </c>
      <c r="GK9" s="73" t="str">
        <f>IF(AND('Straight Cutting'!E15="F &amp; Z Frames",Data!BP15="Powdercoat"),'Straight Cutting'!G15,"")</f>
        <v/>
      </c>
      <c r="GL9" s="73" t="str">
        <f>IF(AND('Straight Cutting'!E15="F &amp; High Step Z Frame",'Mitred Cutting'!D15="APO Grey"),'Straight Cutting'!G15,"")</f>
        <v/>
      </c>
      <c r="GM9" s="73" t="str">
        <f>IF(AND('Straight Cutting'!E15="F &amp; High Step Z Frame",'Mitred Cutting'!D15="White Birch"),'Straight Cutting'!G15,"")</f>
        <v/>
      </c>
      <c r="GN9" s="73" t="str">
        <f>IF(AND('Straight Cutting'!E15="F &amp; High Step Z Frame",'Mitred Cutting'!D15="Black"),'Straight Cutting'!G15,"")</f>
        <v/>
      </c>
      <c r="GO9" s="73" t="str">
        <f>IF(AND('Straight Cutting'!E15="F &amp; High Step Z Frame",'Mitred Cutting'!D15="Brown"),'Straight Cutting'!G15,"")</f>
        <v/>
      </c>
      <c r="GP9" s="73" t="str">
        <f>IF(AND('Straight Cutting'!E15="F &amp; High Step Z Frame",'Mitred Cutting'!D15="Deep Ocean"),'Straight Cutting'!G15,"")</f>
        <v/>
      </c>
      <c r="GQ9" s="73" t="str">
        <f>IF(AND('Straight Cutting'!E15="F &amp; High Step Z Frame",'Mitred Cutting'!D15="Jasper"),'Straight Cutting'!G15,"")</f>
        <v/>
      </c>
      <c r="GR9" s="73" t="str">
        <f>IF(AND('Straight Cutting'!E15="F &amp; High Step Z Frame",'Mitred Cutting'!D15="Paperbark"),'Straight Cutting'!G15,"")</f>
        <v/>
      </c>
      <c r="GS9" s="73" t="str">
        <f>IF(AND('Straight Cutting'!E15="F &amp; High Step Z Frame",'Mitred Cutting'!D15="Mist Green"),'Straight Cutting'!G15,"")</f>
        <v/>
      </c>
      <c r="GT9" s="73" t="str">
        <f>IF(AND('Straight Cutting'!E15="F &amp; High Step Z Frame",'Mitred Cutting'!D15="Primrose"),'Straight Cutting'!G15,"")</f>
        <v/>
      </c>
      <c r="GU9" s="73" t="str">
        <f>IF(AND('Straight Cutting'!E15="F &amp; High Step Z Frame",'Mitred Cutting'!D15="Ultra Silver"),'Straight Cutting'!G15,"")</f>
        <v/>
      </c>
      <c r="GV9" s="73" t="str">
        <f>IF(AND('Straight Cutting'!E15="F &amp; High Step Z Frame",'Mitred Cutting'!D15="Woodland Grey(Green Tone)"),'Straight Cutting'!G15,"")</f>
        <v/>
      </c>
      <c r="GW9" s="73" t="str">
        <f>IF(AND('Straight Cutting'!E15="F &amp; High Step Z Frame",'Mitred Cutting'!D15="Pearl White"),'Straight Cutting'!G15,"")</f>
        <v/>
      </c>
      <c r="GX9" s="73" t="str">
        <f>IF(AND('Straight Cutting'!E15="F &amp; High Step Z Frame",'Mitred Cutting'!D15="Monument"),'Straight Cutting'!G15,"")</f>
        <v/>
      </c>
      <c r="GY9" s="73" t="str">
        <f>IF(AND('Straight Cutting'!E15="F &amp; High Step Z Frame",'Mitred Cutting'!D15="Surfmist"),'Straight Cutting'!G15,"")</f>
        <v/>
      </c>
      <c r="GZ9" s="73" t="str">
        <f>IF(AND('Straight Cutting'!E15="F &amp; High Step Z Frame",'Mitred Cutting'!D15="Dune"),'Straight Cutting'!G15,"")</f>
        <v/>
      </c>
      <c r="HA9" s="73" t="str">
        <f>IF(AND('Straight Cutting'!E15="F &amp; High Step Z Frame",Data!BP15="Powdercoat"),'Straight Cutting'!G15,"")</f>
        <v/>
      </c>
      <c r="HB9" s="73" t="str">
        <f>IF(AND('Straight Cutting'!I15&lt;&gt;"",'Mitred Cutting'!D15="APO Grey"),'Straight Cutting'!I15,"")</f>
        <v/>
      </c>
      <c r="HC9" s="73" t="str">
        <f>IF(AND('Straight Cutting'!I15&lt;&gt;"",'Mitred Cutting'!D15="White Birch"),'Straight Cutting'!I15,"")</f>
        <v/>
      </c>
      <c r="HD9" s="73" t="str">
        <f>IF(AND('Straight Cutting'!I15&lt;&gt;"",'Mitred Cutting'!D15="Black"),'Straight Cutting'!I15,"")</f>
        <v/>
      </c>
      <c r="HE9" s="73" t="str">
        <f>IF(AND('Straight Cutting'!I15&lt;&gt;"",'Mitred Cutting'!D15="Brown"),'Straight Cutting'!I15,"")</f>
        <v/>
      </c>
      <c r="HF9" s="73" t="str">
        <f>IF(AND('Straight Cutting'!I15&lt;&gt;"",'Mitred Cutting'!D15="Deep Ocean"),'Straight Cutting'!I15,"")</f>
        <v/>
      </c>
      <c r="HG9" s="73" t="str">
        <f>IF(AND('Straight Cutting'!I15&lt;&gt;"",'Mitred Cutting'!D15="Jasper"),'Straight Cutting'!I15,"")</f>
        <v/>
      </c>
      <c r="HH9" s="73" t="str">
        <f>IF(AND('Straight Cutting'!I15&lt;&gt;"",'Mitred Cutting'!D15="Paperbark"),'Straight Cutting'!I15,"")</f>
        <v/>
      </c>
      <c r="HI9" s="73" t="str">
        <f>IF(AND('Straight Cutting'!I15&lt;&gt;"",'Mitred Cutting'!D15="Mist Green"),'Straight Cutting'!I15,"")</f>
        <v/>
      </c>
      <c r="HJ9" s="73" t="str">
        <f>IF(AND('Straight Cutting'!I15&lt;&gt;"",'Mitred Cutting'!D15="Primrose"),'Straight Cutting'!I15,"")</f>
        <v/>
      </c>
      <c r="HK9" s="73" t="str">
        <f>IF(AND('Straight Cutting'!I15&lt;&gt;"",'Mitred Cutting'!D15="Ultra Silver"),'Straight Cutting'!I15,"")</f>
        <v/>
      </c>
      <c r="HL9" s="73" t="str">
        <f>IF(AND('Straight Cutting'!I15&lt;&gt;"",'Mitred Cutting'!D15="Woodland Grey(Green Tone)"),'Straight Cutting'!I15,"")</f>
        <v/>
      </c>
      <c r="HM9" s="73" t="str">
        <f>IF(AND('Straight Cutting'!I15&lt;&gt;"",'Mitred Cutting'!D15="Pearl White"),'Straight Cutting'!I15,"")</f>
        <v/>
      </c>
      <c r="HN9" s="73" t="str">
        <f>IF(AND('Straight Cutting'!I15&lt;&gt;"",'Mitred Cutting'!D15="Monument"),'Straight Cutting'!I15,"")</f>
        <v/>
      </c>
      <c r="HO9" s="73" t="str">
        <f>IF(AND('Straight Cutting'!I15&lt;&gt;"",'Mitred Cutting'!D15="Surfmist"),'Straight Cutting'!I15,"")</f>
        <v/>
      </c>
      <c r="HP9" s="73" t="str">
        <f>IF(AND('Straight Cutting'!I15&lt;&gt;"",'Mitred Cutting'!D15="Dune"),'Straight Cutting'!I15,"")</f>
        <v/>
      </c>
      <c r="HR9" s="73" t="str">
        <f>IF(AND('Straight Cutting'!I15&lt;&gt;"",'Mitred Cutting'!D15="Powdercoat"),'Straight Cutting'!I15,"")</f>
        <v/>
      </c>
      <c r="HS9" s="73" t="str">
        <f>IF(AND('Mitred Cutting'!D15="APO Grey",'Job Sheet'!AQ15="T Mullion with Cutouts and 2 Lock Bolts"),'Straight Cutting'!J15,"")</f>
        <v/>
      </c>
      <c r="HT9" s="73" t="str">
        <f>IF(AND('Mitred Cutting'!D15="White Birch",'Job Sheet'!AQ15="T Mullion with Cutouts and 2 Lock Bolts"),'Straight Cutting'!J15,"")</f>
        <v/>
      </c>
      <c r="HU9" s="73" t="str">
        <f>IF(AND('Mitred Cutting'!D15="Black",'Job Sheet'!AQ15="T Mullion with Cutouts and 2 Lock Bolts"),'Straight Cutting'!J15,"")</f>
        <v/>
      </c>
      <c r="HV9" s="73" t="str">
        <f>IF(AND('Mitred Cutting'!D15="Brown",'Job Sheet'!AQ15="T Mullion with Cutouts and 2 Lock Bolts"),'Straight Cutting'!J15,"")</f>
        <v/>
      </c>
      <c r="HW9" s="73" t="str">
        <f>IF(AND('Mitred Cutting'!D15="Deep Ocean",'Job Sheet'!AQ15="T Mullion with Cutouts and 2 Lock Bolts"),'Straight Cutting'!J15,"")</f>
        <v/>
      </c>
      <c r="HX9" s="73" t="str">
        <f>IF(AND('Mitred Cutting'!D15="Jasper",'Job Sheet'!AQ15="T Mullion with Cutouts and 2 Lock Bolts"),'Straight Cutting'!J15,"")</f>
        <v/>
      </c>
      <c r="HY9" s="73" t="str">
        <f>IF(AND('Mitred Cutting'!D15="Paperbark",'Job Sheet'!AQ15="T Mullion with Cutouts and 2 Lock Bolts"),'Straight Cutting'!J15,"")</f>
        <v/>
      </c>
      <c r="HZ9" s="73" t="str">
        <f>IF(AND('Mitred Cutting'!D15="Mist Green",'Job Sheet'!AQ15="T Mullion with Cutouts and 2 Lock Bolts"),'Straight Cutting'!J15,"")</f>
        <v/>
      </c>
      <c r="IA9" s="73" t="str">
        <f>IF(AND('Mitred Cutting'!D15="Primrose",'Job Sheet'!AQ15="T Mullion with Cutouts and 2 Lock Bolts"),'Straight Cutting'!J15,"")</f>
        <v/>
      </c>
      <c r="IB9" s="73" t="str">
        <f>IF(AND('Mitred Cutting'!D15="Ultra Silver",'Job Sheet'!AQ15="T Mullion with Cutouts and 2 Lock Bolts"),'Straight Cutting'!J15,"")</f>
        <v/>
      </c>
      <c r="IC9" s="73" t="str">
        <f>IF(AND('Mitred Cutting'!D15="Woodland Grey(Green Tone)",'Job Sheet'!AQ15="T Mullion with Cutouts and 2 Lock Bolts"),'Straight Cutting'!J15,"")</f>
        <v/>
      </c>
      <c r="ID9" s="73" t="str">
        <f>IF(AND('Mitred Cutting'!D15="Pearl White",'Job Sheet'!AQ15="T Mullion with Cutouts and 2 Lock Bolts"),'Straight Cutting'!J15,"")</f>
        <v/>
      </c>
      <c r="IE9" s="73" t="str">
        <f>IF(AND('Mitred Cutting'!D15="Monument",'Job Sheet'!AQ15="T Mullion with Cutouts and 2 Lock Bolts"),'Straight Cutting'!J15,"")</f>
        <v/>
      </c>
      <c r="IF9" s="73" t="str">
        <f>IF(AND('Mitred Cutting'!D15="Surfmist",'Job Sheet'!AQ15="T Mullion with Cutouts and 2 Lock Bolts"),'Straight Cutting'!J15,"")</f>
        <v/>
      </c>
      <c r="IG9" s="73" t="str">
        <f>IF(AND('Mitred Cutting'!D15="Dune",'Job Sheet'!AQ15="T Mullion with Cutouts and 2 Lock Bolts"),'Straight Cutting'!J15,"")</f>
        <v/>
      </c>
      <c r="IH9" s="73" t="str">
        <f>IF(AND('Job Sheet'!Z15="Custom Powdercoat",'Job Sheet'!AQ15="T Mullion with Cutouts and 2 Lock Bolts"),'Straight Cutting'!J15,"")</f>
        <v/>
      </c>
      <c r="II9" s="73" t="str">
        <f>IF(AND('Mitred Cutting'!D15="Apo Grey",'Straight Cutting'!E15="Bug Strip Frame"),'Job Sheet'!BH15-2+'Job Sheet'!BI15-50,IF(AND('Mitred Cutting'!D15="Apo Grey",'Straight Cutting'!E15&lt;&gt;"Bug Strip Frame"),'Straight Cutting'!D15,""))</f>
        <v/>
      </c>
      <c r="IJ9" s="73" t="str">
        <f>IF(AND('Mitred Cutting'!D15="White Birch",'Straight Cutting'!E15="Bug Strip Frame"),'Job Sheet'!BH15-2+'Job Sheet'!BI15-50,IF(AND('Mitred Cutting'!D15="White Birch",'Straight Cutting'!E15&lt;&gt;"Bug Strip Frame"),'Straight Cutting'!D15,""))</f>
        <v/>
      </c>
      <c r="IK9" s="73" t="str">
        <f>IF(AND('Mitred Cutting'!D15="Black",'Straight Cutting'!E15="Bug Strip Frame"),'Job Sheet'!BH15-2+'Job Sheet'!BI15-50,IF(AND('Mitred Cutting'!D15="Black",'Straight Cutting'!E15&lt;&gt;"Bug Strip Frame"),'Straight Cutting'!D15,""))</f>
        <v/>
      </c>
      <c r="IL9" s="73" t="str">
        <f>IF(AND('Mitred Cutting'!D15="Brown",'Straight Cutting'!E15="Bug Strip Frame"),'Job Sheet'!BH15-2+'Job Sheet'!BI15-50,IF(AND('Mitred Cutting'!D15="Brown",'Straight Cutting'!E15&lt;&gt;"Bug Strip Frame"),'Straight Cutting'!D15,""))</f>
        <v/>
      </c>
      <c r="IM9" s="73" t="str">
        <f>IF(AND('Mitred Cutting'!D15="Deep Ocean",'Straight Cutting'!E15="Bug Strip Frame"),'Job Sheet'!BH15-2+'Job Sheet'!BI15-50,IF(AND('Mitred Cutting'!D15="Deep Ocean",'Straight Cutting'!E15&lt;&gt;"Bug Strip Frame"),'Straight Cutting'!D15,""))</f>
        <v/>
      </c>
      <c r="IN9" s="73" t="str">
        <f>IF(AND('Mitred Cutting'!D15="Jasper",'Straight Cutting'!E15="Bug Strip Frame"),'Job Sheet'!BH15-2+'Job Sheet'!BI15-50,IF(AND('Mitred Cutting'!D15="Jasper",'Straight Cutting'!E15&lt;&gt;"Bug Strip Frame"),'Straight Cutting'!D15,""))</f>
        <v/>
      </c>
      <c r="IO9" s="73" t="str">
        <f>IF(AND('Mitred Cutting'!D15="Paperbark",'Straight Cutting'!E15="Bug Strip Frame"),'Job Sheet'!BH15-2+'Job Sheet'!BI15-50,IF(AND('Mitred Cutting'!D15="Paperbark",'Straight Cutting'!E15&lt;&gt;"Bug Strip Frame"),'Straight Cutting'!D15,""))</f>
        <v/>
      </c>
      <c r="IP9" s="73" t="str">
        <f>IF(AND('Mitred Cutting'!D15="Mist Green",'Straight Cutting'!E15="Bug Strip Frame"),'Job Sheet'!BH15-2+'Job Sheet'!BI15-50,IF(AND('Mitred Cutting'!D15="Mist Green",'Straight Cutting'!E15&lt;&gt;"Bug Strip Frame"),'Straight Cutting'!D15,""))</f>
        <v/>
      </c>
      <c r="IQ9" s="73" t="str">
        <f>IF(AND('Mitred Cutting'!D15="Primrose",'Straight Cutting'!E15="Bug Strip Frame"),'Job Sheet'!BH15-2+'Job Sheet'!BI15-50,IF(AND('Mitred Cutting'!D15="Primrose",'Straight Cutting'!E15&lt;&gt;"Bug Strip Frame"),'Straight Cutting'!D15,""))</f>
        <v/>
      </c>
      <c r="IR9" s="73" t="str">
        <f>IF(AND('Mitred Cutting'!D15="Ultra Silver",'Straight Cutting'!E15="Bug Strip Frame"),'Job Sheet'!BH15-2+'Job Sheet'!BI15-50,IF(AND('Mitred Cutting'!D15="Ultra Silver",'Straight Cutting'!E15&lt;&gt;"Bug Strip Frame"),'Straight Cutting'!D15,""))</f>
        <v/>
      </c>
      <c r="IS9" s="73" t="str">
        <f>IF(AND('Mitred Cutting'!D15="Woodland Grey(Green Tone)",'Straight Cutting'!E15="Bug Strip Frame"),'Job Sheet'!BH15-2+'Job Sheet'!BI15-50,IF(AND('Mitred Cutting'!D15="Woodland Grey(Green Tone)",'Straight Cutting'!E15&lt;&gt;"Bug Strip Frame"),'Straight Cutting'!D15,""))</f>
        <v/>
      </c>
      <c r="IT9" s="73" t="str">
        <f>IF(AND('Mitred Cutting'!D15="Pearl White",'Straight Cutting'!E15="Bug Strip Frame"),'Job Sheet'!BH15-2+'Job Sheet'!BI15-50,IF(AND('Mitred Cutting'!D15="Pearl White",'Straight Cutting'!E15&lt;&gt;"Bug Strip Frame"),'Straight Cutting'!D15,""))</f>
        <v/>
      </c>
      <c r="IU9" s="73" t="str">
        <f>IF(AND('Mitred Cutting'!D15="Monument",'Straight Cutting'!E15="Bug Strip Frame"),'Job Sheet'!BH15-2+'Job Sheet'!BI15-50,IF(AND('Mitred Cutting'!D15="Monument",'Straight Cutting'!E15&lt;&gt;"Bug Strip Frame"),'Straight Cutting'!D15,""))</f>
        <v/>
      </c>
      <c r="IV9" s="73" t="str">
        <f>IF(AND('Mitred Cutting'!D15="Surfmist",'Straight Cutting'!E15="Bug Strip Frame"),'Job Sheet'!BH15-2+'Job Sheet'!BI15-50,IF(AND('Mitred Cutting'!D15="Surfmist",'Straight Cutting'!E15&lt;&gt;"Bug Strip Frame"),'Straight Cutting'!D15,""))</f>
        <v/>
      </c>
      <c r="IW9" s="73" t="str">
        <f>IF(AND('Mitred Cutting'!D15="Dune",'Straight Cutting'!E15="Bug Strip Frame"),'Job Sheet'!BH15-2+'Job Sheet'!BI15-50,IF(AND('Mitred Cutting'!D15="Dune",'Straight Cutting'!E15&lt;&gt;"Bug Strip Frame"),'Straight Cutting'!D15,""))</f>
        <v/>
      </c>
      <c r="IX9" s="73" t="str">
        <f>IF(AND('Job Sheet'!AA15="Woodland Grey (Dulux)",'Straight Cutting'!E15="Bug Strip Frame"),'Job Sheet'!BH15-2+'Job Sheet'!BI15-50,IF(AND('Job Sheet'!AA15="Woodland Grey (Dulux)",'Straight Cutting'!E15&lt;&gt;"Bug Strip Frame"),'Straight Cutting'!D15,""))</f>
        <v/>
      </c>
      <c r="IY9" s="73" t="str">
        <f>IF(AND('Job Sheet'!Z15="Custom Powdercoat",'Job Sheet'!AA15&lt;&gt;"Woodland Grey (Dulux)",'Straight Cutting'!E15="Bug Strip Frame"),'Job Sheet'!BH15-2+'Job Sheet'!BI15-50,IF(AND('Job Sheet'!Z15="Custom Powdercoat",'Job Sheet'!AA15&lt;&gt;"Woodland Grey (Dulux)",'Straight Cutting'!E15&lt;&gt;"Bug Strip Frame"),'Straight Cutting'!D15,""))</f>
        <v/>
      </c>
      <c r="IZ9" s="73" t="str">
        <f>IF(AND('Straight Cutting'!L15="U Channel",'Mitred Cutting'!D15="APO Grey"),'Straight Cutting'!L15,"")</f>
        <v/>
      </c>
      <c r="JA9" s="73" t="str">
        <f>IF(AND('Straight Cutting'!K15="U Channel",'Mitred Cutting'!D15="White Birch"),'Straight Cutting'!L15,"")</f>
        <v/>
      </c>
      <c r="JB9" s="73" t="str">
        <f>IF(AND('Straight Cutting'!K15="U Channel",'Mitred Cutting'!D15="Black"),'Straight Cutting'!L15,"")</f>
        <v/>
      </c>
      <c r="JC9" s="73" t="str">
        <f>IF(AND('Straight Cutting'!K15="U Channel",'Mitred Cutting'!D15="Brown"),'Straight Cutting'!L15,"")</f>
        <v/>
      </c>
      <c r="JD9" s="73" t="str">
        <f>IF(AND('Straight Cutting'!K15="U Channel",'Mitred Cutting'!D15="Deep Ocean"),'Straight Cutting'!L15,"")</f>
        <v/>
      </c>
      <c r="JE9" s="73" t="str">
        <f>IF(AND('Straight Cutting'!K15="U Channel",'Mitred Cutting'!D15="Jasper"),'Straight Cutting'!L15,"")</f>
        <v/>
      </c>
      <c r="JF9" s="73" t="str">
        <f>IF(AND('Straight Cutting'!K15="U Channel",'Mitred Cutting'!D15="Paperbark"),'Straight Cutting'!L15,"")</f>
        <v/>
      </c>
      <c r="JG9" s="73" t="str">
        <f>IF(AND('Straight Cutting'!K15="U Channel",'Mitred Cutting'!D15="Mist Green"),'Straight Cutting'!L15,"")</f>
        <v/>
      </c>
      <c r="JH9" s="73" t="str">
        <f>IF(AND('Straight Cutting'!K15="U Channel",'Mitred Cutting'!D15="Primrose"),'Straight Cutting'!L15,"")</f>
        <v/>
      </c>
      <c r="JI9" s="73" t="str">
        <f>IF(AND('Straight Cutting'!K15="U Channel",'Mitred Cutting'!D15="Ultra Silver"),'Straight Cutting'!L15,"")</f>
        <v/>
      </c>
      <c r="JJ9" s="73" t="str">
        <f>IF(AND('Straight Cutting'!K15="U Channel",'Mitred Cutting'!D15="Woodland Grey(Green Tone)"),'Straight Cutting'!L15,"")</f>
        <v/>
      </c>
      <c r="JK9" s="73" t="str">
        <f>IF(AND('Straight Cutting'!K15="U Channel",'Mitred Cutting'!D15="Pearl White"),'Straight Cutting'!L15,"")</f>
        <v/>
      </c>
      <c r="JL9" s="73" t="str">
        <f>IF(AND('Straight Cutting'!K15="U Channel",'Mitred Cutting'!D15="Monument"),'Straight Cutting'!L15,"")</f>
        <v/>
      </c>
      <c r="JM9" s="73" t="str">
        <f>IF(AND('Straight Cutting'!K15="U Channel",'Mitred Cutting'!D15="Surfmist"),'Straight Cutting'!L15,"")</f>
        <v/>
      </c>
      <c r="JN9" s="73" t="str">
        <f>IF(AND('Straight Cutting'!K15="U Channel",'Mitred Cutting'!D15="Dune"),'Straight Cutting'!L15,"")</f>
        <v/>
      </c>
      <c r="JO9" s="73" t="str">
        <f>IF(AND('Straight Cutting'!K15="U Channel",'Job Sheet'!Z15="Custom Powdercoat"),'Straight Cutting'!L15,"")</f>
        <v/>
      </c>
      <c r="JP9" s="73" t="str">
        <f>IF(AND('Straight Cutting'!K15="U Channel with Pip",'Mitred Cutting'!D15="APO Grey"),'Straight Cutting'!L15,"")</f>
        <v/>
      </c>
      <c r="JQ9" s="73" t="str">
        <f>IF(AND('Straight Cutting'!K15="U Channel with Pip",'Mitred Cutting'!D15="White Birch"),'Straight Cutting'!L15,"")</f>
        <v/>
      </c>
      <c r="JR9" s="73" t="str">
        <f>IF(AND('Straight Cutting'!K15="U Channel with Pip",'Mitred Cutting'!D15="Black"),'Straight Cutting'!L15,"")</f>
        <v/>
      </c>
      <c r="JS9" s="73" t="str">
        <f>IF(AND('Straight Cutting'!K15="U Channel with Pip",'Mitred Cutting'!D15="Brown"),'Straight Cutting'!L15,"")</f>
        <v/>
      </c>
      <c r="JT9" s="73" t="str">
        <f>IF(AND('Straight Cutting'!K15="U Channel with Pip",'Mitred Cutting'!D15="Deep Ocean"),'Straight Cutting'!L15,"")</f>
        <v/>
      </c>
      <c r="JU9" s="73" t="str">
        <f>IF(AND('Straight Cutting'!K15="U Channel with Pip",'Mitred Cutting'!D15="Jasper"),'Straight Cutting'!L15,"")</f>
        <v/>
      </c>
      <c r="JV9" s="73" t="str">
        <f>IF(AND('Straight Cutting'!K15="U Channel with Pip",'Mitred Cutting'!D15="Paperbark"),'Straight Cutting'!L15,"")</f>
        <v/>
      </c>
      <c r="JW9" s="73" t="str">
        <f>IF(AND('Straight Cutting'!K15="U Channel with Pip",'Mitred Cutting'!D15="Mist Green"),'Straight Cutting'!L15,"")</f>
        <v/>
      </c>
      <c r="JX9" s="73" t="str">
        <f>IF(AND('Straight Cutting'!K15="U Channel with Pip",'Mitred Cutting'!D15="Primrose"),'Straight Cutting'!L15,"")</f>
        <v/>
      </c>
      <c r="JY9" s="73" t="str">
        <f>IF(AND('Straight Cutting'!K15="U Channel with Pip",'Mitred Cutting'!D15="Ultra Silver"),'Straight Cutting'!L15,"")</f>
        <v/>
      </c>
      <c r="JZ9" s="73" t="str">
        <f>IF(AND('Straight Cutting'!K15="U Channel with Pip",'Mitred Cutting'!D15="Woodland Grey(Green Tone)"),'Straight Cutting'!L15,"")</f>
        <v/>
      </c>
      <c r="KA9" s="73" t="str">
        <f>IF(AND('Straight Cutting'!K15="U Channel with Pip",'Mitred Cutting'!D15="Pearl White"),'Straight Cutting'!L15,"")</f>
        <v/>
      </c>
      <c r="KB9" s="73" t="str">
        <f>IF(AND('Straight Cutting'!K15="U Channel with Pip",'Mitred Cutting'!D15="Monument"),'Straight Cutting'!L15,"")</f>
        <v/>
      </c>
      <c r="KC9" s="73" t="str">
        <f>IF(AND('Straight Cutting'!K15="U Channel with Pip",'Mitred Cutting'!D15="Surfmist"),'Straight Cutting'!L15,"")</f>
        <v/>
      </c>
      <c r="KD9" s="73" t="str">
        <f>IF(AND('Straight Cutting'!K15="U Channel with Pip",'Mitred Cutting'!D15="Dune"),'Straight Cutting'!L15,"")</f>
        <v/>
      </c>
      <c r="KE9" s="73" t="str">
        <f>IF(AND('Straight Cutting'!K15="U Channel with Pip",'Job Sheet'!Z15="Custom Powdercoat"),'Straight Cutting'!L15,"")</f>
        <v/>
      </c>
      <c r="KF9" s="73" t="str">
        <f>IF(AND('Mitred Cutting'!D15="APO Grey",(OR('Straight Cutting'!M15="Bottom Fix Bottom Track",'Straight Cutting'!M15="U Channel &amp; Bottom Fix Bottom Track"))),'Straight Cutting'!N15,"")</f>
        <v/>
      </c>
      <c r="KG9" s="73" t="str">
        <f>IF(AND('Mitred Cutting'!D15="White Birch",(OR('Straight Cutting'!M15="Bottom Fix Bottom Track",'Straight Cutting'!M15="U Channel &amp; Bottom Fix Bottom Track"))),'Straight Cutting'!N15,"")</f>
        <v/>
      </c>
      <c r="KH9" s="73" t="str">
        <f>IF(AND('Mitred Cutting'!D15="Black",(OR('Straight Cutting'!M15="Bottom Fix Bottom Track",'Straight Cutting'!M15="U Channel &amp; Bottom Fix Bottom Track"))),'Straight Cutting'!N15,"")</f>
        <v/>
      </c>
      <c r="KI9" s="73" t="str">
        <f>IF(AND('Mitred Cutting'!D15="Brown",(OR('Straight Cutting'!M15="Bottom Fix Bottom Track",'Straight Cutting'!M15="U Channel &amp; Bottom Fix Bottom Track"))),'Straight Cutting'!N15,"")</f>
        <v/>
      </c>
      <c r="KJ9" s="73" t="str">
        <f>IF(AND('Mitred Cutting'!D15="Deep Ocean",(OR('Straight Cutting'!M15="Bottom Fix Bottom Track",'Straight Cutting'!M15="U Channel &amp; Bottom Fix Bottom Track"))),'Straight Cutting'!N15,"")</f>
        <v/>
      </c>
      <c r="KK9" s="73" t="str">
        <f>IF(AND('Mitred Cutting'!D15="Jasper",(OR('Straight Cutting'!M15="Bottom Fix Bottom Track",'Straight Cutting'!M15="U Channel &amp; Bottom Fix Bottom Track"))),'Straight Cutting'!N15,"")</f>
        <v/>
      </c>
      <c r="KL9" s="73" t="str">
        <f>IF(AND('Mitred Cutting'!D15="Paperbark",(OR('Straight Cutting'!M15="Bottom Fix Bottom Track",'Straight Cutting'!M15="U Channel &amp; Bottom Fix Bottom Track"))),'Straight Cutting'!N15,"")</f>
        <v/>
      </c>
      <c r="KM9" s="73" t="str">
        <f>IF(AND('Mitred Cutting'!D15="Mist Green",(OR('Straight Cutting'!M15="Bottom Fix Bottom Track",'Straight Cutting'!M15="U Channel &amp; Bottom Fix Bottom Track"))),'Straight Cutting'!N15,"")</f>
        <v/>
      </c>
      <c r="KN9" s="73" t="str">
        <f>IF(AND('Mitred Cutting'!D15="Primrose",(OR('Straight Cutting'!M15="Bottom Fix Bottom Track",'Straight Cutting'!M15="U Channel &amp; Bottom Fix Bottom Track"))),'Straight Cutting'!N15,"")</f>
        <v/>
      </c>
      <c r="KO9" s="73" t="str">
        <f>IF(AND('Mitred Cutting'!D15="Ultra Silver",(OR('Straight Cutting'!M15="Bottom Fix Bottom Track",'Straight Cutting'!M15="U Channel &amp; Bottom Fix Bottom Track"))),'Straight Cutting'!N15,"")</f>
        <v/>
      </c>
      <c r="KP9" s="73" t="str">
        <f>IF(AND('Mitred Cutting'!D15="Woodland Grey(Green Tone)",(OR('Straight Cutting'!M15="Bottom Fix Bottom Track",'Straight Cutting'!M15="U Channel &amp; Bottom Fix Bottom Track"))),'Straight Cutting'!N15,"")</f>
        <v/>
      </c>
      <c r="KQ9" s="73" t="str">
        <f>IF(AND('Mitred Cutting'!D15="Pearl White",(OR('Straight Cutting'!M15="Bottom Fix Bottom Track",'Straight Cutting'!M15="U Channel &amp; Bottom Fix Bottom Track"))),'Straight Cutting'!N15,"")</f>
        <v/>
      </c>
      <c r="KR9" s="73" t="str">
        <f>IF(AND('Mitred Cutting'!D15="Monument",(OR('Straight Cutting'!M15="Bottom Fix Bottom Track",'Straight Cutting'!M15="U Channel &amp; Bottom Fix Bottom Track"))),'Straight Cutting'!N15,"")</f>
        <v/>
      </c>
      <c r="KS9" s="73" t="str">
        <f>IF(AND('Mitred Cutting'!D15="Surfmist",(OR('Straight Cutting'!M15="Bottom Fix Bottom Track",'Straight Cutting'!M15="U Channel &amp; Bottom Fix Bottom Track"))),'Straight Cutting'!N15,"")</f>
        <v/>
      </c>
      <c r="KT9" s="73" t="str">
        <f>IF(AND('Mitred Cutting'!D15="Dune",(OR('Straight Cutting'!M15="Bottom Fix Bottom Track",'Straight Cutting'!M15="U Channel &amp; Bottom Fix Bottom Track"))),'Straight Cutting'!N15,"")</f>
        <v/>
      </c>
      <c r="KU9" s="73" t="str">
        <f>IF(AND('Job Sheet'!Z15="Custom Powdercoat",(OR('Straight Cutting'!M15="Bottom Fix Bottom Track",'Straight Cutting'!M15="U Channel &amp; Bottom Fix Bottom Track"))),'Straight Cutting'!N15,"")</f>
        <v/>
      </c>
      <c r="KV9" s="73" t="str">
        <f>IF(AND('Mitred Cutting'!D15="APO Grey",(OR('Straight Cutting'!M15="Face Fix Bottom Track",'Straight Cutting'!M15="U Channel &amp; Face Fix Bottom Track"))),'Straight Cutting'!N15,"")</f>
        <v/>
      </c>
      <c r="KW9" s="73" t="str">
        <f>IF(AND('Mitred Cutting'!D15="White Birch",(OR('Straight Cutting'!M15="Face Fix Bottom Track",'Straight Cutting'!M15="U Channel &amp; Face Fix Bottom Track"))),'Straight Cutting'!N15,"")</f>
        <v/>
      </c>
      <c r="KX9" s="73" t="str">
        <f>IF(AND('Mitred Cutting'!D15="Black",(OR('Straight Cutting'!M15="Face Fix Bottom Track",'Straight Cutting'!M15="U Channel &amp; Face Fix Bottom Track"))),'Straight Cutting'!N15,"")</f>
        <v/>
      </c>
      <c r="KY9" s="73" t="str">
        <f>IF(AND('Mitred Cutting'!D15="Brown",(OR('Straight Cutting'!M15="Face Fix Bottom Track",'Straight Cutting'!M15="U Channel &amp; Face Fix Bottom Track"))),'Straight Cutting'!N15,"")</f>
        <v/>
      </c>
      <c r="KZ9" s="73" t="str">
        <f>IF(AND('Mitred Cutting'!D15="Deep Ocean",(OR('Straight Cutting'!M15="Face Fix Bottom Track",'Straight Cutting'!M15="U Channel &amp; Face Fix Bottom Track"))),'Straight Cutting'!N15,"")</f>
        <v/>
      </c>
      <c r="LA9" s="73" t="str">
        <f>IF(AND('Mitred Cutting'!D15="Jasper",(OR('Straight Cutting'!M15="Face Fix Bottom Track",'Straight Cutting'!M15="U Channel &amp; Face Fix Bottom Track"))),'Straight Cutting'!N15,"")</f>
        <v/>
      </c>
      <c r="LB9" s="73" t="str">
        <f>IF(AND('Mitred Cutting'!D15="Paperbark",(OR('Straight Cutting'!M15="Face Fix Bottom Track",'Straight Cutting'!M15="U Channel &amp; Face Fix Bottom Track"))),'Straight Cutting'!N15,"")</f>
        <v/>
      </c>
      <c r="LC9" s="73" t="str">
        <f>IF(AND('Mitred Cutting'!D15="Mist Green",(OR('Straight Cutting'!M15="Face Fix Bottom Track",'Straight Cutting'!M15="U Channel &amp; Face Fix Bottom Track"))),'Straight Cutting'!N15,"")</f>
        <v/>
      </c>
      <c r="LD9" s="73" t="str">
        <f>IF(AND('Mitred Cutting'!D15="Primrose",(OR('Straight Cutting'!M15="Face Fix Bottom Track",'Straight Cutting'!M15="U Channel &amp; Face Fix Bottom Track"))),'Straight Cutting'!N15,"")</f>
        <v/>
      </c>
      <c r="LE9" s="73" t="str">
        <f>IF(AND('Mitred Cutting'!D15="Ultra Silver",(OR('Straight Cutting'!M15="Face Fix Bottom Track",'Straight Cutting'!M15="U Channel &amp; Face Fix Bottom Track"))),'Straight Cutting'!N15,"")</f>
        <v/>
      </c>
      <c r="LF9" s="73" t="str">
        <f>IF(AND('Mitred Cutting'!D15="Woodland Grey(Green Tone)",(OR('Straight Cutting'!M15="Face Fix Bottom Track",'Straight Cutting'!M15="U Channel &amp; Face Fix Bottom Track"))),'Straight Cutting'!N15,"")</f>
        <v/>
      </c>
      <c r="LG9" s="73" t="str">
        <f>IF(AND('Mitred Cutting'!D15="Pearl White",(OR('Straight Cutting'!M15="Face Fix Bottom Track",'Straight Cutting'!M15="U Channel &amp; Face Fix Bottom Track"))),'Straight Cutting'!N15,"")</f>
        <v/>
      </c>
      <c r="LH9" s="73" t="str">
        <f>IF(AND('Mitred Cutting'!D15="Monument",(OR('Straight Cutting'!M15="Face Fix Bottom Track",'Straight Cutting'!M15="U Channel &amp; Face Fix Bottom Track"))),'Straight Cutting'!N15,"")</f>
        <v/>
      </c>
      <c r="LI9" s="73" t="str">
        <f>IF(AND('Mitred Cutting'!D15="Surfmist",(OR('Straight Cutting'!M15="Face Fix Bottom Track",'Straight Cutting'!M15="U Channel &amp; Face Fix Bottom Track"))),'Straight Cutting'!N15,"")</f>
        <v/>
      </c>
      <c r="LJ9" s="73" t="str">
        <f>IF(AND('Mitred Cutting'!D15="Dune",(OR('Straight Cutting'!M15="Face Fix Bottom Track",'Straight Cutting'!M15="U Channel &amp; Face Fix Bottom Track"))),'Straight Cutting'!N15,"")</f>
        <v/>
      </c>
      <c r="LK9" s="73" t="str">
        <f>IF(AND('Job Sheet'!Z15="Custom Powdercoat",(OR('Straight Cutting'!M15="Face Fix Bottom Track",'Straight Cutting'!M15="U Channel &amp; Face Fix Bottom Track"))),'Straight Cutting'!N15,"")</f>
        <v/>
      </c>
      <c r="LL9" s="73" t="str">
        <f>IF(AND('Straight Cutting'!H15&lt;&gt;"",'Mitred Cutting'!D15="APO Grey"),'Straight Cutting'!H15/4300,"")</f>
        <v/>
      </c>
      <c r="LM9" s="73" t="str">
        <f>IF(AND('Straight Cutting'!H15&lt;&gt;"",'Mitred Cutting'!D15="White Birch"),'Straight Cutting'!H15,"")</f>
        <v/>
      </c>
      <c r="LN9" s="73" t="str">
        <f>IF(AND('Straight Cutting'!H15&lt;&gt;"",'Mitred Cutting'!D15="Black"),'Straight Cutting'!H15,"")</f>
        <v/>
      </c>
      <c r="LO9" s="73" t="str">
        <f>IF(AND('Straight Cutting'!H15&lt;&gt;"",'Mitred Cutting'!D15="Brown"),'Straight Cutting'!H15,"")</f>
        <v/>
      </c>
      <c r="LP9" s="73" t="str">
        <f>IF(AND('Straight Cutting'!H15&lt;&gt;"",'Mitred Cutting'!D15="Deep Ocean"),'Straight Cutting'!H15,"")</f>
        <v/>
      </c>
      <c r="LQ9" s="73" t="str">
        <f>IF(AND('Straight Cutting'!H15&lt;&gt;"",'Mitred Cutting'!D15="Jasper"),'Straight Cutting'!H15,"")</f>
        <v/>
      </c>
      <c r="LR9" s="73" t="str">
        <f>IF(AND('Straight Cutting'!H15&lt;&gt;"",'Mitred Cutting'!D15="Paperbark"),'Straight Cutting'!H15,"")</f>
        <v/>
      </c>
      <c r="LS9" s="73" t="str">
        <f>IF(AND('Straight Cutting'!H15&lt;&gt;"",'Mitred Cutting'!D15="Mist Green"),'Straight Cutting'!H15,"")</f>
        <v/>
      </c>
      <c r="LT9" s="73" t="str">
        <f>IF(AND('Straight Cutting'!H15&lt;&gt;"",'Mitred Cutting'!D15="Primrose"),'Straight Cutting'!H15,"")</f>
        <v/>
      </c>
      <c r="LU9" s="73" t="str">
        <f>IF(AND('Straight Cutting'!H15&lt;&gt;"",'Mitred Cutting'!D15="Ultra Silver"),'Straight Cutting'!H15,"")</f>
        <v/>
      </c>
      <c r="LV9" s="73" t="str">
        <f>IF(AND('Straight Cutting'!H15&lt;&gt;"",'Mitred Cutting'!D15="Woodland Grey(Green Tone)"),'Straight Cutting'!H15,"")</f>
        <v/>
      </c>
      <c r="LW9" s="73" t="str">
        <f>IF(AND('Straight Cutting'!H15&lt;&gt;"",'Mitred Cutting'!D15="Pearl White"),'Straight Cutting'!H15,"")</f>
        <v/>
      </c>
      <c r="LX9" s="73" t="str">
        <f>IF(AND('Straight Cutting'!H15&lt;&gt;"",'Mitred Cutting'!D15="Monument"),'Straight Cutting'!H15,"")</f>
        <v/>
      </c>
      <c r="LY9" s="73" t="str">
        <f>IF(AND('Straight Cutting'!H15&lt;&gt;"",'Mitred Cutting'!D15="Surfmist"),'Straight Cutting'!H15,"")</f>
        <v/>
      </c>
      <c r="LZ9" s="73" t="str">
        <f>IF(AND('Straight Cutting'!H15&lt;&gt;"",'Mitred Cutting'!D15="Dune"),'Straight Cutting'!H15,"")</f>
        <v/>
      </c>
      <c r="MA9" s="73" t="str">
        <f>IF(AND('Straight Cutting'!H15&lt;&gt;"",'Job Sheet'!Z15="Custom Powdercoat"),'Straight Cutting'!H15,"")</f>
        <v/>
      </c>
      <c r="MB9" s="73" t="str">
        <f>IF(AND('Mitred Cutting'!D15="APO Grey",OR('Straight Cutting'!M15="H Shaped Bottom Track",'Straight Cutting'!M15="U Channel &amp; H Shaped Bottom Track")),'Straight Cutting'!N15,"")</f>
        <v/>
      </c>
      <c r="MC9" s="73" t="str">
        <f>IF(AND('Mitred Cutting'!D15="Birch White",OR('Straight Cutting'!M15="H Shaped Bottom Track",'Straight Cutting'!M15="U Channel &amp; H Shaped Bottom Track")),'Straight Cutting'!N15,"")</f>
        <v/>
      </c>
      <c r="MD9" s="73" t="str">
        <f>IF(AND('Mitred Cutting'!D15="Black",OR('Straight Cutting'!M15="H Shaped Bottom Track",'Straight Cutting'!M15="U Channel &amp; H Shaped Bottom Track")),'Straight Cutting'!N15,"")</f>
        <v/>
      </c>
      <c r="ME9" s="73" t="str">
        <f>IF(AND('Mitred Cutting'!D15="Brown",OR('Straight Cutting'!M15="H Shaped Bottom Track",'Straight Cutting'!M15="U Channel &amp; H Shaped Bottom Track")),'Straight Cutting'!N15,"")</f>
        <v/>
      </c>
      <c r="MF9" s="73" t="str">
        <f>IF(AND('Mitred Cutting'!D15="Deep Ocean",OR('Straight Cutting'!M15="H Shaped Bottom Track",'Straight Cutting'!M15="U Channel &amp; H Shaped Bottom Track")),'Straight Cutting'!N15,"")</f>
        <v/>
      </c>
      <c r="MG9" s="73" t="str">
        <f>IF(AND('Mitred Cutting'!D15="Jasper",OR('Straight Cutting'!M15="H Shaped Bottom Track",'Straight Cutting'!M15="U Channel &amp; H Shaped Bottom Track")),'Straight Cutting'!N15,"")</f>
        <v/>
      </c>
      <c r="MH9" s="73" t="str">
        <f>IF(AND('Mitred Cutting'!D15="Paperbark",OR('Straight Cutting'!M15="H Shaped Bottom Track",'Straight Cutting'!M15="U Channel &amp; H Shaped Bottom Track")),'Straight Cutting'!N15,"")</f>
        <v/>
      </c>
      <c r="MI9" s="73" t="str">
        <f>IF(AND('Mitred Cutting'!D15="Mist Green",OR('Straight Cutting'!M15="H Shaped Bottom Track",'Straight Cutting'!M15="U Channel &amp; H Shaped Bottom Track")),'Straight Cutting'!N15,"")</f>
        <v/>
      </c>
      <c r="MJ9" s="73" t="str">
        <f>IF(AND('Mitred Cutting'!D15="Primrose",OR('Straight Cutting'!M15="H Shaped Bottom Track",'Straight Cutting'!M15="U Channel &amp; H Shaped Bottom Track")),'Straight Cutting'!N15,"")</f>
        <v/>
      </c>
      <c r="MK9" s="73" t="str">
        <f>IF(AND('Mitred Cutting'!D15="Ultra Silver",OR('Straight Cutting'!M15="H Shaped Bottom Track",'Straight Cutting'!M15="U Channel &amp; H Shaped Bottom Track")),'Straight Cutting'!N15,"")</f>
        <v/>
      </c>
      <c r="ML9" s="73" t="str">
        <f>IF(AND('Mitred Cutting'!D15="Woodland Grey(Green Tone)",OR('Straight Cutting'!M15="H Shaped Bottom Track",'Straight Cutting'!M15="U Channel &amp; H Shaped Bottom Track")),'Straight Cutting'!N15,"")</f>
        <v/>
      </c>
      <c r="MM9" s="73" t="str">
        <f>IF(AND('Mitred Cutting'!D15="Pearl White",OR('Straight Cutting'!M15="H Shaped Bottom Track",'Straight Cutting'!M15="U Channel &amp; H Shaped Bottom Track")),'Straight Cutting'!N15,"")</f>
        <v/>
      </c>
      <c r="MN9" s="73" t="str">
        <f>IF(AND('Mitred Cutting'!D15="Monument",OR('Straight Cutting'!M15="H Shaped Bottom Track",'Straight Cutting'!M15="U Channel &amp; H Shaped Bottom Track")),'Straight Cutting'!N15,"")</f>
        <v/>
      </c>
      <c r="MO9" s="73" t="str">
        <f>IF(AND('Mitred Cutting'!D15="Surfmist",OR('Straight Cutting'!M15="H Shaped Bottom Track",'Straight Cutting'!M15="U Channel &amp; H Shaped Bottom Track")),'Straight Cutting'!N15,"")</f>
        <v/>
      </c>
      <c r="MP9" s="73" t="str">
        <f>IF(AND('Mitred Cutting'!D15="Dune",OR('Straight Cutting'!M15="H Shaped Bottom Track",'Straight Cutting'!M15="U Channel &amp; H Shaped Bottom Track")),'Straight Cutting'!N15,"")</f>
        <v/>
      </c>
      <c r="MQ9" s="73" t="str">
        <f>IF(AND('Job Sheet'!Z15="Custom Powdercoat",OR('Straight Cutting'!M15="H Shaped Bottom Track",'Straight Cutting'!M15="U Channel &amp; H Shaped Bottom Track")),'Straight Cutting'!N15,"")</f>
        <v/>
      </c>
      <c r="MR9" s="73" t="str">
        <f>IF(AND('Straight Cutting'!P15="APO Grey",(OR('Job Sheet'!AI15="Yes",'Job Sheet'!AI15="Yes - Centre"))),'Straight Cutting'!Q15,"")</f>
        <v/>
      </c>
      <c r="MS9" s="73" t="str">
        <f>IF(AND('Straight Cutting'!P15="White Birch",(OR('Job Sheet'!AI15="Yes",'Job Sheet'!AI15="Yes - Centre"))),'Straight Cutting'!Q15,"")</f>
        <v/>
      </c>
      <c r="MT9" s="73" t="str">
        <f>IF(AND('Straight Cutting'!P15="Black",(OR('Job Sheet'!AI15="Yes",'Job Sheet'!AI15="Yes - Centre"))),'Straight Cutting'!Q15,"")</f>
        <v/>
      </c>
      <c r="MU9" s="73" t="str">
        <f>IF(AND('Straight Cutting'!P15="Brown",(OR('Job Sheet'!AI15="Yes",'Job Sheet'!AI15="Yes - Centre"))),'Straight Cutting'!Q15,"")</f>
        <v/>
      </c>
      <c r="MV9" s="73" t="str">
        <f>IF(AND('Straight Cutting'!P15="Deep Ocean",(OR('Job Sheet'!AI15="Yes",'Job Sheet'!AI15="Yes - Centre"))),'Straight Cutting'!Q15,"")</f>
        <v/>
      </c>
      <c r="MW9" s="73" t="str">
        <f>IF(AND('Straight Cutting'!P15="Jasper",(OR('Job Sheet'!AI15="Yes",'Job Sheet'!AI15="Yes - Centre"))),'Straight Cutting'!Q15,"")</f>
        <v/>
      </c>
      <c r="MX9" s="73" t="str">
        <f>IF(AND('Straight Cutting'!P15="Paperbark",(OR('Job Sheet'!AI15="Yes",'Job Sheet'!AI15="Yes - Centre"))),'Straight Cutting'!Q15,"")</f>
        <v/>
      </c>
      <c r="MY9" s="73" t="str">
        <f>IF(AND('Straight Cutting'!P15="Mist Green",(OR('Job Sheet'!AI15="Yes",'Job Sheet'!AI15="Yes - Centre"))),'Straight Cutting'!Q15,"")</f>
        <v/>
      </c>
      <c r="MZ9" s="73" t="str">
        <f>IF(AND('Straight Cutting'!P15="Primrose",(OR('Job Sheet'!AI15="Yes",'Job Sheet'!AI15="Yes - Centre"))),'Straight Cutting'!Q15,"")</f>
        <v/>
      </c>
      <c r="NA9" s="73" t="str">
        <f>IF(AND('Straight Cutting'!P15="Ultra Silver",(OR('Job Sheet'!AI15="Yes",'Job Sheet'!AI15="Yes - Centre"))),'Straight Cutting'!Q15,"")</f>
        <v/>
      </c>
      <c r="NB9" s="73" t="str">
        <f>IF(AND('Straight Cutting'!P15="Woodland Grey(Green Tone)",(OR('Job Sheet'!AI15="Yes",'Job Sheet'!AI15="Yes - Centre"))),'Straight Cutting'!Q15,"")</f>
        <v/>
      </c>
      <c r="NC9" s="73" t="str">
        <f>IF(AND('Straight Cutting'!P15="Pearl White",(OR('Job Sheet'!AI15="Yes",'Job Sheet'!AI15="Yes - Centre"))),'Straight Cutting'!Q15,"")</f>
        <v/>
      </c>
      <c r="ND9" s="73" t="str">
        <f>IF(AND('Straight Cutting'!P15="Monument",(OR('Job Sheet'!AI15="Yes",'Job Sheet'!AI15="Yes - Centre"))),'Straight Cutting'!Q15,"")</f>
        <v/>
      </c>
      <c r="NE9" s="73" t="str">
        <f>IF(AND('Straight Cutting'!P15="Surfmist",(OR('Job Sheet'!AI15="Yes",'Job Sheet'!AI15="Yes - Centre"))),'Straight Cutting'!Q15,"")</f>
        <v/>
      </c>
      <c r="NF9" s="73" t="str">
        <f>IF(AND('Straight Cutting'!P15="Dune",(OR('Job Sheet'!AI15="Yes",'Job Sheet'!AI15="Yes - Centre"))),'Straight Cutting'!Q15,"")</f>
        <v/>
      </c>
      <c r="NH9" s="73" t="str">
        <f>IF(AND('Straight Cutting'!P15="APO Grey",(OR('Job Sheet'!AI15="Yes",'Job Sheet'!AI15="Yes - Centre"))),'Straight Cutting'!R15,"")</f>
        <v/>
      </c>
      <c r="NI9" s="73" t="str">
        <f>IF(AND('Straight Cutting'!P15="White Birch",(OR('Job Sheet'!AI15="Yes",'Job Sheet'!AI15="Yes - Centre"))),'Straight Cutting'!R15,"")</f>
        <v/>
      </c>
      <c r="NJ9" s="73" t="str">
        <f>IF(AND('Straight Cutting'!P15="Black",(OR('Job Sheet'!AI15="Yes",'Job Sheet'!AI15="Yes - Centre"))),'Straight Cutting'!R15,"")</f>
        <v/>
      </c>
      <c r="NK9" s="73" t="str">
        <f>IF(AND('Straight Cutting'!P15="Brown",(OR('Job Sheet'!AI15="Yes",'Job Sheet'!AI15="Yes - Centre"))),'Straight Cutting'!R15,"")</f>
        <v/>
      </c>
      <c r="NL9" s="73" t="str">
        <f>IF(AND('Straight Cutting'!P15="Deep Ocean",(OR('Job Sheet'!AI15="Yes",'Job Sheet'!AI15="Yes - Centre"))),'Straight Cutting'!R15,"")</f>
        <v/>
      </c>
      <c r="NM9" s="73" t="str">
        <f>IF(AND('Straight Cutting'!P15="Jasper",(OR('Job Sheet'!AI15="Yes",'Job Sheet'!AI15="Yes - Centre"))),'Straight Cutting'!R15,"")</f>
        <v/>
      </c>
      <c r="NN9" s="73" t="str">
        <f>IF(AND('Straight Cutting'!P15="Paperbark",(OR('Job Sheet'!AI15="Yes",'Job Sheet'!AI15="Yes - Centre"))),'Straight Cutting'!R15,"")</f>
        <v/>
      </c>
      <c r="NO9" s="73" t="str">
        <f>IF(AND('Straight Cutting'!P15="Mist Green",(OR('Job Sheet'!AI15="Yes",'Job Sheet'!AI15="Yes - Centre"))),'Straight Cutting'!R15,"")</f>
        <v/>
      </c>
      <c r="NP9" s="73" t="str">
        <f>IF(AND('Straight Cutting'!P15="Primrose",(OR('Job Sheet'!AI15="Yes",'Job Sheet'!AI15="Yes - Centre"))),'Straight Cutting'!R15,"")</f>
        <v/>
      </c>
      <c r="NQ9" s="73" t="str">
        <f>IF(AND('Straight Cutting'!P15="Ultra Silver",(OR('Job Sheet'!AI15="Yes",'Job Sheet'!AI15="Yes - Centre"))),'Straight Cutting'!R15,"")</f>
        <v/>
      </c>
      <c r="NR9" s="73" t="str">
        <f>IF(AND('Straight Cutting'!P15="Woodland Grey(Green Tone)",(OR('Job Sheet'!AI15="Yes",'Job Sheet'!AI15="Yes - Centre"))),'Straight Cutting'!R15,"")</f>
        <v/>
      </c>
      <c r="NS9" s="73" t="str">
        <f>IF(AND('Straight Cutting'!P15="Pearl White",(OR('Job Sheet'!AI15="Yes",'Job Sheet'!AI15="Yes - Centre"))),'Straight Cutting'!R15,"")</f>
        <v/>
      </c>
      <c r="NT9" s="73" t="str">
        <f>IF(AND('Straight Cutting'!P15="Monument",(OR('Job Sheet'!AI15="Yes",'Job Sheet'!AI15="Yes - Centre"))),'Straight Cutting'!R15,"")</f>
        <v/>
      </c>
      <c r="NU9" s="73" t="str">
        <f>IF(AND('Straight Cutting'!P15="Surfmist",(OR('Job Sheet'!AI15="Yes",'Job Sheet'!AI15="Yes - Centre"))),'Straight Cutting'!R15,"")</f>
        <v/>
      </c>
      <c r="NV9" s="73" t="str">
        <f>IF(AND('Straight Cutting'!P15="Dune",(OR('Job Sheet'!AI15="Yes",'Job Sheet'!AI15="Yes - Centre"))),'Straight Cutting'!R15,"")</f>
        <v/>
      </c>
      <c r="ON9" s="73" t="str">
        <f>IF(Data!AW15="","",IF(VLOOKUP(CONCATENATE(Data!BO15,'Job Sheet'!AE15),DoorType,4,FALSE)="Yes",(('Job Sheet'!BH15-98)*2+('Job Sheet'!BI15-96)*2)/2700,""))</f>
        <v/>
      </c>
      <c r="OO9" s="73" t="str">
        <f>IF(Data!AW15="","",IF('Mitred Cutting'!F15="1.6mm",(('Job Sheet'!BH15-114)*2+('Job Sheet'!BI15-114)*2)/3100,""))</f>
        <v/>
      </c>
      <c r="OP9" s="73" t="str">
        <f>IF(Data!AW15="","",IF('Mitred Cutting'!F15="2mm",(('Job Sheet'!BH15-114)*2+('Job Sheet'!BI15-114)*2)/3100,""))</f>
        <v/>
      </c>
      <c r="OQ9" s="48" t="str">
        <f>IF(Data!AW15="","",IF('Straight Cutting'!R15&lt;&gt;"",(('Job Sheet'!BO15*4)+('Job Sheet'!BQ15*2)+('Job Sheet'!BP15*2))/4000,IF('Mitred Cutting'!C15="Invisi-Gard",(('Job Sheet'!BO15+'Job Sheet'!BP15)*2)/4000,"")))</f>
        <v/>
      </c>
      <c r="OR9" s="48" t="str">
        <f t="shared" si="2"/>
        <v/>
      </c>
      <c r="OS9" s="48" t="str">
        <f t="shared" si="3"/>
        <v/>
      </c>
      <c r="OT9" s="73" t="str">
        <f>IF(D9="","",'Job Sheet'!BH15-2)</f>
        <v/>
      </c>
      <c r="OU9" s="73" t="str">
        <f>IF(OR('Job Sheet'!AE15="Fibreglass Mesh",'Job Sheet'!AE15="Tuff Mesh",'Job Sheet'!AE15="Pet Mesh",'Job Sheet'!AE15="Aluminium Mesh"),'Job Sheet'!BH15*2+'Job Sheet'!BI15*2-200,"")</f>
        <v/>
      </c>
      <c r="OV9" s="73" t="str">
        <f>IF('Job Sheet'!M15="Not Required","",IF(Punching!K15="Hinged High",1,""))</f>
        <v/>
      </c>
      <c r="OW9" s="73" t="str">
        <f>IF('Job Sheet'!M15="Not Required","",IF(Punching!K15="Hinged Low",1,""))</f>
        <v/>
      </c>
      <c r="OX9" s="73" t="str">
        <f>IF('Job Sheet'!M15="Not Required","",IF(Punching!K15="Hinged Pool",1,""))</f>
        <v/>
      </c>
      <c r="OY9" s="73" t="str">
        <f>IF('Job Sheet'!M15="Not Required","",IF(Punching!K15="Hinged Adjustable",1,""))</f>
        <v/>
      </c>
      <c r="OZ9" s="73" t="str">
        <f>IF('Job Sheet'!M15="Not Required","",IF(Punching!K15="Sliding High",1,""))</f>
        <v/>
      </c>
      <c r="PA9" s="73" t="str">
        <f>IF('Job Sheet'!M15="Not Required","",IF(Punching!K15="Sliding Low",1,""))</f>
        <v/>
      </c>
      <c r="PB9" s="73" t="str">
        <f>IF('Job Sheet'!M15="Not Required","",IF(Punching!K15="Sliding Pool",1,""))</f>
        <v/>
      </c>
      <c r="PC9" s="73" t="str">
        <f>IF('Job Sheet'!M15="Not Required","",IF(Punching!K15="Sliding Adjustable",1,""))</f>
        <v/>
      </c>
      <c r="PD9" s="73" t="str">
        <f t="shared" si="0"/>
        <v/>
      </c>
      <c r="PH9" s="73" t="str">
        <f>IF('Job Sheet'!AV15&lt;&gt;"Yes","",IF(OR('Job Sheet'!AY15="Left",'Job Sheet'!AY15="Right"),"1","2"))</f>
        <v/>
      </c>
      <c r="PO9" s="73" t="str">
        <f>IF('Job Sheet'!M15="Bass Latch",1,"")</f>
        <v/>
      </c>
      <c r="PP9" s="73" t="str">
        <f>IF('Job Sheet'!AU15="Yes","2","")</f>
        <v/>
      </c>
      <c r="PQ9" s="73" t="str">
        <f>IF('Job Sheet'!U15="Black",1,"")</f>
        <v/>
      </c>
      <c r="PR9" s="73" t="str">
        <f>IF('Job Sheet'!U15="Dune",1,"")</f>
        <v/>
      </c>
      <c r="PS9" s="73" t="str">
        <f>IF('Job Sheet'!U15="Jasper",1,"")</f>
        <v/>
      </c>
      <c r="PT9" s="73" t="str">
        <f>IF('Job Sheet'!U15="Monument",1,"")</f>
        <v/>
      </c>
      <c r="PU9" s="73" t="str">
        <f>IF('Job Sheet'!U15="Paperbark",1,"")</f>
        <v/>
      </c>
      <c r="PV9" s="73" t="str">
        <f>IF('Job Sheet'!U15="Primrose",1,"")</f>
        <v/>
      </c>
      <c r="PW9" s="73" t="str">
        <f>IF('Job Sheet'!U15="Surfmist",1,"")</f>
        <v/>
      </c>
      <c r="PX9" s="73" t="str">
        <f>IF('Job Sheet'!U15="White",1,"")</f>
        <v/>
      </c>
      <c r="PY9" s="73" t="str">
        <f>IF('Job Sheet'!U15="Woodland Grey(Green Tone)",1,"")</f>
        <v/>
      </c>
      <c r="PZ9" s="73" t="str">
        <f>IF(AND(OR('Job Sheet'!M15="Single Lock",'Job Sheet'!M15="Triple Lock"),'Job Sheet'!J15="Hinged",'Job Sheet'!Q15="Black"),1,"")</f>
        <v/>
      </c>
      <c r="QA9" s="73" t="str">
        <f>IF(AND(OR('Job Sheet'!M15="Single Lock",'Job Sheet'!M15="Triple Lock"),'Job Sheet'!J15="Hinged",'Job Sheet'!Q15="Dune"),1,"")</f>
        <v/>
      </c>
      <c r="QB9" s="73" t="str">
        <f>IF(AND(OR('Job Sheet'!M15="Single Lock",'Job Sheet'!M15="Triple Lock"),'Job Sheet'!J15="Hinged",'Job Sheet'!Q15="Jasper"),1,"")</f>
        <v/>
      </c>
      <c r="QC9" s="73" t="str">
        <f>IF(AND(OR('Job Sheet'!M15="Single Lock",'Job Sheet'!M15="Triple Lock"),'Job Sheet'!J15="Hinged",'Job Sheet'!Q15="Monument"),1,"")</f>
        <v/>
      </c>
      <c r="QD9" s="73" t="str">
        <f>IF(AND(OR('Job Sheet'!M15="Single Lock",'Job Sheet'!M15="Triple Lock"),'Job Sheet'!J15="Hinged",'Job Sheet'!Q15="Paperbark"),1,"")</f>
        <v/>
      </c>
      <c r="QE9" s="73" t="str">
        <f>IF(AND(OR('Job Sheet'!M15="Single Lock",'Job Sheet'!M15="Triple Lock"),'Job Sheet'!J15="Hinged",'Job Sheet'!Q15="Primrose"),1,"")</f>
        <v/>
      </c>
      <c r="QF9" s="73" t="str">
        <f>IF(AND(OR('Job Sheet'!M15="Single Lock",'Job Sheet'!M15="Triple Lock"),'Job Sheet'!J15="Hinged",'Job Sheet'!Q15="Surfmist"),1,"")</f>
        <v/>
      </c>
      <c r="QG9" s="73" t="str">
        <f>IF(AND(OR('Job Sheet'!M15="Single Lock",'Job Sheet'!M15="Triple Lock"),'Job Sheet'!J15="Hinged",'Job Sheet'!Q15="White"),1,"")</f>
        <v/>
      </c>
      <c r="QH9" s="73" t="str">
        <f>IF(AND(OR('Job Sheet'!M15="Single Lock",'Job Sheet'!M15="Triple Lock"),'Job Sheet'!J15="Hinged",'Job Sheet'!Q15="Woodland Grey(Green Tone)"),1,"")</f>
        <v/>
      </c>
      <c r="QI9" s="73" t="str">
        <f>IF(AND(OR('Job Sheet'!M15="Push 2 Go Single Lock",'Job Sheet'!M15="Push 2 Go Triple Lock"),'Job Sheet'!J15="Hinged",'Job Sheet'!Q15="Black"),1,"")</f>
        <v/>
      </c>
      <c r="QJ9" s="73" t="str">
        <f>IF(AND(OR('Job Sheet'!M15="Push 2 Go Single Lock",'Job Sheet'!M15="Push 2 Go Triple Lock"),'Job Sheet'!J15="Hinged",'Job Sheet'!Q15="Dune"),1,"")</f>
        <v/>
      </c>
      <c r="QK9" s="73" t="str">
        <f>IF(AND(OR('Job Sheet'!M15="Push 2 Go Single Lock",'Job Sheet'!M15="Push 2 Go Triple Lock"),'Job Sheet'!J15="Hinged",'Job Sheet'!Q15="Jasper"),1,"")</f>
        <v/>
      </c>
      <c r="QL9" s="73" t="str">
        <f>IF(AND(OR('Job Sheet'!M15="Push 2 Go Single Lock",'Job Sheet'!M15="Push 2 Go Triple Lock"),'Job Sheet'!J15="Hinged",'Job Sheet'!Q15="Monument"),1,"")</f>
        <v/>
      </c>
      <c r="QM9" s="73" t="str">
        <f>IF(AND(OR('Job Sheet'!M15="Push 2 Go Single Lock",'Job Sheet'!M15="Push 2 Go Triple Lock"),'Job Sheet'!J15="Hinged",'Job Sheet'!Q15="Paperbark"),1,"")</f>
        <v/>
      </c>
      <c r="QN9" s="73" t="str">
        <f>IF(AND(OR('Job Sheet'!M15="Push 2 Go Single Lock",'Job Sheet'!M15="Push 2 Go Triple Lock"),'Job Sheet'!J15="Hinged",'Job Sheet'!Q15="Primrose"),1,"")</f>
        <v/>
      </c>
      <c r="QO9" s="73" t="str">
        <f>IF(AND(OR('Job Sheet'!M15="Push 2 Go Single Lock",'Job Sheet'!M15="Push 2 Go Triple Lock"),'Job Sheet'!J15="Hinged",'Job Sheet'!Q15="Surfmist"),1,"")</f>
        <v/>
      </c>
      <c r="QP9" s="73" t="str">
        <f>IF(AND(OR('Job Sheet'!M15="Push 2 Go Single Lock",'Job Sheet'!M15="Push 2 Go Triple Lock"),'Job Sheet'!J15="Hinged",'Job Sheet'!Q15="White"),1,"")</f>
        <v/>
      </c>
      <c r="QQ9" s="73" t="str">
        <f>IF(AND(OR('Job Sheet'!M15="Push 2 Go Single Lock",'Job Sheet'!M15="Push 2 Go Triple Lock"),'Job Sheet'!J15="Hinged",'Job Sheet'!Q15="Woodland Grey(Green Tone)"),1,"")</f>
        <v/>
      </c>
      <c r="QR9" s="73" t="str">
        <f>IF('Job Sheet'!M15="Bass Latch","",IF(AND(OR('Job Sheet'!J15="Sliding",'Job Sheet'!J15="Stacker"),'Job Sheet'!Q15="Black"),1,""))</f>
        <v/>
      </c>
      <c r="QS9" s="73" t="str">
        <f>IF('Job Sheet'!M15="Bass Latch","",IF(AND(OR('Job Sheet'!J15="Sliding",'Job Sheet'!J15="Stacker"),'Job Sheet'!Q15="Dune"),1,""))</f>
        <v/>
      </c>
      <c r="QT9" s="73" t="str">
        <f>IF('Job Sheet'!M15="Bass Latch","",IF(AND(OR('Job Sheet'!J15="Sliding",'Job Sheet'!J15="Stacker"),'Job Sheet'!Q15="Jasper"),1,""))</f>
        <v/>
      </c>
      <c r="QU9" s="73" t="str">
        <f>IF('Job Sheet'!M15="Bass Latch","",IF(AND(OR('Job Sheet'!J15="Sliding",'Job Sheet'!J15="Stacker"),'Job Sheet'!Q15="Monument"),1,""))</f>
        <v/>
      </c>
      <c r="QV9" s="73" t="str">
        <f>IF('Job Sheet'!M15="Bass Latch","",IF(AND(OR('Job Sheet'!J15="Sliding",'Job Sheet'!J15="Stacker"),'Job Sheet'!Q15="Paperbark"),1,""))</f>
        <v/>
      </c>
      <c r="QW9" s="73" t="str">
        <f>IF('Job Sheet'!M15="Bass Latch","",IF(AND(OR('Job Sheet'!J15="Sliding",'Job Sheet'!J15="Stacker"),'Job Sheet'!Q15="Primrose"),1,""))</f>
        <v/>
      </c>
      <c r="QX9" s="73" t="str">
        <f>IF('Job Sheet'!M15="Bass Latch","",IF(AND(OR('Job Sheet'!J15="Sliding",'Job Sheet'!J15="Stacker"),'Job Sheet'!Q15="Surfmist"),1,""))</f>
        <v/>
      </c>
      <c r="QY9" s="73" t="str">
        <f>IF('Job Sheet'!M15="Bass Latch","",IF(AND('Job Sheet'!J15="Sliding",'Job Sheet'!Q15="White"),1,""))</f>
        <v/>
      </c>
      <c r="QZ9" s="73" t="str">
        <f>IF('Job Sheet'!M15="Bass Latch","",IF(AND(OR('Job Sheet'!J15="Sliding",'Job Sheet'!J15="Stacker"),'Job Sheet'!Q15="Woodland Grey(Green Tone)"),1,""))</f>
        <v/>
      </c>
      <c r="RA9" s="73" t="str">
        <f>IF(OR('Job Sheet'!M15="Single Lock",'Job Sheet'!M15="Triple Lock"),1,"")</f>
        <v/>
      </c>
      <c r="RB9" s="73" t="str">
        <f>IF('Job Sheet'!R15="Extended",1,"")</f>
        <v/>
      </c>
      <c r="RC9" s="73" t="str">
        <f>IF(OR('Job Sheet'!J15="Sliding",'Job Sheet'!J15="Stacker"),4,"")</f>
        <v/>
      </c>
      <c r="RD9" s="73" t="str">
        <f>IF('Job Sheet'!J15="Hinged",3,"")</f>
        <v/>
      </c>
      <c r="RF9" s="73" t="str">
        <f>IF(AND('Job Sheet'!AW15="Small 190mm x 240mm",'Job Sheet'!AX15="Black"),1,"")</f>
        <v/>
      </c>
      <c r="RG9" s="73" t="str">
        <f>IF(AND('Job Sheet'!AW15="Medium 225mm x 305mm",'Job Sheet'!AX15="Black"),1,"")</f>
        <v/>
      </c>
      <c r="RH9" s="73" t="str">
        <f>IF(AND('Job Sheet'!AW15="Large 260mm x 400mm",'Job Sheet'!AX15="Black"),1,"")</f>
        <v/>
      </c>
      <c r="RI9" s="73" t="str">
        <f>IF(AND('Job Sheet'!AW15="Small 190mm x 240mm",'Job Sheet'!AX15="White"),1,"")</f>
        <v/>
      </c>
      <c r="RJ9" s="73" t="str">
        <f>IF(AND('Job Sheet'!AW15="Medium 225mm x 305mm",'Job Sheet'!AX15="White"),1,"")</f>
        <v/>
      </c>
      <c r="RK9" s="73" t="str">
        <f>IF(AND('Job Sheet'!AW15="Large 260mm x 400mm",'Job Sheet'!AX15="White"),1,"")</f>
        <v/>
      </c>
      <c r="RL9" s="73" t="str">
        <f>IF('Job Sheet'!AQ15="T Mullion with Cutouts and 2 Lock Bolts",2,"")</f>
        <v/>
      </c>
      <c r="RM9" s="73" t="str">
        <f>IF('Job Sheet'!U15="Water Closer",1,"")</f>
        <v/>
      </c>
      <c r="RN9" s="73" t="str">
        <f>IF('Job Sheet'!AO15="Yes, Included in other Door","",IF(OR('Mitred Cutting'!I15="Long Leg Left, Right and Top",'Mitred Cutting'!I15="Short Leg Left, Right and Top"),2,""))</f>
        <v/>
      </c>
      <c r="RO9" s="73" t="str">
        <f>IF(AND('Mitred Cutting'!C15="Invisi-Gard",(OR('Job Sheet'!AI15="Yes",'Job Sheet'!AI15="Yes - Centre"))),2,"")</f>
        <v/>
      </c>
      <c r="RQ9" s="73" t="str">
        <f>IF('Job Sheet'!M15="Ultra Secua Digital Triple Lock",1,"")</f>
        <v/>
      </c>
      <c r="RT9" s="73" t="str">
        <f>IF(AND('Job Sheet'!BL15="750 x 2000",(OR('Job Sheet'!BK15="Woven Stainless Steel",'Job Sheet'!BK15="Invisi-Gard Woven Stainless Steel"))),1,"")</f>
        <v/>
      </c>
      <c r="RU9" s="73" t="str">
        <f>IF(AND('Job Sheet'!BL15="750 x 2400",(OR('Job Sheet'!BK15="Woven Stainless Steel",'Job Sheet'!BK15="Invisi-Gard Woven Stainless Steel"))),1,"")</f>
        <v/>
      </c>
      <c r="RV9" s="73" t="str">
        <f>IF(AND('Job Sheet'!BL15="750 x 3000",(OR('Job Sheet'!BK15="Woven Stainless Steel",'Job Sheet'!BK15="Invisi-Gard Woven Stainless Steel"))),1,"")</f>
        <v/>
      </c>
      <c r="RW9" s="73" t="str">
        <f>IF(AND('Job Sheet'!BL15="900 x 2000",(OR('Job Sheet'!BK15="Woven Stainless Steel",'Job Sheet'!BK15="Invisi-Gard Woven Stainless Steel"))),1,"")</f>
        <v/>
      </c>
      <c r="RX9" s="73" t="str">
        <f>IF(AND('Job Sheet'!BL15="900 x 2400",(OR('Job Sheet'!BK15="Woven Stainless Steel",'Job Sheet'!BK15="Invisi-Gard Woven Stainless Steel"))),1,"")</f>
        <v/>
      </c>
      <c r="RY9" s="73" t="str">
        <f>IF(AND('Job Sheet'!BL15="900 x 3000",(OR('Job Sheet'!BK15="Woven Stainless Steel",'Job Sheet'!BK15="Invisi-Gard Woven Stainless Steel"))),1,"")</f>
        <v/>
      </c>
      <c r="RZ9" s="73" t="str">
        <f>IF(AND('Job Sheet'!BL15="1200 x 2000",(OR('Job Sheet'!BK15="Woven Stainless Steel",'Job Sheet'!BK15="Invisi-Gard Woven Stainless Steel"))),1,"")</f>
        <v/>
      </c>
      <c r="SA9" s="73" t="str">
        <f>IF(AND('Job Sheet'!BL15="1200 x 2400",(OR('Job Sheet'!BK15="Woven Stainless Steel",'Job Sheet'!BK15="Invisi-Gard Woven Stainless Steel"))),1,"")</f>
        <v/>
      </c>
      <c r="SB9" s="73" t="str">
        <f>IF(AND('Job Sheet'!BL15="1200 x 3000",(OR('Job Sheet'!BK15="Woven Stainless Steel",'Job Sheet'!BK15="Invisi-Gard Woven Stainless Steel"))),1,"")</f>
        <v/>
      </c>
      <c r="SC9" s="73" t="str">
        <f>IF(AND('Job Sheet'!BL15="1500 x 2000",(OR('Job Sheet'!BK15="Woven Stainless Steel",'Job Sheet'!BK15="Invisi-Gard Woven Stainless Steel"))),1,"")</f>
        <v/>
      </c>
      <c r="SD9" s="73" t="str">
        <f>IF(AND('Job Sheet'!BL15="1500 x 2400",(OR('Job Sheet'!BK15="Woven Stainless Steel",'Job Sheet'!BK15="Invisi-Gard Woven Stainless Steel"))),1,"")</f>
        <v/>
      </c>
      <c r="SE9" s="73" t="str">
        <f>IF(AND('Job Sheet'!BL15="1500 x 3000",(OR('Job Sheet'!BK15="Woven Stainless Steel",'Job Sheet'!BK15="Invisi-Gard Woven Stainless Steel"))),1,"")</f>
        <v/>
      </c>
      <c r="SF9" s="73" t="str">
        <f>IF(AND('Job Sheet'!BK15="Alu-Gard Perforated Aluminium",'Job Sheet'!BL15="750 x 2000"),1,"")</f>
        <v/>
      </c>
      <c r="SG9" s="73" t="str">
        <f>IF(AND('Job Sheet'!BK15="Alu-Gard Perforated Aluminium",'Job Sheet'!BL15="750 x 2400"),1,"")</f>
        <v/>
      </c>
      <c r="SH9" s="73" t="str">
        <f>IF(AND('Job Sheet'!BK15="Alu-Gard Perforated Aluminium",'Job Sheet'!BL15="750 x 3000"),1,"")</f>
        <v/>
      </c>
      <c r="SI9" s="73" t="str">
        <f>IF(AND('Job Sheet'!BK15="Alu-Gard Perforated Aluminium",'Job Sheet'!BL15="900 x 2000"),1,"")</f>
        <v/>
      </c>
      <c r="SJ9" s="73" t="str">
        <f>IF(AND('Job Sheet'!BK15="Alu-Gard Perforated Aluminium",'Job Sheet'!BL15="900 x 2400"),1,"")</f>
        <v/>
      </c>
      <c r="SK9" s="73" t="str">
        <f>IF(AND('Job Sheet'!BK15="Alu-Gard Perforated Aluminium",'Job Sheet'!BL15="900 x 3000"),1,"")</f>
        <v/>
      </c>
      <c r="SL9" s="73" t="str">
        <f>IF(AND('Job Sheet'!BK15="Alu-Gard Perforated Aluminium",'Job Sheet'!BL15="1200 x 2000"),1,"")</f>
        <v/>
      </c>
      <c r="SM9" s="73" t="str">
        <f>IF(AND('Job Sheet'!BK15="Alu-Gard Perforated Aluminium",'Job Sheet'!BL15="1200 x 2400"),1,"")</f>
        <v/>
      </c>
      <c r="SN9" s="73" t="str">
        <f>IF(AND('Job Sheet'!BK15="Alu-Gard Perforated Aluminium",'Job Sheet'!BL15="1200 x 3000"),1,"")</f>
        <v/>
      </c>
      <c r="SO9" s="73" t="str">
        <f>IF(AND('Job Sheet'!BK15="Alu-Gard Perforated Aluminium",'Job Sheet'!BL15="1500 x 2000"),1,"")</f>
        <v/>
      </c>
      <c r="SP9" s="73" t="str">
        <f>IF(AND('Job Sheet'!BK15="Alu-Gard Perforated Aluminium",'Job Sheet'!BL15="1500 x 2400"),1,"")</f>
        <v/>
      </c>
      <c r="SQ9" s="73" t="str">
        <f>IF(AND('Job Sheet'!BK15="Alu-Gard Perforated Aluminium",'Job Sheet'!BL15="1500 x 3000"),1,"")</f>
        <v/>
      </c>
      <c r="SR9" s="73" t="str">
        <f>IF(AND('Job Sheet'!BK15="Privacy-Gard",'Job Sheet'!BL15="750 x 2000"),1,"")</f>
        <v/>
      </c>
      <c r="SS9" s="73" t="str">
        <f>IF(AND('Job Sheet'!BK15="Privacy-Gard",'Job Sheet'!BL15="750 x 2400"),1,"")</f>
        <v/>
      </c>
      <c r="ST9" s="73" t="str">
        <f>IF(AND('Job Sheet'!BK15="Privacy-Gard",'Job Sheet'!BL15="900 x 2000"),1,"")</f>
        <v/>
      </c>
      <c r="SU9" s="73" t="str">
        <f>IF(AND('Job Sheet'!BK15="Privacy-Gard",'Job Sheet'!BL15="900 x 2400"),1,"")</f>
        <v/>
      </c>
      <c r="SV9" s="73" t="str">
        <f>IF(AND('Job Sheet'!BK15="Privacy-Gard",'Job Sheet'!BL15="1200 x 2000"),1,"")</f>
        <v/>
      </c>
      <c r="SW9" s="73" t="str">
        <f>IF(AND('Job Sheet'!BK15="Privacy-Gard",'Job Sheet'!BL15="1200 x 2400"),1,"")</f>
        <v/>
      </c>
      <c r="SX9" s="73" t="str">
        <f>IF(AND('Job Sheet'!BK15="Standard Diamond",'Job Sheet'!BL15="750 x 2050",'Job Sheet'!AB15="APO Grey"),1,"")</f>
        <v/>
      </c>
      <c r="SY9" s="73" t="str">
        <f>IF(AND('Job Sheet'!BK15="Standard Diamond",'Job Sheet'!BL15="750 x 2050",'Job Sheet'!AB15="White Birch"),1,"")</f>
        <v/>
      </c>
      <c r="SZ9" s="73" t="str">
        <f>IF(AND('Job Sheet'!BK15="Standard Diamond",'Job Sheet'!BL15="750 x 2050",'Job Sheet'!AB15="Black"),1,"")</f>
        <v/>
      </c>
      <c r="TA9" s="73" t="str">
        <f>IF(AND('Job Sheet'!BK15="Standard Diamond",'Job Sheet'!BL15="750 x 2050",'Job Sheet'!AB15="Brown"),1,"")</f>
        <v/>
      </c>
      <c r="TB9" s="73" t="str">
        <f>IF(AND('Job Sheet'!BK15="Standard Diamond",'Job Sheet'!BL15="750 x 2050",'Job Sheet'!AB15="Deep Ocean"),1,"")</f>
        <v/>
      </c>
      <c r="TC9" s="73" t="str">
        <f>IF(AND('Job Sheet'!BK15="Standard Diamond",'Job Sheet'!BL15="750 x 2050",'Job Sheet'!AB15="Jasper"),1,"")</f>
        <v/>
      </c>
      <c r="TD9" s="73" t="str">
        <f>IF(AND('Job Sheet'!BK15="Standard Diamond",'Job Sheet'!BL15="750 x 2050",'Job Sheet'!AB15="Paperbark"),1,"")</f>
        <v/>
      </c>
      <c r="TE9" s="73" t="str">
        <f>IF(AND('Job Sheet'!BK15="Standard Diamond",'Job Sheet'!BL15="750 x 2050",'Job Sheet'!AB15="Mist Green"),1,"")</f>
        <v/>
      </c>
      <c r="TF9" s="73" t="str">
        <f>IF(AND('Job Sheet'!BK15="Standard Diamond",'Job Sheet'!BL15="750 x 2050",'Job Sheet'!AB15="Primrose"),1,"")</f>
        <v/>
      </c>
      <c r="TG9" s="73" t="str">
        <f>IF(AND('Job Sheet'!BK15="Standard Diamond",'Job Sheet'!BL15="750 x 2050",'Job Sheet'!AB15="Ultra Silver"),1,"")</f>
        <v/>
      </c>
      <c r="TH9" s="73" t="str">
        <f>IF(AND('Job Sheet'!BK15="Standard Diamond",'Job Sheet'!BL15="750 x 2050",'Job Sheet'!AB15="Woodland Grey(Green Tone)"),1,"")</f>
        <v/>
      </c>
      <c r="TI9" s="73" t="str">
        <f>IF(AND('Job Sheet'!BK15="Standard Diamond",'Job Sheet'!BL15="750 x 2050",'Job Sheet'!AB15="Pearl White"),1,"")</f>
        <v/>
      </c>
      <c r="TJ9" s="73" t="str">
        <f>IF(AND('Job Sheet'!BK15="Standard Diamond",'Job Sheet'!BL15="750 x 2050",'Job Sheet'!AB15="Monument"),1,"")</f>
        <v/>
      </c>
      <c r="TK9" s="73" t="str">
        <f>IF(AND('Job Sheet'!BK15="Standard Diamond",'Job Sheet'!BL15="750 x 2050",'Job Sheet'!AB15="Surfmist"),1,"")</f>
        <v/>
      </c>
      <c r="TL9" s="73" t="str">
        <f>IF(AND('Job Sheet'!BK15="Standard Diamond",'Job Sheet'!BL15="750 x 2050",'Job Sheet'!AB15="Dune"),1,"")</f>
        <v/>
      </c>
      <c r="TM9" s="73" t="str">
        <f>IF(AND('Job Sheet'!BK15="Standard Diamond",'Job Sheet'!BL15="750 x 2050",'Job Sheet'!AB15="Custom Powdercoat"),1,"")</f>
        <v/>
      </c>
      <c r="TN9" s="73" t="str">
        <f>IF(AND('Job Sheet'!BK15="Standard Diamond",'Job Sheet'!BL15="835 x 2050",'Job Sheet'!AB15="APO Grey"),1,"")</f>
        <v/>
      </c>
      <c r="TO9" s="73" t="str">
        <f>IF(AND('Job Sheet'!BK15="Standard Diamond",'Job Sheet'!BL15="835 x 2050",'Job Sheet'!AB15="White Birch"),1,"")</f>
        <v/>
      </c>
      <c r="TP9" s="73" t="str">
        <f>IF(AND('Job Sheet'!BK15="Standard Diamond",'Job Sheet'!BL15="835 x 2050",'Job Sheet'!AB15="Black"),1,"")</f>
        <v/>
      </c>
      <c r="TQ9" s="73" t="str">
        <f>IF(AND('Job Sheet'!BK15="Standard Diamond",'Job Sheet'!BL15="835 x 2050",'Job Sheet'!AB15="Brown"),1,"")</f>
        <v/>
      </c>
      <c r="TR9" s="73" t="str">
        <f>IF(AND('Job Sheet'!BK15="Standard Diamond",'Job Sheet'!BL15="835 x 2050",'Job Sheet'!AB15="Deep Ocean"),1,"")</f>
        <v/>
      </c>
      <c r="TS9" s="73" t="str">
        <f>IF(AND('Job Sheet'!BK15="Standard Diamond",'Job Sheet'!BL15="835 x 2050",'Job Sheet'!AB15="Jasper"),1,"")</f>
        <v/>
      </c>
      <c r="TT9" s="73" t="str">
        <f>IF(AND('Job Sheet'!BK15="Standard Diamond",'Job Sheet'!BL15="835 x 2050",'Job Sheet'!AB15="Paperbark"),1,"")</f>
        <v/>
      </c>
      <c r="TU9" s="73" t="str">
        <f>IF(AND('Job Sheet'!BK15="Standard Diamond",'Job Sheet'!BL15="835 x 2050",'Job Sheet'!AB15="Mist Green"),1,"")</f>
        <v/>
      </c>
      <c r="TV9" s="73" t="str">
        <f>IF(AND('Job Sheet'!BK15="Standard Diamond",'Job Sheet'!BL15="835 x 2050",'Job Sheet'!AB15="Primrose"),1,"")</f>
        <v/>
      </c>
      <c r="TW9" s="73" t="str">
        <f>IF(AND('Job Sheet'!BK15="Standard Diamond",'Job Sheet'!BL15="835 x 2050",'Job Sheet'!AB15="Ultra Silver"),1,"")</f>
        <v/>
      </c>
      <c r="TX9" s="73" t="str">
        <f>IF(AND('Job Sheet'!BK15="Standard Diamond",'Job Sheet'!BL15="835 x 2050",'Job Sheet'!AB15="Woodland Grey(Green Tone)"),1,"")</f>
        <v/>
      </c>
      <c r="TY9" s="73" t="str">
        <f>IF(AND('Job Sheet'!BK15="Standard Diamond",'Job Sheet'!BL15="835 x 2050",'Job Sheet'!AB15="Pearl White"),1,"")</f>
        <v/>
      </c>
      <c r="TZ9" s="73" t="str">
        <f>IF(AND('Job Sheet'!BK15="Standard Diamond",'Job Sheet'!BL15="835 x 2050",'Job Sheet'!AB15="Monument"),1,"")</f>
        <v/>
      </c>
      <c r="UA9" s="73" t="str">
        <f>IF(AND('Job Sheet'!BK15="Standard Diamond",'Job Sheet'!BL15="835 x 2050",'Job Sheet'!AB15="Surfmist"),1,"")</f>
        <v/>
      </c>
      <c r="UB9" s="73" t="str">
        <f>IF(AND('Job Sheet'!BK15="Standard Diamond",'Job Sheet'!BL15="835 x 2050",'Job Sheet'!AB15="Dune"),1,"")</f>
        <v/>
      </c>
      <c r="UC9" s="73" t="str">
        <f>IF(AND('Job Sheet'!BK15="Standard Diamond",'Job Sheet'!BL15="835 x 2050",'Job Sheet'!AB15="Custom Powdercoat"),1,"")</f>
        <v/>
      </c>
      <c r="UD9" s="73" t="str">
        <f>IF(AND('Job Sheet'!BK15="Standard Diamond",'Job Sheet'!BL15="920 x 2050",'Job Sheet'!AB15="APO Grey"),1,"")</f>
        <v/>
      </c>
      <c r="UE9" s="73" t="str">
        <f>IF(AND('Job Sheet'!BK15="Standard Diamond",'Job Sheet'!BL15="920 x 2050",'Job Sheet'!AB15="White Birch"),1,"")</f>
        <v/>
      </c>
      <c r="UF9" s="73" t="str">
        <f>IF(AND('Job Sheet'!BK15="Standard Diamond",'Job Sheet'!BL15="920 x 2050",'Job Sheet'!AB15="Black"),1,"")</f>
        <v/>
      </c>
      <c r="UG9" s="73" t="str">
        <f>IF(AND('Job Sheet'!BK15="Standard Diamond",'Job Sheet'!BL15="920 x 2050",'Job Sheet'!AB15="Brown"),1,"")</f>
        <v/>
      </c>
      <c r="UH9" s="73" t="str">
        <f>IF(AND('Job Sheet'!BK15="Standard Diamond",'Job Sheet'!BL15="920 x 2050",'Job Sheet'!AB15="Deep Ocean"),1,"")</f>
        <v/>
      </c>
      <c r="UI9" s="73" t="str">
        <f>IF(AND('Job Sheet'!BK15="Standard Diamond",'Job Sheet'!BL15="920 x 2050",'Job Sheet'!AB15="Jasper"),1,"")</f>
        <v/>
      </c>
      <c r="UJ9" s="73" t="str">
        <f>IF(AND('Job Sheet'!BK15="Standard Diamond",'Job Sheet'!BL15="920 x 2050",'Job Sheet'!AB15="Paperbark"),1,"")</f>
        <v/>
      </c>
      <c r="UK9" s="73" t="str">
        <f>IF(AND('Job Sheet'!BK15="Standard Diamond",'Job Sheet'!BL15="920 x 2050",'Job Sheet'!AB15="Mist Green"),1,"")</f>
        <v/>
      </c>
      <c r="UL9" s="73" t="str">
        <f>IF(AND('Job Sheet'!BK15="Standard Diamond",'Job Sheet'!BL15="920 x 2050",'Job Sheet'!AB15="Primrose"),1,"")</f>
        <v/>
      </c>
      <c r="UM9" s="73" t="str">
        <f>IF(AND('Job Sheet'!BK15="Standard Diamond",'Job Sheet'!BL15="920 x 2050",'Job Sheet'!AB15="Ultra Silver"),1,"")</f>
        <v/>
      </c>
      <c r="UN9" s="73" t="str">
        <f>IF(AND('Job Sheet'!BK15="Standard Diamond",'Job Sheet'!BL15="920 x 2050",'Job Sheet'!AB15="Woodland Grey(Green Tone)"),1,"")</f>
        <v/>
      </c>
      <c r="UO9" s="73" t="str">
        <f>IF(AND('Job Sheet'!BK15="Standard Diamond",'Job Sheet'!BL15="920 x 2050",'Job Sheet'!AB15="Pearl White"),1,"")</f>
        <v/>
      </c>
      <c r="UP9" s="73" t="str">
        <f>IF(AND('Job Sheet'!BK15="Standard Diamond",'Job Sheet'!BL15="920 x 2050",'Job Sheet'!AB15="Monument"),1,"")</f>
        <v/>
      </c>
      <c r="UQ9" s="73" t="str">
        <f>IF(AND('Job Sheet'!BK15="Standard Diamond",'Job Sheet'!BL15="920 x 2050",'Job Sheet'!AB15="Surfmist"),1,"")</f>
        <v/>
      </c>
      <c r="UR9" s="73" t="str">
        <f>IF(AND('Job Sheet'!BK15="Standard Diamond",'Job Sheet'!BL15="920 x 2050",'Job Sheet'!AB15="Dune"),1,"")</f>
        <v/>
      </c>
      <c r="US9" s="73" t="str">
        <f>IF(AND('Job Sheet'!BK15="Standard Diamond",'Job Sheet'!BL15="920 x 2050",'Job Sheet'!AB15="Custom Powdercoat"),1,"")</f>
        <v/>
      </c>
      <c r="UT9" s="73" t="str">
        <f>IF(AND('Job Sheet'!BK15="Standard Diamond",'Job Sheet'!BL15="1200 x 2050",'Job Sheet'!AB15="APO Grey"),1,"")</f>
        <v/>
      </c>
      <c r="UU9" s="73" t="str">
        <f>IF(AND('Job Sheet'!BK15="Standard Diamond",'Job Sheet'!BL15="1200 x 2050",'Job Sheet'!AB15="White Birch"),1,"")</f>
        <v/>
      </c>
      <c r="UV9" s="73" t="str">
        <f>IF(AND('Job Sheet'!BK15="Standard Diamond",'Job Sheet'!BL15="1200 x 2050",'Job Sheet'!AB15="Black"),1,"")</f>
        <v/>
      </c>
      <c r="UW9" s="73" t="str">
        <f>IF(AND('Job Sheet'!BK15="Standard Diamond",'Job Sheet'!BL15="1200 x 2050",'Job Sheet'!AB15="Brown"),1,"")</f>
        <v/>
      </c>
      <c r="UX9" s="73" t="str">
        <f>IF(AND('Job Sheet'!BK15="Standard Diamond",'Job Sheet'!BL15="1200 x 2050",'Job Sheet'!AB15="Deep Ocean"),1,"")</f>
        <v/>
      </c>
      <c r="UY9" s="73" t="str">
        <f>IF(AND('Job Sheet'!BK15="Standard Diamond",'Job Sheet'!BL15="1200 x 2050",'Job Sheet'!AB15="Jasper"),1,"")</f>
        <v/>
      </c>
      <c r="UZ9" s="73" t="str">
        <f>IF(AND('Job Sheet'!BK15="Standard Diamond",'Job Sheet'!BL15="1200 x 2050",'Job Sheet'!AB15="Paperbark"),1,"")</f>
        <v/>
      </c>
      <c r="VA9" s="73" t="str">
        <f>IF(AND('Job Sheet'!BK15="Standard Diamond",'Job Sheet'!BL15="1200 x 2050",'Job Sheet'!AB15="Mist Green"),1,"")</f>
        <v/>
      </c>
      <c r="VB9" s="73" t="str">
        <f>IF(AND('Job Sheet'!BK15="Standard Diamond",'Job Sheet'!BL15="1200 x 2050",'Job Sheet'!AB15="Primrose"),1,"")</f>
        <v/>
      </c>
      <c r="VC9" s="73" t="str">
        <f>IF(AND('Job Sheet'!BK15="Standard Diamond",'Job Sheet'!BL15="1200 x 2050",'Job Sheet'!AB15="Ultra Silver"),1,"")</f>
        <v/>
      </c>
      <c r="VD9" s="73" t="str">
        <f>IF(AND('Job Sheet'!BK15="Standard Diamond",'Job Sheet'!BL15="1200 x 2050",'Job Sheet'!AB15="Woodland Grey(Green Tone)"),1,"")</f>
        <v/>
      </c>
      <c r="VE9" s="73" t="str">
        <f>IF(AND('Job Sheet'!BK15="Standard Diamond",'Job Sheet'!BL15="1200 x 2050",'Job Sheet'!AB15="Pearl White"),1,"")</f>
        <v/>
      </c>
      <c r="VF9" s="73" t="str">
        <f>IF(AND('Job Sheet'!BK15="Standard Diamond",'Job Sheet'!BL15="1200 x 2050",'Job Sheet'!AB15="Monument"),1,"")</f>
        <v/>
      </c>
      <c r="VG9" s="73" t="str">
        <f>IF(AND('Job Sheet'!BK15="Standard Diamond",'Job Sheet'!BL15="1200 x 2050",'Job Sheet'!AB15="Surfmist"),1,"")</f>
        <v/>
      </c>
      <c r="VH9" s="73" t="str">
        <f>IF(AND('Job Sheet'!BK15="Standard Diamond",'Job Sheet'!BL15="1200 x 2050",'Job Sheet'!AB15="Dune"),1,"")</f>
        <v/>
      </c>
      <c r="VI9" s="73" t="str">
        <f>IF(AND('Job Sheet'!BK15="Standard Diamond",'Job Sheet'!BL15="1200 x 2050",'Job Sheet'!AB15="Custom Powdercoat"),1,"")</f>
        <v/>
      </c>
      <c r="VJ9" s="73" t="str">
        <f>IF(AND('Job Sheet'!BK15="Standard Diamond",'Job Sheet'!BL15="920 x 2450",'Job Sheet'!AB15="APO Grey"),1,"")</f>
        <v/>
      </c>
      <c r="VK9" s="73" t="str">
        <f>IF(AND('Job Sheet'!BK15="Standard Diamond",'Job Sheet'!BL15="920 x 2450",'Job Sheet'!AB15="White Birch"),1,"")</f>
        <v/>
      </c>
      <c r="VL9" s="73" t="str">
        <f>IF(AND('Job Sheet'!BK15="Standard Diamond",'Job Sheet'!BL15="920 x 2450",'Job Sheet'!AB15="Black"),1,"")</f>
        <v/>
      </c>
      <c r="VM9" s="73" t="str">
        <f>IF(AND('Job Sheet'!BK15="Standard Diamond",'Job Sheet'!BL15="920 x 2450",'Job Sheet'!AB15="Brown"),1,"")</f>
        <v/>
      </c>
      <c r="VN9" s="73" t="str">
        <f>IF(AND('Job Sheet'!BK15="Standard Diamond",'Job Sheet'!BL15="920 x 2450",'Job Sheet'!AB15="Deep Ocean"),1,"")</f>
        <v/>
      </c>
      <c r="VO9" s="73" t="str">
        <f>IF(AND('Job Sheet'!BK15="Standard Diamond",'Job Sheet'!BL15="920 x 2450",'Job Sheet'!AB15="Jasper"),1,"")</f>
        <v/>
      </c>
      <c r="VP9" s="73" t="str">
        <f>IF(AND('Job Sheet'!BK15="Standard Diamond",'Job Sheet'!BL15="920 x 2450",'Job Sheet'!AB15="Paperbark"),1,"")</f>
        <v/>
      </c>
      <c r="VQ9" s="73" t="str">
        <f>IF(AND('Job Sheet'!BK15="Standard Diamond",'Job Sheet'!BL15="920 x 2450",'Job Sheet'!AB15="Mist Green"),1,"")</f>
        <v/>
      </c>
      <c r="VR9" s="73" t="str">
        <f>IF(AND('Job Sheet'!BK15="Standard Diamond",'Job Sheet'!BL15="920 x 2450",'Job Sheet'!AB15="Primrose"),1,"")</f>
        <v/>
      </c>
      <c r="VS9" s="73" t="str">
        <f>IF(AND('Job Sheet'!BK15="Standard Diamond",'Job Sheet'!BL15="920 x 2450",'Job Sheet'!AB15="Ultra Silver"),1,"")</f>
        <v/>
      </c>
      <c r="VT9" s="73" t="str">
        <f>IF(AND('Job Sheet'!BK15="Standard Diamond",'Job Sheet'!BL15="920 x 2450",'Job Sheet'!AB15="Woodland Grey(Green Tone)"),1,"")</f>
        <v/>
      </c>
      <c r="VU9" s="73" t="str">
        <f>IF(AND('Job Sheet'!BK15="Standard Diamond",'Job Sheet'!BL15="920 x 2450",'Job Sheet'!AB15="Pearl White"),1,"")</f>
        <v/>
      </c>
      <c r="VV9" s="73" t="str">
        <f>IF(AND('Job Sheet'!BK15="Standard Diamond",'Job Sheet'!BL15="920 x 2450",'Job Sheet'!AB15="Monument"),1,"")</f>
        <v/>
      </c>
      <c r="VW9" s="73" t="str">
        <f>IF(AND('Job Sheet'!BK15="Standard Diamond",'Job Sheet'!BL15="920 x 2450",'Job Sheet'!AB15="Surfmist"),1,"")</f>
        <v/>
      </c>
      <c r="VX9" s="73" t="str">
        <f>IF(AND('Job Sheet'!BK15="Standard Diamond",'Job Sheet'!BL15="920 x 2450",'Job Sheet'!AB15="Dune"),1,"")</f>
        <v/>
      </c>
      <c r="VY9" s="73" t="str">
        <f>IF(AND('Job Sheet'!BK15="Standard Diamond",'Job Sheet'!BL15="920 x 2450",'Job Sheet'!AB15="Custom Powdercoat"),1,"")</f>
        <v/>
      </c>
      <c r="VZ9" s="73" t="str">
        <f>IF(AND('Job Sheet'!BK15="Standard Diamond",'Job Sheet'!BL15="1200 x 2450",'Job Sheet'!AB15="APO Grey"),1,"")</f>
        <v/>
      </c>
      <c r="WA9" s="73" t="str">
        <f>IF(AND('Job Sheet'!BK15="Standard Diamond",'Job Sheet'!BL15="1200 x 2450",'Job Sheet'!AB15="White Birch"),1,"")</f>
        <v/>
      </c>
      <c r="WB9" s="73" t="str">
        <f>IF(AND('Job Sheet'!BK15="Standard Diamond",'Job Sheet'!BL15="1200 x 2450",'Job Sheet'!AB15="Black"),1,"")</f>
        <v/>
      </c>
      <c r="WC9" s="73" t="str">
        <f>IF(AND('Job Sheet'!BK15="Standard Diamond",'Job Sheet'!BL15="1200 x 2450",'Job Sheet'!AB15="Brown"),1,"")</f>
        <v/>
      </c>
      <c r="WD9" s="73" t="str">
        <f>IF(AND('Job Sheet'!BK15="Standard Diamond",'Job Sheet'!BL15="1200 x 2450",'Job Sheet'!AB15="Deep Ocean"),1,"")</f>
        <v/>
      </c>
      <c r="WE9" s="73" t="str">
        <f>IF(AND('Job Sheet'!BK15="Standard Diamond",'Job Sheet'!BL15="1200 x 2450",'Job Sheet'!AB15="Jasper"),1,"")</f>
        <v/>
      </c>
      <c r="WF9" s="73" t="str">
        <f>IF(AND('Job Sheet'!BK15="Standard Diamond",'Job Sheet'!BL15="1200 x 2450",'Job Sheet'!AB15="Paperbark"),1,"")</f>
        <v/>
      </c>
      <c r="WG9" s="73" t="str">
        <f>IF(AND('Job Sheet'!BK15="Standard Diamond",'Job Sheet'!BL15="1200 x 2450",'Job Sheet'!AB15="Mist Green"),1,"")</f>
        <v/>
      </c>
      <c r="WH9" s="73" t="str">
        <f>IF(AND('Job Sheet'!BK15="Standard Diamond",'Job Sheet'!BL15="1200 x 2450",'Job Sheet'!AB15="Primrose"),1,"")</f>
        <v/>
      </c>
      <c r="WI9" s="73" t="str">
        <f>IF(AND('Job Sheet'!BK15="Standard Diamond",'Job Sheet'!BL15="1200 x 2450",'Job Sheet'!AB15="Ultra Silver"),1,"")</f>
        <v/>
      </c>
      <c r="WJ9" s="73" t="str">
        <f>IF(AND('Job Sheet'!BK15="Standard Diamond",'Job Sheet'!BL15="1200 x 2450",'Job Sheet'!AB15="Woodland Grey(Green Tone)"),1,"")</f>
        <v/>
      </c>
      <c r="WK9" s="73" t="str">
        <f>IF(AND('Job Sheet'!BK15="Standard Diamond",'Job Sheet'!BL15="1200 x 2450",'Job Sheet'!AB15="Pearl White"),1,"")</f>
        <v/>
      </c>
      <c r="WL9" s="73" t="str">
        <f>IF(AND('Job Sheet'!BK15="Standard Diamond",'Job Sheet'!BL15="1200 x 2450",'Job Sheet'!AB15="Monument"),1,"")</f>
        <v/>
      </c>
      <c r="WM9" s="73" t="str">
        <f>IF(AND('Job Sheet'!BK15="Standard Diamond",'Job Sheet'!BL15="1200 x 2450",'Job Sheet'!AB15="Surfmist"),1,"")</f>
        <v/>
      </c>
      <c r="WN9" s="73" t="str">
        <f>IF(AND('Job Sheet'!BK15="Standard Diamond",'Job Sheet'!BL15="1200 x 2450",'Mitred Cutting'!D15="Dune"),1,"")</f>
        <v/>
      </c>
      <c r="WO9" s="73" t="str">
        <f>IF(AND('Job Sheet'!BK15="Standard Diamond",'Job Sheet'!BL15="1200 x 2450",'Job Sheet'!AB15="Custom Powdercoat"),1,"")</f>
        <v/>
      </c>
      <c r="WP9" s="73" t="str">
        <f>IF(AND('Job Sheet'!BK15="Decorative Diamond",'Job Sheet'!BL15="770 x 2050",'Job Sheet'!AB15="APO Grey"),1,"")</f>
        <v/>
      </c>
      <c r="WQ9" s="73" t="str">
        <f>IF(AND('Job Sheet'!BK15="Decorative Diamond",'Job Sheet'!BL15="770 x 2050",'Job Sheet'!AB15="White Birch"),1,"")</f>
        <v/>
      </c>
      <c r="WR9" s="73" t="str">
        <f>IF(AND('Job Sheet'!BK15="Decorative Diamond",'Job Sheet'!BL15="770 x 2050",'Job Sheet'!AB15="Black"),1,"")</f>
        <v/>
      </c>
      <c r="WS9" s="73" t="str">
        <f>IF(AND('Job Sheet'!BK15="Decorative Diamond",'Job Sheet'!BL15="770 x 2050",'Job Sheet'!AB15="Brown"),1,"")</f>
        <v/>
      </c>
      <c r="WT9" s="73" t="str">
        <f>IF(AND('Job Sheet'!BK15="Decorative Diamond",'Job Sheet'!BL15="770 x 2050",'Job Sheet'!AB15="Deep Ocean"),1,"")</f>
        <v/>
      </c>
      <c r="WU9" s="73" t="str">
        <f>IF(AND('Job Sheet'!BK15="Decorative Diamond",'Job Sheet'!BL15="770 x 2050",'Job Sheet'!AB15="Jasper"),1,"")</f>
        <v/>
      </c>
      <c r="WV9" s="73" t="str">
        <f>IF(AND('Job Sheet'!BK15="Decorative Diamond",'Job Sheet'!BL15="770 x 2050",'Job Sheet'!AB15="Paperbark"),1,"")</f>
        <v/>
      </c>
      <c r="WW9" s="73" t="str">
        <f>IF(AND('Job Sheet'!BK15="Decorative Diamond",'Job Sheet'!BL15="770 x 2050",'Job Sheet'!AB15="Mist Green"),1,"")</f>
        <v/>
      </c>
      <c r="WX9" s="73" t="str">
        <f>IF(AND('Job Sheet'!BK15="Decorative Diamond",'Job Sheet'!BL15="770 x 2050",'Job Sheet'!AB15="Primrose"),1,"")</f>
        <v/>
      </c>
      <c r="WY9" s="73" t="str">
        <f>IF(AND('Job Sheet'!BK15="Decorative Diamond",'Job Sheet'!BL15="770 x 2050",'Job Sheet'!AB15="Ultra Silver"),1,"")</f>
        <v/>
      </c>
      <c r="WZ9" s="73" t="str">
        <f>IF(AND('Job Sheet'!BK15="Decorative Diamond",'Job Sheet'!BL15="770 x 2050",'Job Sheet'!AB15="Woodland Grey(Green Tone)"),1,"")</f>
        <v/>
      </c>
      <c r="XA9" s="73" t="str">
        <f>IF(AND('Job Sheet'!BK15="Decorative Diamond",'Job Sheet'!BL15="770 x 2050",'Job Sheet'!AB15="Pearl White"),1,"")</f>
        <v/>
      </c>
      <c r="XB9" s="73" t="str">
        <f>IF(AND('Job Sheet'!BK15="Decorative Diamond",'Job Sheet'!BL15="770 x 2050",'Job Sheet'!AB15="Monument"),1,"")</f>
        <v/>
      </c>
      <c r="XC9" s="73" t="str">
        <f>IF(AND('Job Sheet'!BK15="Decorative Diamond",'Job Sheet'!BL15="770 x 2050",'Job Sheet'!AB15="Surfmist"),1,"")</f>
        <v/>
      </c>
      <c r="XD9" s="73" t="str">
        <f>IF(AND('Job Sheet'!BK15="Decorative Diamond",'Job Sheet'!BL15="770 x 2050",'Job Sheet'!AB15="Dune"),1,"")</f>
        <v/>
      </c>
      <c r="XE9" s="73" t="str">
        <f>IF(AND('Job Sheet'!BK15="Decorative Diamond",'Job Sheet'!BL15="770 x 2050",'Job Sheet'!AB15="Custom Powdercoat"),1,"")</f>
        <v/>
      </c>
      <c r="XF9" s="73" t="str">
        <f>IF(AND('Job Sheet'!BK15="Decorative Diamond",'Job Sheet'!BL15="900 x 2050",'Job Sheet'!AB15="APO Grey"),1,"")</f>
        <v/>
      </c>
      <c r="XG9" s="73" t="str">
        <f>IF(AND('Job Sheet'!BK15="Decorative Diamond",'Job Sheet'!BL15="900 x 2050",'Job Sheet'!AB15="White Birch"),1,"")</f>
        <v/>
      </c>
      <c r="XH9" s="73" t="str">
        <f>IF(AND('Job Sheet'!BK15="Decorative Diamond",'Job Sheet'!BL15="900 x 2050",'Job Sheet'!AB15="Black"),1,"")</f>
        <v/>
      </c>
      <c r="XI9" s="73" t="str">
        <f>IF(AND('Job Sheet'!BK15="Decorative Diamond",'Job Sheet'!BL15="900 x 2050",'Job Sheet'!AB15="Brown"),1,"")</f>
        <v/>
      </c>
      <c r="XJ9" s="73" t="str">
        <f>IF(AND('Job Sheet'!BK15="Decorative Diamond",'Job Sheet'!BL15="900 x 2050",'Job Sheet'!AB15="Deep Ocean"),1,"")</f>
        <v/>
      </c>
      <c r="XK9" s="73" t="str">
        <f>IF(AND('Job Sheet'!BK15="Decorative Diamond",'Job Sheet'!BL15="900 x 2050",'Job Sheet'!AB15="Jasper"),1,"")</f>
        <v/>
      </c>
      <c r="XL9" s="73" t="str">
        <f>IF(AND('Job Sheet'!BK15="Decorative Diamond",'Job Sheet'!BL15="900 x 2050",'Job Sheet'!AB15="Paperbark"),1,"")</f>
        <v/>
      </c>
      <c r="XM9" s="73" t="str">
        <f>IF(AND('Job Sheet'!BK15="Decorative Diamond",'Job Sheet'!BL15="900 x 2050",'Job Sheet'!AB15="Mist Green"),1,"")</f>
        <v/>
      </c>
      <c r="XN9" s="73" t="str">
        <f>IF(AND('Job Sheet'!BK15="Decorative Diamond",'Job Sheet'!BL15="900 x 2050",'Job Sheet'!AB15="Primrose"),1,"")</f>
        <v/>
      </c>
      <c r="XO9" s="73" t="str">
        <f>IF(AND('Job Sheet'!BK15="Decorative Diamond",'Job Sheet'!BL15="900 x 2050",'Job Sheet'!AB15="Ultra Silver"),1,"")</f>
        <v/>
      </c>
      <c r="XP9" s="73" t="str">
        <f>IF(AND('Job Sheet'!BK15="Decorative Diamond",'Job Sheet'!BL15="900 x 2050",'Job Sheet'!AB15="Woodland Grey(Green Tone)"),1,"")</f>
        <v/>
      </c>
      <c r="XQ9" s="73" t="str">
        <f>IF(AND('Job Sheet'!BK15="Decorative Diamond",'Job Sheet'!BL15="900 x 2050",'Job Sheet'!AB15="Pearl White"),1,"")</f>
        <v/>
      </c>
      <c r="XR9" s="73" t="str">
        <f>IF(AND('Job Sheet'!BK15="Decorative Diamond",'Job Sheet'!BL15="900 x 2050",'Job Sheet'!AB15="Monument"),1,"")</f>
        <v/>
      </c>
      <c r="XS9" s="73" t="str">
        <f>IF(AND('Job Sheet'!BK15="Decorative Diamond",'Job Sheet'!BL15="900 x 2050",'Job Sheet'!AB15="Surfmist"),1,"")</f>
        <v/>
      </c>
      <c r="XT9" s="73" t="str">
        <f>IF(AND('Job Sheet'!BK15="Decorative Diamond",'Job Sheet'!BL15="900 x 2050",'Job Sheet'!AB15="Dune"),1,"")</f>
        <v/>
      </c>
      <c r="XU9" s="73" t="str">
        <f>IF(AND('Job Sheet'!BK15="Decorative Diamond",'Job Sheet'!BL15="900 x 2050",'Job Sheet'!AB15="Custom Powdercoat"),1,"")</f>
        <v/>
      </c>
      <c r="XV9" s="73" t="str">
        <f>IF(AND('Job Sheet'!BK15="Decorative Diamond",'Job Sheet'!BL15="1150 x 2050",'Job Sheet'!AB15="APO Grey"),1,"")</f>
        <v/>
      </c>
      <c r="XW9" s="73" t="str">
        <f>IF(AND('Job Sheet'!BK15="Decorative Diamond",'Job Sheet'!BL15="1150 x 2050",'Job Sheet'!AB15="White Birch"),1,"")</f>
        <v/>
      </c>
      <c r="XX9" s="73" t="str">
        <f>IF(AND('Job Sheet'!BK15="Decorative Diamond",'Job Sheet'!BL15="1150 x 2050",'Job Sheet'!AB15="Black"),1,"")</f>
        <v/>
      </c>
      <c r="XY9" s="73" t="str">
        <f>IF(AND('Job Sheet'!BK15="Decorative Diamond",'Job Sheet'!BL15="1150 x 2050",'Job Sheet'!AB15="Brown"),1,"")</f>
        <v/>
      </c>
      <c r="XZ9" s="73" t="str">
        <f>IF(AND('Job Sheet'!BK15="Decorative Diamond",'Job Sheet'!BL15="1150 x 2050",'Job Sheet'!AB15="Deep Ocean"),1,"")</f>
        <v/>
      </c>
      <c r="YA9" s="73" t="str">
        <f>IF(AND('Job Sheet'!BK15="Decorative Diamond",'Job Sheet'!BL15="1150 x 2050",'Job Sheet'!AB15="Jasper"),1,"")</f>
        <v/>
      </c>
      <c r="YB9" s="73" t="str">
        <f>IF(AND('Job Sheet'!BK15="Decorative Diamond",'Job Sheet'!BL15="1150 x 2050",'Job Sheet'!AB15="Paperbark"),1,"")</f>
        <v/>
      </c>
      <c r="YC9" s="73" t="str">
        <f>IF(AND('Job Sheet'!BK15="Decorative Diamond",'Job Sheet'!BL15="1150 x 2050",'Job Sheet'!AB15="Mist Green"),1,"")</f>
        <v/>
      </c>
      <c r="YD9" s="73" t="str">
        <f>IF(AND('Job Sheet'!BK15="Decorative Diamond",'Job Sheet'!BL15="1150 x 2050",'Job Sheet'!AB15="Primrose"),1,"")</f>
        <v/>
      </c>
      <c r="YE9" s="73" t="str">
        <f>IF(AND('Job Sheet'!BK15="Decorative Diamond",'Job Sheet'!BL15="1150 x 2050",'Job Sheet'!AB15="Ultra Silver"),1,"")</f>
        <v/>
      </c>
      <c r="YF9" s="73" t="str">
        <f>IF(AND('Job Sheet'!BK15="Decorative Diamond",'Job Sheet'!BL15="1150 x 2050",'Job Sheet'!AB15="Woodland Grey(Green Tone)"),1,"")</f>
        <v/>
      </c>
      <c r="YG9" s="73" t="str">
        <f>IF(AND('Job Sheet'!BK15="Decorative Diamond",'Job Sheet'!BL15="1150 x 2050",'Job Sheet'!AB15="Pearl White"),1,"")</f>
        <v/>
      </c>
      <c r="YH9" s="73" t="str">
        <f>IF(AND('Job Sheet'!BK15="Decorative Diamond",'Job Sheet'!BL15="1150 x 2050",'Job Sheet'!AB15="Monument"),1,"")</f>
        <v/>
      </c>
      <c r="YI9" s="73" t="str">
        <f>IF(AND('Job Sheet'!BK15="Decorative Diamond",'Job Sheet'!BL15="1150 x 2050",'Job Sheet'!AB15="Surfmist"),1,"")</f>
        <v/>
      </c>
      <c r="YJ9" s="73" t="str">
        <f>IF(AND('Job Sheet'!BK15="Decorative Diamond",'Job Sheet'!BL15="1150 x 2050",'Job Sheet'!AB15="Dune"),1,"")</f>
        <v/>
      </c>
      <c r="YK9" s="73" t="str">
        <f>IF(AND('Job Sheet'!BK15="Decorative Diamond",'Job Sheet'!BL15="1150 x 2050",'Job Sheet'!AB15="Custom Powdercoat"),1,"")</f>
        <v/>
      </c>
      <c r="YL9" s="73" t="str">
        <f>IF(AND('Job Sheet'!AE15="DVA Mesh",'Job Sheet'!BR15="750 x 2000",'Job Sheet'!AF15="Apo Grey"),1,"")</f>
        <v/>
      </c>
      <c r="YM9" s="73" t="str">
        <f>IF(AND('Job Sheet'!AE15="DVA Mesh",'Job Sheet'!BR15="750 x 2000",'Job Sheet'!AF15="Birch White"),1,"")</f>
        <v/>
      </c>
      <c r="YN9" s="73" t="str">
        <f>IF(AND('Job Sheet'!AE15="DVA Mesh",'Job Sheet'!BR15="750 x 2000",'Job Sheet'!AF15="Black"),1,"")</f>
        <v/>
      </c>
      <c r="YO9" s="73" t="str">
        <f>IF(AND('Job Sheet'!AE15="DVA Mesh",'Job Sheet'!BR15="750 x 2000",'Job Sheet'!AF15="Brown"),1,"")</f>
        <v/>
      </c>
      <c r="YP9" s="73" t="str">
        <f>IF(AND('Job Sheet'!AE15="DVA Mesh",'Job Sheet'!BR15="750 x 2000",'Job Sheet'!AF15="Deep Ocean"),1,"")</f>
        <v/>
      </c>
      <c r="YQ9" s="73" t="str">
        <f>IF(AND('Job Sheet'!AE15="DVA Mesh",'Job Sheet'!BR15="750 x 2000",'Job Sheet'!AF15="Jasper"),1,"")</f>
        <v/>
      </c>
      <c r="YR9" s="73" t="str">
        <f>IF(AND('Job Sheet'!AE15="DVA Mesh",'Job Sheet'!BR15="750 x 2000",'Job Sheet'!AF15="Paperbark"),1,"")</f>
        <v/>
      </c>
      <c r="YS9" s="73" t="str">
        <f>IF(AND('Job Sheet'!AE15="DVA Mesh",'Job Sheet'!BR15="750 x 2000",'Job Sheet'!AF15="Mist Green"),1,"")</f>
        <v/>
      </c>
      <c r="YT9" s="73" t="str">
        <f>IF(AND('Job Sheet'!AE15="DVA Mesh",'Job Sheet'!BR15="750 x 2000",'Job Sheet'!AF15="Primrose"),1,"")</f>
        <v/>
      </c>
      <c r="YU9" s="73" t="str">
        <f>IF(AND('Job Sheet'!AE15="DVA Mesh",'Job Sheet'!BR15="750 x 2000",'Job Sheet'!AF15="Ultra Silver"),1,"")</f>
        <v/>
      </c>
      <c r="YV9" s="73" t="str">
        <f>IF(AND('Job Sheet'!AE15="DVA Mesh",'Job Sheet'!BR15="750 x 2000",'Job Sheet'!AF15="Woodland Grey(Green Tone)"),1,"")</f>
        <v/>
      </c>
      <c r="YW9" s="73" t="str">
        <f>IF(AND('Job Sheet'!AE15="DVA Mesh",'Job Sheet'!BR15="750 x 2000",'Job Sheet'!AF15="Pearl White"),1,"")</f>
        <v/>
      </c>
      <c r="YX9" s="73" t="str">
        <f>IF(AND('Job Sheet'!AE15="DVA Mesh",'Job Sheet'!BR15="750 x 2000",'Job Sheet'!AF15="Monument"),1,"")</f>
        <v/>
      </c>
      <c r="YY9" s="73" t="str">
        <f>IF(AND('Job Sheet'!AE15="DVA Mesh",'Job Sheet'!BR15="750 x 2000",'Job Sheet'!AF15="Surfmist"),1,"")</f>
        <v/>
      </c>
      <c r="YZ9" s="73" t="str">
        <f>IF(AND('Job Sheet'!AE15="DVA Mesh",'Job Sheet'!BR15="750 x 2000",'Job Sheet'!AF15="Dune"),1,"")</f>
        <v/>
      </c>
      <c r="ZA9" s="73" t="str">
        <f>IF(AND('Job Sheet'!AE15="DVA Mesh",'Job Sheet'!BR15="750 x 2000",'Job Sheet'!AF15="Custom Powdercoat"),1,"")</f>
        <v/>
      </c>
      <c r="ZB9" s="73" t="str">
        <f>IF(AND('Job Sheet'!AE15="DVA Mesh",'Job Sheet'!BR15="825 x 2000",'Job Sheet'!AF15="Apo Grey"),1,"")</f>
        <v/>
      </c>
      <c r="ZC9" s="73" t="str">
        <f>IF(AND('Job Sheet'!AE15="DVA Mesh",'Job Sheet'!BR15="825 x 2000",'Job Sheet'!AF15="Birch White"),1,"")</f>
        <v/>
      </c>
      <c r="ZD9" s="73" t="str">
        <f>IF(AND('Job Sheet'!AE15="DVA Mesh",'Job Sheet'!BR15="825 x 2000",'Job Sheet'!AF15="Black"),1,"")</f>
        <v/>
      </c>
      <c r="ZE9" s="73" t="str">
        <f>IF(AND('Job Sheet'!AE15="DVA Mesh",'Job Sheet'!BR15="825 x 2000",'Job Sheet'!AF15="Brown"),1,"")</f>
        <v/>
      </c>
      <c r="ZF9" s="73" t="str">
        <f>IF(AND('Job Sheet'!AE15="DVA Mesh",'Job Sheet'!BR15="825 x 2000",'Job Sheet'!AF15="Deep Ocean"),1,"")</f>
        <v/>
      </c>
      <c r="ZG9" s="73" t="str">
        <f>IF(AND('Job Sheet'!AE15="DVA Mesh",'Job Sheet'!BR15="825 x 2000",'Job Sheet'!AF15="Jasper"),1,"")</f>
        <v/>
      </c>
      <c r="ZH9" s="73" t="str">
        <f>IF(AND('Job Sheet'!AE15="DVA Mesh",'Job Sheet'!BR15="825 x 2000",'Job Sheet'!AF15="Paperbark"),1,"")</f>
        <v/>
      </c>
      <c r="ZI9" s="73" t="str">
        <f>IF(AND('Job Sheet'!AE15="DVA Mesh",'Job Sheet'!BR15="825 x 2000",'Job Sheet'!AF15="Mist Green"),1,"")</f>
        <v/>
      </c>
      <c r="ZJ9" s="73" t="str">
        <f>IF(AND('Job Sheet'!AE15="DVA Mesh",'Job Sheet'!BR15="825 x 2000",'Job Sheet'!AF15="Primrose"),1,"")</f>
        <v/>
      </c>
      <c r="ZK9" s="73" t="str">
        <f>IF(AND('Job Sheet'!AE15="DVA Mesh",'Job Sheet'!BR15="825 x 2000",'Job Sheet'!AF15="Ultra Silver"),1,"")</f>
        <v/>
      </c>
      <c r="ZL9" s="73" t="str">
        <f>IF(AND('Job Sheet'!AE15="DVA Mesh",'Job Sheet'!BR15="825 x 2000",'Job Sheet'!AF15="Woodland Grey(Green Tone)"),1,"")</f>
        <v/>
      </c>
      <c r="ZM9" s="73" t="str">
        <f>IF(AND('Job Sheet'!AE15="DVA Mesh",'Job Sheet'!BR15="825 x 2000",'Job Sheet'!AF15="Pearl White"),1,"")</f>
        <v/>
      </c>
      <c r="ZN9" s="73" t="str">
        <f>IF(AND('Job Sheet'!AE15="DVA Mesh",'Job Sheet'!BR15="825 x 2000",'Job Sheet'!AF15="Monument"),1,"")</f>
        <v/>
      </c>
      <c r="ZO9" s="73" t="str">
        <f>IF(AND('Job Sheet'!AE15="DVA Mesh",'Job Sheet'!BR15="825 x 2000",'Job Sheet'!AF15="Surfmist"),1,"")</f>
        <v/>
      </c>
      <c r="ZP9" s="73" t="str">
        <f>IF(AND('Job Sheet'!AE15="DVA Mesh",'Job Sheet'!BR15="825 x 2000",'Job Sheet'!AF15="Dune"),1,"")</f>
        <v/>
      </c>
      <c r="ZQ9" s="73" t="str">
        <f>IF(AND('Job Sheet'!AE15="DVA Mesh",'Job Sheet'!BR15="825 x 2000",'Job Sheet'!AF15="Custom Powdercoat"),1,"")</f>
        <v/>
      </c>
      <c r="ZR9" s="73" t="str">
        <f>IF(AND('Job Sheet'!AE15="DVA Mesh",'Job Sheet'!BR15="900 x 2200",'Job Sheet'!AF15="Apo Grey"),1,"")</f>
        <v/>
      </c>
      <c r="ZS9" s="73" t="str">
        <f>IF(AND('Job Sheet'!AE15="DVA Mesh",'Job Sheet'!BR15="900 x 2200",'Job Sheet'!AF15="Birch White"),1,"")</f>
        <v/>
      </c>
      <c r="ZT9" s="73" t="str">
        <f>IF(AND('Job Sheet'!AE15="DVA Mesh",'Job Sheet'!BR15="900 x 2200",'Job Sheet'!AF15="Black"),1,"")</f>
        <v/>
      </c>
      <c r="ZU9" s="73" t="str">
        <f>IF(AND('Job Sheet'!AE15="DVA Mesh",'Job Sheet'!BR15="900 x 2200",'Job Sheet'!AF15="Brown"),1,"")</f>
        <v/>
      </c>
      <c r="ZV9" s="73" t="str">
        <f>IF(AND('Job Sheet'!AE15="DVA Mesh",'Job Sheet'!BR15="900 x 2200",'Job Sheet'!AF15="Deep Ocean"),1,"")</f>
        <v/>
      </c>
      <c r="ZW9" s="73" t="str">
        <f>IF(AND('Job Sheet'!AE15="DVA Mesh",'Job Sheet'!BR15="900 x 2200",'Job Sheet'!AF15="Jasper"),1,"")</f>
        <v/>
      </c>
      <c r="ZX9" s="73" t="str">
        <f>IF(AND('Job Sheet'!AE15="DVA Mesh",'Job Sheet'!BR15="900 x 2200",'Job Sheet'!AF15="Paperbark"),1,"")</f>
        <v/>
      </c>
      <c r="ZY9" s="73" t="str">
        <f>IF(AND('Job Sheet'!AE15="DVA Mesh",'Job Sheet'!BR15="900 x 2200",'Job Sheet'!AF15="Mist Green"),1,"")</f>
        <v/>
      </c>
      <c r="ZZ9" s="73" t="str">
        <f>IF(AND('Job Sheet'!AE15="DVA Mesh",'Job Sheet'!BR15="900 x 2200",'Job Sheet'!AF15="Primrose"),1,"")</f>
        <v/>
      </c>
      <c r="AAA9" s="73" t="str">
        <f>IF(AND('Job Sheet'!AE15="DVA Mesh",'Job Sheet'!BR15="900 x 2200",'Job Sheet'!AF15="Ultra Silver"),1,"")</f>
        <v/>
      </c>
      <c r="AAB9" s="73" t="str">
        <f>IF(AND('Job Sheet'!AE15="DVA Mesh",'Job Sheet'!BR15="900 x 2200",'Job Sheet'!AF15="Woodland Grey(Green Tone)"),1,"")</f>
        <v/>
      </c>
      <c r="AAC9" s="73" t="str">
        <f>IF(AND('Job Sheet'!AE15="DVA Mesh",'Job Sheet'!BR15="900 x 2200",'Job Sheet'!AF15="Pearl White"),1,"")</f>
        <v/>
      </c>
      <c r="AAD9" s="73" t="str">
        <f>IF(AND('Job Sheet'!AE15="DVA Mesh",'Job Sheet'!BR15="900 x 2200",'Job Sheet'!AF15="Monument"),1,"")</f>
        <v/>
      </c>
      <c r="AAE9" s="73" t="str">
        <f>IF(AND('Job Sheet'!AE15="DVA Mesh",'Job Sheet'!BR15="900 x 2200",'Job Sheet'!AF15="Surfmist"),1,"")</f>
        <v/>
      </c>
      <c r="AAF9" s="73" t="str">
        <f>IF(AND('Job Sheet'!AE15="DVA Mesh",'Job Sheet'!BR15="900 x 2200",'Job Sheet'!AF15="Dune"),1,"")</f>
        <v/>
      </c>
      <c r="AAG9" s="73" t="str">
        <f>IF(AND('Job Sheet'!AE15="DVA Mesh",'Job Sheet'!BR15="900 x 2200",'Job Sheet'!AF15="Custom Powdercoat"),1,"")</f>
        <v/>
      </c>
      <c r="AAH9" s="73" t="str">
        <f>IF(AND('Job Sheet'!AE15="DVA Mesh",'Job Sheet'!BR15="900 x 2400",'Job Sheet'!AF15="Apo Grey"),1,"")</f>
        <v/>
      </c>
      <c r="AAI9" s="73" t="str">
        <f>IF(AND('Job Sheet'!AE15="DVA Mesh",'Job Sheet'!BR15="900 x 2400",'Job Sheet'!AF15="Birch White"),1,"")</f>
        <v/>
      </c>
      <c r="AAJ9" s="73" t="str">
        <f>IF(AND('Job Sheet'!AE15="DVA Mesh",'Job Sheet'!BR15="900 x 2400",'Job Sheet'!AF15="Black"),1,"")</f>
        <v/>
      </c>
      <c r="AAK9" s="73" t="str">
        <f>IF(AND('Job Sheet'!AE15="DVA Mesh",'Job Sheet'!BR15="900 x 2400",'Job Sheet'!AF15="Brown"),1,"")</f>
        <v/>
      </c>
      <c r="AAL9" s="73" t="str">
        <f>IF(AND('Job Sheet'!AE15="DVA Mesh",'Job Sheet'!BR15="900 x 2400",'Job Sheet'!AF15="Deep Ocean"),1,"")</f>
        <v/>
      </c>
      <c r="AAM9" s="73" t="str">
        <f>IF(AND('Job Sheet'!AE15="DVA Mesh",'Job Sheet'!BR15="900 x 2400",'Job Sheet'!AF15="Jasper"),1,"")</f>
        <v/>
      </c>
      <c r="AAN9" s="73" t="str">
        <f>IF(AND('Job Sheet'!AE15="DVA Mesh",'Job Sheet'!BR15="900 x 2400",'Job Sheet'!AF15="Paperbark"),1,"")</f>
        <v/>
      </c>
      <c r="AAO9" s="73" t="str">
        <f>IF(AND('Job Sheet'!AE15="DVA Mesh",'Job Sheet'!BR15="900 x 2400",'Job Sheet'!AF15="Mist Green"),1,"")</f>
        <v/>
      </c>
      <c r="AAP9" s="73" t="str">
        <f>IF(AND('Job Sheet'!AE15="DVA Mesh",'Job Sheet'!BR15="900 x 2400",'Job Sheet'!AF15="Primrose"),1,"")</f>
        <v/>
      </c>
      <c r="AAQ9" s="73" t="str">
        <f>IF(AND('Job Sheet'!AE15="DVA Mesh",'Job Sheet'!BR15="900 x 2400",'Job Sheet'!AF15="Ultra Silver"),1,"")</f>
        <v/>
      </c>
      <c r="AAR9" s="73" t="str">
        <f>IF(AND('Job Sheet'!AE15="DVA Mesh",'Job Sheet'!BR15="900 x 2400",'Job Sheet'!AF15="Woodland Grey(Green Tone)"),1,"")</f>
        <v/>
      </c>
      <c r="AAS9" s="73" t="str">
        <f>IF(AND('Job Sheet'!AE15="DVA Mesh",'Job Sheet'!BR15="900 x 2400",'Job Sheet'!AF15="Pearl White"),1,"")</f>
        <v/>
      </c>
      <c r="AAT9" s="73" t="str">
        <f>IF(AND('Job Sheet'!AE15="DVA Mesh",'Job Sheet'!BR15="900 x 2400",'Job Sheet'!AF15="Monument"),1,"")</f>
        <v/>
      </c>
      <c r="AAU9" s="73" t="str">
        <f>IF(AND('Job Sheet'!AE15="DVA Mesh",'Job Sheet'!BR15="900 x 2400",'Job Sheet'!AF15="Surfmist"),1,"")</f>
        <v/>
      </c>
      <c r="AAV9" s="73" t="str">
        <f>IF(AND('Job Sheet'!AE15="DVA Mesh",'Job Sheet'!BR15="900 x 2400",'Job Sheet'!AF15="Dune"),1,"")</f>
        <v/>
      </c>
      <c r="AAW9" s="73" t="str">
        <f>IF(AND('Job Sheet'!AE15="DVA Mesh",'Job Sheet'!BR15="900 x 2400",'Job Sheet'!AF15="Custom Powdercoat"),1,"")</f>
        <v/>
      </c>
      <c r="AAX9" s="73" t="str">
        <f>IF(AND('Job Sheet'!AE15="DVA Mesh",'Job Sheet'!BR15="1200 x 2200",'Job Sheet'!AF15="Apo Grey"),1,"")</f>
        <v/>
      </c>
      <c r="AAY9" s="73" t="str">
        <f>IF(AND('Job Sheet'!AE15="DVA Mesh",'Job Sheet'!BR15="1200 x 2200",'Job Sheet'!AF15="Birch White"),1,"")</f>
        <v/>
      </c>
      <c r="AAZ9" s="73" t="str">
        <f>IF(AND('Job Sheet'!AE15="DVA Mesh",'Job Sheet'!BR15="1200 x 2200",'Job Sheet'!AF15="Black"),1,"")</f>
        <v/>
      </c>
      <c r="ABA9" s="73" t="str">
        <f>IF(AND('Job Sheet'!AE15="DVA Mesh",'Job Sheet'!BR15="1200 x 2200",'Job Sheet'!AF15="Brown"),1,"")</f>
        <v/>
      </c>
      <c r="ABB9" s="73" t="str">
        <f>IF(AND('Job Sheet'!AE15="DVA Mesh",'Job Sheet'!BR15="1200 x 2200",'Job Sheet'!AF15="Deep Ocean"),1,"")</f>
        <v/>
      </c>
      <c r="ABC9" s="73" t="str">
        <f>IF(AND('Job Sheet'!AE15="DVA Mesh",'Job Sheet'!BR15="1200 x 2200",'Job Sheet'!AF15="Jasper"),1,"")</f>
        <v/>
      </c>
      <c r="ABD9" s="73" t="str">
        <f>IF(AND('Job Sheet'!AE15="DVA Mesh",'Job Sheet'!BR15="1200 x 2200",'Job Sheet'!AF15="Paperbark"),1,"")</f>
        <v/>
      </c>
      <c r="ABE9" s="73" t="str">
        <f>IF(AND('Job Sheet'!AE15="DVA Mesh",'Job Sheet'!BR15="1200 x 2200",'Job Sheet'!AF15="Mist Green"),1,"")</f>
        <v/>
      </c>
      <c r="ABF9" s="73" t="str">
        <f>IF(AND('Job Sheet'!AE15="DVA Mesh",'Job Sheet'!BR15="1200 x 2200",'Job Sheet'!AF15="Primrose"),1,"")</f>
        <v/>
      </c>
      <c r="ABG9" s="73" t="str">
        <f>IF(AND('Job Sheet'!AE15="DVA Mesh",'Job Sheet'!BR15="1200 x 2200",'Job Sheet'!AF15="Ultra Silver"),1,"")</f>
        <v/>
      </c>
      <c r="ABH9" s="73" t="str">
        <f>IF(AND('Job Sheet'!AE15="DVA Mesh",'Job Sheet'!BR15="1200 x 2200",'Job Sheet'!AF15="Woodland Grey(Green Tone)"),1,"")</f>
        <v/>
      </c>
      <c r="ABI9" s="73" t="str">
        <f>IF(AND('Job Sheet'!AE15="DVA Mesh",'Job Sheet'!BR15="1200 x 2200",'Job Sheet'!AF15="Pearl White"),1,"")</f>
        <v/>
      </c>
      <c r="ABJ9" s="73" t="str">
        <f>IF(AND('Job Sheet'!AE15="DVA Mesh",'Job Sheet'!BR15="1200 x 2200",'Job Sheet'!AF15="Monument"),1,"")</f>
        <v/>
      </c>
      <c r="ABK9" s="73" t="str">
        <f>IF(AND('Job Sheet'!AE15="DVA Mesh",'Job Sheet'!BR15="1200 x 2200",'Job Sheet'!AF15="Surfmist"),1,"")</f>
        <v/>
      </c>
      <c r="ABL9" s="73" t="str">
        <f>IF(AND('Job Sheet'!AE15="DVA Mesh",'Job Sheet'!BR15="1200 x 2200",'Job Sheet'!AF15="Dune"),1,"")</f>
        <v/>
      </c>
      <c r="ABM9" s="73" t="str">
        <f>IF(AND('Job Sheet'!AE15="DVA Mesh",'Job Sheet'!BR15="1200 x 2200",'Job Sheet'!AF15="Custom Powdercoat"),1,"")</f>
        <v/>
      </c>
      <c r="ABN9" s="73" t="str">
        <f>IF(AND('Job Sheet'!AE15="DVA Mesh",'Job Sheet'!BR15="1200 x 2400",'Job Sheet'!AF15="Apo Grey"),1,"")</f>
        <v/>
      </c>
      <c r="ABO9" s="73" t="str">
        <f>IF(AND('Job Sheet'!AE15="DVA Mesh",'Job Sheet'!BR15="1200 x 2400",'Job Sheet'!AF15="Birch White"),1,"")</f>
        <v/>
      </c>
      <c r="ABP9" s="73" t="str">
        <f>IF(AND('Job Sheet'!AE15="DVA Mesh",'Job Sheet'!BR15="1200 x 2400",'Job Sheet'!AF15="Black"),1,"")</f>
        <v/>
      </c>
      <c r="ABQ9" s="73" t="str">
        <f>IF(AND('Job Sheet'!AE15="DVA Mesh",'Job Sheet'!BR15="1200 x 2400",'Job Sheet'!AF15="Brown"),1,"")</f>
        <v/>
      </c>
      <c r="ABR9" s="73" t="str">
        <f>IF(AND('Job Sheet'!AE15="DVA Mesh",'Job Sheet'!BR15="1200 x 2400",'Job Sheet'!AF15="Deep Ocean"),1,"")</f>
        <v/>
      </c>
      <c r="ABS9" s="73" t="str">
        <f>IF(AND('Job Sheet'!AE15="DVA Mesh",'Job Sheet'!BR15="1200 x 2400",'Job Sheet'!AF15="Jasper"),1,"")</f>
        <v/>
      </c>
      <c r="ABT9" s="73" t="str">
        <f>IF(AND('Job Sheet'!AE15="DVA Mesh",'Job Sheet'!BR15="1200 x 2400",'Job Sheet'!AF15="Paperbark"),1,"")</f>
        <v/>
      </c>
      <c r="ABU9" s="73" t="str">
        <f>IF(AND('Job Sheet'!AE15="DVA Mesh",'Job Sheet'!BR15="1200 x 2400",'Job Sheet'!AF15="Mist Green"),1,"")</f>
        <v/>
      </c>
      <c r="ABV9" s="73" t="str">
        <f>IF(AND('Job Sheet'!AE15="DVA Mesh",'Job Sheet'!BR15="1200 x 2400",'Job Sheet'!AF15="Primrose"),1,"")</f>
        <v/>
      </c>
      <c r="ABW9" s="73" t="str">
        <f>IF(AND('Job Sheet'!AE15="DVA Mesh",'Job Sheet'!BR15="1200 x 2400",'Job Sheet'!AF15="Ultra Silver"),1,"")</f>
        <v/>
      </c>
      <c r="ABX9" s="73" t="str">
        <f>IF(AND('Job Sheet'!AE15="DVA Mesh",'Job Sheet'!BR15="1200 x 2400",'Job Sheet'!AF15="Woodland Grey(Green Tone)"),1,"")</f>
        <v/>
      </c>
      <c r="ABY9" s="73" t="str">
        <f>IF(AND('Job Sheet'!AE15="DVA Mesh",'Job Sheet'!BR15="1200 x 2400",'Job Sheet'!AF15="Pearl White"),1,"")</f>
        <v/>
      </c>
      <c r="ABZ9" s="73" t="str">
        <f>IF(AND('Job Sheet'!AE15="DVA Mesh",'Job Sheet'!BR15="1200 x 2400",'Job Sheet'!AF15="Monument"),1,"")</f>
        <v/>
      </c>
      <c r="ACA9" s="73" t="str">
        <f>IF(AND('Job Sheet'!AE15="DVA Mesh",'Job Sheet'!BR15="1200 x 2400",'Job Sheet'!AF15="Surfmist"),1,"")</f>
        <v/>
      </c>
      <c r="ACB9" s="73" t="str">
        <f>IF(AND('Job Sheet'!AE15="DVA Mesh",'Job Sheet'!BR15="1200 x 2400",'Job Sheet'!AF15="Dune"),1,"")</f>
        <v/>
      </c>
      <c r="ACC9" s="73" t="str">
        <f>IF(AND('Job Sheet'!AE15="DVA Mesh",'Job Sheet'!BR15="1200 x 2400",'Job Sheet'!AF15="Custom Powdercoat"),1,"")</f>
        <v/>
      </c>
      <c r="ACD9" s="73" t="str">
        <f>IF('Job Sheet'!AE15="Fibreglass Mesh",CONCATENATE('Job Sheet'!BH15," x ",'Job Sheet'!BI15),"")</f>
        <v/>
      </c>
      <c r="ACE9" s="73" t="str">
        <f>IF('Job Sheet'!AE15="Aluminium Mesh",CONCATENATE('Job Sheet'!BH15," x ",'Job Sheet'!BI15),"")</f>
        <v/>
      </c>
      <c r="ACF9" s="73" t="str">
        <f>IF('Job Sheet'!AE15="Tuff Mesh",CONCATENATE('Job Sheet'!BH15," x ",'Job Sheet'!BI15),"")</f>
        <v/>
      </c>
      <c r="ACI9" s="73" t="str">
        <f>IF('Job Sheet'!AE15="Pet Mesh",CONCATENATE('Job Sheet'!BH15," x ",'Job Sheet'!BI15),"")</f>
        <v/>
      </c>
      <c r="ACJ9" s="73"/>
      <c r="ACK9" t="str">
        <f>IF(Guillotine!F16="SP13AB Apo Grey",1,"")</f>
        <v/>
      </c>
      <c r="ACL9" t="str">
        <f>IF(Guillotine!F16="SP13AB White Birch",1,"")</f>
        <v/>
      </c>
      <c r="ACM9" t="str">
        <f>IF(Guillotine!F16="SP13AB Black",1,"")</f>
        <v/>
      </c>
      <c r="ACN9" t="str">
        <f>IF(Guillotine!F16="SP13AB Brown",1,"")</f>
        <v/>
      </c>
      <c r="ACO9" t="str">
        <f>IF(Guillotine!F16="SP13AB Deep Ocean",1,"")</f>
        <v/>
      </c>
      <c r="ACP9" t="str">
        <f>IF(Guillotine!F16="SP13AB Jasper",1,"")</f>
        <v/>
      </c>
      <c r="ACQ9" t="str">
        <f>IF(Guillotine!F16="SP13AB Paperbark",1,"")</f>
        <v/>
      </c>
      <c r="ACR9" t="str">
        <f>IF(Guillotine!F16="SP13AB Mist Green",1,"")</f>
        <v/>
      </c>
      <c r="ACS9" t="str">
        <f>IF(Guillotine!F16="SP13AB Primrose",1,"")</f>
        <v/>
      </c>
      <c r="ACT9" t="str">
        <f>IF(Guillotine!F16="SP13AB Ultra Silver",1,"")</f>
        <v/>
      </c>
      <c r="ACU9" t="str">
        <f>IF(Guillotine!F16="SP13AB Woodland Grey(Green Tone)",1,"")</f>
        <v/>
      </c>
      <c r="ACV9" t="str">
        <f>IF(Guillotine!F16="SP13AB Pearl White",1,"")</f>
        <v/>
      </c>
      <c r="ACW9" t="str">
        <f>IF(Guillotine!F16="SP13AB Monument",1,"")</f>
        <v/>
      </c>
      <c r="ACX9" t="str">
        <f>IF(Guillotine!F16="SP13AB Surfmist",1,"")</f>
        <v/>
      </c>
      <c r="ACY9" t="str">
        <f>IF(Guillotine!F16="SP13AB Dune",1,"")</f>
        <v/>
      </c>
      <c r="ACZ9" t="str">
        <f>IF(Guillotine!F16="SP13AB Powdercoat",1,"")</f>
        <v/>
      </c>
      <c r="ADA9" t="str">
        <f>IF(Guillotine!F16="SP13BB Apo Grey",1,"")</f>
        <v/>
      </c>
      <c r="ADB9" t="str">
        <f>IF(Guillotine!F16="SP13BB White Birch",1,"")</f>
        <v/>
      </c>
      <c r="ADC9" t="str">
        <f>IF(Guillotine!F16="SP13BB Black",1,"")</f>
        <v/>
      </c>
      <c r="ADD9" t="str">
        <f>IF(Guillotine!F16="SP13BB Brown",1,"")</f>
        <v/>
      </c>
      <c r="ADE9" t="str">
        <f>IF(Guillotine!F16="SP13BB Deep Ocean",1,"")</f>
        <v/>
      </c>
      <c r="ADF9" t="str">
        <f>IF(Guillotine!F16="SP13BB Jasper",1,"")</f>
        <v/>
      </c>
      <c r="ADG9" t="str">
        <f>IF(Guillotine!F16="SP13BB Paperbark",1,"")</f>
        <v/>
      </c>
      <c r="ADH9" t="str">
        <f>IF(Guillotine!F16="SP13BB Mist Green",1,"")</f>
        <v/>
      </c>
      <c r="ADI9" t="str">
        <f>IF(Guillotine!F16="SP13BB Primrose",1,"")</f>
        <v/>
      </c>
      <c r="ADJ9" t="str">
        <f>IF(Guillotine!F16="SP13BB Ultra Silver",1,"")</f>
        <v/>
      </c>
      <c r="ADK9" t="str">
        <f>IF(Guillotine!F16="SP13BB Woodland Grey(Green Tone)",1,"")</f>
        <v/>
      </c>
      <c r="ADL9" t="str">
        <f>IF(Guillotine!F16="SP13BB Pearl White",1,"")</f>
        <v/>
      </c>
      <c r="ADM9" t="str">
        <f>IF(Guillotine!F16="SP13BB Monument",1,"")</f>
        <v/>
      </c>
      <c r="ADN9" t="str">
        <f>IF(Guillotine!F16="SP13BB Surfmist",1,"")</f>
        <v/>
      </c>
      <c r="ADO9" t="str">
        <f>IF(Guillotine!F16="SP13BB Dune",1,"")</f>
        <v/>
      </c>
      <c r="ADP9" t="str">
        <f>IF(Guillotine!F16="SP13BB Powdercoat",1,"")</f>
        <v/>
      </c>
      <c r="ADQ9" t="str">
        <f>IF(Guillotine!F16="SP14AB Apo Grey",1,"")</f>
        <v/>
      </c>
      <c r="ADR9" t="str">
        <f>IF(Guillotine!F16="SP14AB White Birch",1,"")</f>
        <v/>
      </c>
      <c r="ADS9" t="str">
        <f>IF(Guillotine!F16="SP14AB Black",1,"")</f>
        <v/>
      </c>
      <c r="ADT9" t="str">
        <f>IF(Guillotine!F16="SP14AB Brown",1,"")</f>
        <v/>
      </c>
      <c r="ADU9" t="str">
        <f>IF(Guillotine!F16="SP14AB Deep Ocean",1,"")</f>
        <v/>
      </c>
      <c r="ADV9" t="str">
        <f>IF(Guillotine!F16="SP14AB Jasper",1,"")</f>
        <v/>
      </c>
      <c r="ADW9" t="str">
        <f>IF(Guillotine!F16="SP14AB Paperbark",1,"")</f>
        <v/>
      </c>
      <c r="ADX9" t="str">
        <f>IF(Guillotine!F16="SP14AB Mist Green",1,"")</f>
        <v/>
      </c>
      <c r="ADY9" t="str">
        <f>IF(Guillotine!F16="SP14AB Primrose",1,"")</f>
        <v/>
      </c>
      <c r="ADZ9" t="str">
        <f>IF(Guillotine!F16="SP14AB Ultra Silver",1,"")</f>
        <v/>
      </c>
      <c r="AEA9" t="str">
        <f>IF(Guillotine!F16="SP14AB Woodland Grey(Green Tone)",1,"")</f>
        <v/>
      </c>
      <c r="AEB9" t="str">
        <f>IF(Guillotine!F16="SP14AB Pearl White",1,"")</f>
        <v/>
      </c>
      <c r="AEC9" t="str">
        <f>IF(Guillotine!F16="SP14AB Monument",1,"")</f>
        <v/>
      </c>
      <c r="AED9" t="str">
        <f>IF(Guillotine!F16="SP14AB Surfmist",1,"")</f>
        <v/>
      </c>
      <c r="AEE9" t="str">
        <f>IF(Guillotine!F16="SP14AB Dune",1,"")</f>
        <v/>
      </c>
      <c r="AEF9" t="str">
        <f>IF(Guillotine!F16="SP14AB Powdercoat",1,"")</f>
        <v/>
      </c>
      <c r="AEG9" t="str">
        <f>IF(Guillotine!F16="SP17AB Apo Grey",1,"")</f>
        <v/>
      </c>
      <c r="AEH9" t="str">
        <f>IF(Guillotine!F16="SP17AB White Birch",1,"")</f>
        <v/>
      </c>
      <c r="AEI9" t="str">
        <f>IF(Guillotine!F16="SP17AB Black",1,"")</f>
        <v/>
      </c>
      <c r="AEJ9" t="str">
        <f>IF(Guillotine!F16="SP17AB Brown",1,"")</f>
        <v/>
      </c>
      <c r="AEK9" t="str">
        <f>IF(Guillotine!F16="SP17AB Deep Ocean",1,"")</f>
        <v/>
      </c>
      <c r="AEL9" t="str">
        <f>IF(Guillotine!F16="SP17AB Jasper",1,"")</f>
        <v/>
      </c>
      <c r="AEM9" t="str">
        <f>IF(Guillotine!F16="SP17AB Paperbark",1,"")</f>
        <v/>
      </c>
      <c r="AEN9" t="str">
        <f>IF(Guillotine!F16="SP17AB Mist Green",1,"")</f>
        <v/>
      </c>
      <c r="AEO9" t="str">
        <f>IF(Guillotine!F16="SP17AB Primrose",1,"")</f>
        <v/>
      </c>
      <c r="AEP9" t="str">
        <f>IF(Guillotine!F16="SP17AB Ultra Silver",1,"")</f>
        <v/>
      </c>
      <c r="AEQ9" t="str">
        <f>IF(Guillotine!F16="SP17AB Woodland Grey(Green Tone)",1,"")</f>
        <v/>
      </c>
      <c r="AER9" t="str">
        <f>IF(Guillotine!F16="SP17AB Pearl White",1,"")</f>
        <v/>
      </c>
      <c r="AES9" t="str">
        <f>IF(Guillotine!F16="SP17AB Monument",1,"")</f>
        <v/>
      </c>
      <c r="AET9" t="str">
        <f>IF(Guillotine!F16="SP17AB Surfmist",1,"")</f>
        <v/>
      </c>
      <c r="AEU9" t="str">
        <f>IF(Guillotine!F16="SP17AB Dune",1,"")</f>
        <v/>
      </c>
      <c r="AEV9" t="str">
        <f>IF(Guillotine!F16="SP17AB Powdercoat",1,"")</f>
        <v/>
      </c>
      <c r="AEW9" t="str">
        <f>IF(Guillotine!F16="SP27AB Apo Grey",1,"")</f>
        <v/>
      </c>
      <c r="AEX9" t="str">
        <f>IF(Guillotine!F16="SP27AB White Birch",1,"")</f>
        <v/>
      </c>
      <c r="AEY9" t="str">
        <f>IF(Guillotine!F16="SP27AB Black",1,"")</f>
        <v/>
      </c>
      <c r="AEZ9" t="str">
        <f>IF(Guillotine!F16="SP27AB Brown",1,"")</f>
        <v/>
      </c>
      <c r="AFA9" t="str">
        <f>IF(Guillotine!F16="SP27AB Deep Ocean",1,"")</f>
        <v/>
      </c>
      <c r="AFB9" t="str">
        <f>IF(Guillotine!F16="SP27AB Jasper",1,"")</f>
        <v/>
      </c>
      <c r="AFC9" t="str">
        <f>IF(Guillotine!F16="SP27AB Paperbark",1,"")</f>
        <v/>
      </c>
      <c r="AFD9" t="str">
        <f>IF(Guillotine!F16="SP27AB Mist Green",1,"")</f>
        <v/>
      </c>
      <c r="AFE9" t="str">
        <f>IF(Guillotine!F16="SP27AB Primrose",1,"")</f>
        <v/>
      </c>
      <c r="AFF9" t="str">
        <f>IF(Guillotine!F16="SP27AB Ultra Silver",1,"")</f>
        <v/>
      </c>
      <c r="AFG9" t="str">
        <f>IF(Guillotine!F16="SP27AB Woodland Grey(Green Tone)",1,"")</f>
        <v/>
      </c>
      <c r="AFH9" t="str">
        <f>IF(Guillotine!F16="SP27AB Pearl White",1,"")</f>
        <v/>
      </c>
      <c r="AFI9" t="str">
        <f>IF(Guillotine!F16="SP27AB Monument",1,"")</f>
        <v/>
      </c>
      <c r="AFJ9" t="str">
        <f>IF(Guillotine!F16="SP27AB Surfmist",1,"")</f>
        <v/>
      </c>
      <c r="AFK9" t="str">
        <f>IF(Guillotine!F16="SP27AB Dune",1,"")</f>
        <v/>
      </c>
      <c r="AFL9" t="str">
        <f>IF(Guillotine!F16="SP27AB Powdercoat",1,"")</f>
        <v/>
      </c>
      <c r="AFM9" t="str">
        <f>IF(Guillotine!F16="SP29AB Apo Grey",1,"")</f>
        <v/>
      </c>
      <c r="AFN9" t="str">
        <f>IF(Guillotine!F16="SP29AB White Birch",1,"")</f>
        <v/>
      </c>
      <c r="AFO9" t="str">
        <f>IF(Guillotine!F16="SP29AB Black",1,"")</f>
        <v/>
      </c>
      <c r="AFP9" t="str">
        <f>IF(Guillotine!F16="SP29AB Brown",1,"")</f>
        <v/>
      </c>
      <c r="AFQ9" t="str">
        <f>IF(Guillotine!F16="SP29AB Deep Ocean",1,"")</f>
        <v/>
      </c>
      <c r="AFR9" t="str">
        <f>IF(Guillotine!F16="SP29AB Jasper",1,"")</f>
        <v/>
      </c>
      <c r="AFS9" t="str">
        <f>IF(Guillotine!F16="SP29AB Paperbark",1,"")</f>
        <v/>
      </c>
      <c r="AFT9" t="str">
        <f>IF(Guillotine!F16="SP29AB Mist Green",1,"")</f>
        <v/>
      </c>
      <c r="AFU9" t="str">
        <f>IF(Guillotine!F16="SP29AB Primrose",1,"")</f>
        <v/>
      </c>
      <c r="AFV9" t="str">
        <f>IF(Guillotine!F16="SP29AB Ultra Silver",1,"")</f>
        <v/>
      </c>
      <c r="AFW9" t="str">
        <f>IF(Guillotine!F16="SP29AB Woodland Grey(Green Tone)",1,"")</f>
        <v/>
      </c>
      <c r="AFX9" t="str">
        <f>IF(Guillotine!F16="SP29AB Pearl White",1,"")</f>
        <v/>
      </c>
      <c r="AFY9" t="str">
        <f>IF(Guillotine!F16="SP29AB Monument",1,"")</f>
        <v/>
      </c>
      <c r="AFZ9" t="str">
        <f>IF(Guillotine!F16="SP29AB Surfmist",1,"")</f>
        <v/>
      </c>
      <c r="AGA9" t="str">
        <f>IF(Guillotine!F16="SP29AB Dune",1,"")</f>
        <v/>
      </c>
      <c r="AGB9" t="str">
        <f>IF(Guillotine!F16="SP29AB Powdercoat",1,"")</f>
        <v/>
      </c>
      <c r="AGC9" t="str">
        <f>IF(Guillotine!F16="SP34AB Apo Grey",1,"")</f>
        <v/>
      </c>
      <c r="AGD9" t="str">
        <f>IF(Guillotine!F16="SP34AB White Birch",1,"")</f>
        <v/>
      </c>
      <c r="AGE9" t="str">
        <f>IF(Guillotine!F16="SP34AB Black",1,"")</f>
        <v/>
      </c>
      <c r="AGF9" t="str">
        <f>IF(Guillotine!F16="SP34AB Brown",1,"")</f>
        <v/>
      </c>
      <c r="AGG9" t="str">
        <f>IF(Guillotine!F16="SP34AB Deep Ocean",1,"")</f>
        <v/>
      </c>
      <c r="AGH9" t="str">
        <f>IF(Guillotine!F16="SP34AB Jasper",1,"")</f>
        <v/>
      </c>
      <c r="AGI9" t="str">
        <f>IF(Guillotine!F16="SP34AB Paperbark",1,"")</f>
        <v/>
      </c>
      <c r="AGJ9" t="str">
        <f>IF(Guillotine!F16="SP34AB Mist Green",1,"")</f>
        <v/>
      </c>
      <c r="AGK9" t="str">
        <f>IF(Guillotine!F16="SP34AB Primrose",1,"")</f>
        <v/>
      </c>
      <c r="AGL9" t="str">
        <f>IF(Guillotine!F16="SP34AB Ultra Silver",1,"")</f>
        <v/>
      </c>
      <c r="AGM9" t="str">
        <f>IF(Guillotine!F16="SP34AB Woodland Grey(Green Tone)",1,"")</f>
        <v/>
      </c>
      <c r="AGN9" t="str">
        <f>IF(Guillotine!F16="SP34AB Pearl White",1,"")</f>
        <v/>
      </c>
      <c r="AGO9" t="str">
        <f>IF(Guillotine!F16="SP34AB Monument",1,"")</f>
        <v/>
      </c>
      <c r="AGP9" t="str">
        <f>IF(Guillotine!F16="SP34AB Surfmist",1,"")</f>
        <v/>
      </c>
      <c r="AGQ9" t="str">
        <f>IF(Guillotine!F16="SP34AB Dune",1,"")</f>
        <v/>
      </c>
      <c r="AGR9" t="str">
        <f>IF(Guillotine!F16="SP34AB Powdercoat",1,"")</f>
        <v/>
      </c>
      <c r="AGS9" t="str">
        <f>IF(Guillotine!F16="SP37AB Apo Grey",1,"")</f>
        <v/>
      </c>
      <c r="AGT9" t="str">
        <f>IF(Guillotine!F16="SP37AB White Birch",1,"")</f>
        <v/>
      </c>
      <c r="AGU9" t="str">
        <f>IF(Guillotine!F16="SP37AB Black",1,"")</f>
        <v/>
      </c>
      <c r="AGV9" t="str">
        <f>IF(Guillotine!F16="SP37AB Brown",1,"")</f>
        <v/>
      </c>
      <c r="AGW9" t="str">
        <f>IF(Guillotine!F16="SP37AB Deep Ocean",1,"")</f>
        <v/>
      </c>
      <c r="AGX9" t="str">
        <f>IF(Guillotine!F16="SP37AB Jasper",1,"")</f>
        <v/>
      </c>
      <c r="AGY9" t="str">
        <f>IF(Guillotine!F16="SP37AB Paperbark",1,"")</f>
        <v/>
      </c>
      <c r="AGZ9" t="str">
        <f>IF(Guillotine!F16="SP37AB Mist Green",1,"")</f>
        <v/>
      </c>
      <c r="AHA9" t="str">
        <f>IF(Guillotine!F16="SP37AB Primrose",1,"")</f>
        <v/>
      </c>
      <c r="AHB9" t="str">
        <f>IF(Guillotine!F16="SP37AB Ultra Silver",1,"")</f>
        <v/>
      </c>
      <c r="AHC9" t="str">
        <f>IF(Guillotine!F16="SP37AB Woodland Grey(Green Tone)",1,"")</f>
        <v/>
      </c>
      <c r="AHD9" t="str">
        <f>IF(Guillotine!F16="SP37AB Pearl White",1,"")</f>
        <v/>
      </c>
      <c r="AHE9" t="str">
        <f>IF(Guillotine!F16="SP37AB Monument",1,"")</f>
        <v/>
      </c>
      <c r="AHF9" t="str">
        <f>IF(Guillotine!F16="SP37AB Surfmist",1,"")</f>
        <v/>
      </c>
      <c r="AHG9" t="str">
        <f>IF(Guillotine!F16="SP37AB Dune",1,"")</f>
        <v/>
      </c>
      <c r="AHH9" t="str">
        <f>IF(Guillotine!F16="SP37AB Powdercoat",1,"")</f>
        <v/>
      </c>
      <c r="AHI9" t="str">
        <f>IF(Guillotine!F16="SP52 Apo Grey",1,"")</f>
        <v/>
      </c>
      <c r="AHJ9" t="str">
        <f>IF(Guillotine!F16="SP52 White Birch",1,"")</f>
        <v/>
      </c>
      <c r="AHK9" t="str">
        <f>IF(Guillotine!F16="SP52 Black",1,"")</f>
        <v/>
      </c>
      <c r="AHL9" t="str">
        <f>IF(Guillotine!F16="SP52 Brown",1,"")</f>
        <v/>
      </c>
      <c r="AHM9" t="str">
        <f>IF(Guillotine!F16="SP52 Deep Ocean",1,"")</f>
        <v/>
      </c>
      <c r="AHN9" t="str">
        <f>IF(Guillotine!F16="SP52 Jasper",1,"")</f>
        <v/>
      </c>
      <c r="AHO9" t="str">
        <f>IF(Guillotine!F16="SP52 Paperbark",1,"")</f>
        <v/>
      </c>
      <c r="AHP9" t="str">
        <f>IF(Guillotine!F16="SP52 Mist Green",1,"")</f>
        <v/>
      </c>
      <c r="AHQ9" t="str">
        <f>IF(Guillotine!F16="SP52 Primrose",1,"")</f>
        <v/>
      </c>
      <c r="AHR9" t="str">
        <f>IF(Guillotine!F16="SP52 Ultra Silver",1,"")</f>
        <v/>
      </c>
      <c r="AHS9" t="str">
        <f>IF(Guillotine!F16="SP52 Woodland Grey(Green Tone)",1,"")</f>
        <v/>
      </c>
      <c r="AHT9" t="str">
        <f>IF(Guillotine!F16="SP52 Pearl White",1,"")</f>
        <v/>
      </c>
      <c r="AHU9" t="str">
        <f>IF(Guillotine!F16="SP52 Monument",1,"")</f>
        <v/>
      </c>
      <c r="AHV9" t="str">
        <f>IF(Guillotine!F16="SP52 Surfmist",1,"")</f>
        <v/>
      </c>
      <c r="AHW9" t="str">
        <f>IF(Guillotine!F16="SP52 Dune",1,"")</f>
        <v/>
      </c>
      <c r="AHX9" t="str">
        <f>IF(Guillotine!F16="SP52 Powdercoat",1,"")</f>
        <v/>
      </c>
      <c r="AHY9" t="str">
        <f>IF(Guillotine!F16="SP53 Apo Grey",1,"")</f>
        <v/>
      </c>
      <c r="AHZ9" t="str">
        <f>IF(Guillotine!F16="SP53 White Birch",1,"")</f>
        <v/>
      </c>
      <c r="AIA9" t="str">
        <f>IF(Guillotine!F16="SP53 Black",1,"")</f>
        <v/>
      </c>
      <c r="AIB9" t="str">
        <f>IF(Guillotine!F16="SP53 Brown",1,"")</f>
        <v/>
      </c>
      <c r="AIC9" t="str">
        <f>IF(Guillotine!F16="SP53 Deep Ocean",1,"")</f>
        <v/>
      </c>
      <c r="AID9" t="str">
        <f>IF(Guillotine!F16="SP53 Jasper",1,"")</f>
        <v/>
      </c>
      <c r="AIE9" t="str">
        <f>IF(Guillotine!F16="SP53 Paperbark",1,"")</f>
        <v/>
      </c>
      <c r="AIF9" t="str">
        <f>IF(Guillotine!F16="SP53 Mist Green",1,"")</f>
        <v/>
      </c>
      <c r="AIG9" t="str">
        <f>IF(Guillotine!F16="SP53 Primrose",1,"")</f>
        <v/>
      </c>
      <c r="AIH9" t="str">
        <f>IF(Guillotine!F16="SP53 Ultra Silver",1,"")</f>
        <v/>
      </c>
      <c r="AII9" t="str">
        <f>IF(Guillotine!F16="SP53 Woodland Grey(Green Tone)",1,"")</f>
        <v/>
      </c>
      <c r="AIJ9" t="str">
        <f>IF(Guillotine!F16="SP53 Pearl White",1,"")</f>
        <v/>
      </c>
      <c r="AIK9" t="str">
        <f>IF(Guillotine!F16="SP53 Monument",1,"")</f>
        <v/>
      </c>
      <c r="AIL9" t="str">
        <f>IF(Guillotine!F16="SP53 Surfmist",1,"")</f>
        <v/>
      </c>
      <c r="AIM9" t="str">
        <f>IF(Guillotine!F16="SP53 Dune",1,"")</f>
        <v/>
      </c>
      <c r="AIN9" t="str">
        <f>IF(Guillotine!F16="SP53 Powdercoat",1,"")</f>
        <v/>
      </c>
      <c r="AIO9" t="str">
        <f>IF(Guillotine!F16="SP55 Apo Grey",1,"")</f>
        <v/>
      </c>
      <c r="AIP9" t="str">
        <f>IF(Guillotine!F16="SP55 White Birch",1,"")</f>
        <v/>
      </c>
      <c r="AIQ9" t="str">
        <f>IF(Guillotine!F16="SP55 Black",1,"")</f>
        <v/>
      </c>
      <c r="AIR9" t="str">
        <f>IF(Guillotine!F16="SP55 Brown",1,"")</f>
        <v/>
      </c>
      <c r="AIS9" t="str">
        <f>IF(Guillotine!F16="SP55 Deep Ocean",1,"")</f>
        <v/>
      </c>
      <c r="AIT9" t="str">
        <f>IF(Guillotine!F16="SP55 Jasper",1,"")</f>
        <v/>
      </c>
      <c r="AIU9" t="str">
        <f>IF(Guillotine!F16="SP55 Paperbark",1,"")</f>
        <v/>
      </c>
      <c r="AIV9" t="str">
        <f>IF(Guillotine!F16="SP55 Mist Green",1,"")</f>
        <v/>
      </c>
      <c r="AIW9" t="str">
        <f>IF(Guillotine!F16="SP55 Primrose",1,"")</f>
        <v/>
      </c>
      <c r="AIX9" t="str">
        <f>IF(Guillotine!F16="SP55 Ultra Silver",1,"")</f>
        <v/>
      </c>
      <c r="AIY9" t="str">
        <f>IF(Guillotine!F16="SP55 Woodland Grey(Green Tone)",1,"")</f>
        <v/>
      </c>
      <c r="AIZ9" t="str">
        <f>IF(Guillotine!F16="SP55 Pearl White",1,"")</f>
        <v/>
      </c>
      <c r="AJA9" t="str">
        <f>IF(Guillotine!F16="SP55 Monument",1,"")</f>
        <v/>
      </c>
      <c r="AJB9" t="str">
        <f>IF(Guillotine!F16="SP55 Surfmist",1,"")</f>
        <v/>
      </c>
      <c r="AJC9" t="str">
        <f>IF(Guillotine!F16="SP55 Dune",1,"")</f>
        <v/>
      </c>
      <c r="AJD9" t="str">
        <f>IF(Guillotine!F16="SP55 Powdercoat",1,"")</f>
        <v/>
      </c>
      <c r="AJE9" t="str">
        <f>IF(Guillotine!F16="SP56 Apo Grey",1,"")</f>
        <v/>
      </c>
      <c r="AJF9" t="str">
        <f>IF(Guillotine!F16="SP56 White Birch",1,"")</f>
        <v/>
      </c>
      <c r="AJG9" t="str">
        <f>IF(Guillotine!F16="SP56 Black",1,"")</f>
        <v/>
      </c>
      <c r="AJH9" t="str">
        <f>IF(Guillotine!F16="SP56 Brown",1,"")</f>
        <v/>
      </c>
      <c r="AJI9" t="str">
        <f>IF(Guillotine!F16="SP56 Deep Ocean",1,"")</f>
        <v/>
      </c>
      <c r="AJJ9" t="str">
        <f>IF(Guillotine!F16="SP56 Jasper",1,"")</f>
        <v/>
      </c>
      <c r="AJK9" t="str">
        <f>IF(Guillotine!F16="SP56 Paperbark",1,"")</f>
        <v/>
      </c>
      <c r="AJL9" t="str">
        <f>IF(Guillotine!F16="SP56 Mist Green",1,"")</f>
        <v/>
      </c>
      <c r="AJM9" t="str">
        <f>IF(Guillotine!F16="SP56 Primrose",1,"")</f>
        <v/>
      </c>
      <c r="AJN9" t="str">
        <f>IF(Guillotine!F16="SP56 Ultra Silver",1,"")</f>
        <v/>
      </c>
      <c r="AJO9" t="str">
        <f>IF(Guillotine!F16="SP56 Woodland Grey(Green Tone)",1,"")</f>
        <v/>
      </c>
      <c r="AJP9" t="str">
        <f>IF(Guillotine!F16="SP56 Pearl White",1,"")</f>
        <v/>
      </c>
      <c r="AJQ9" t="str">
        <f>IF(Guillotine!F16="SP56 Monument",1,"")</f>
        <v/>
      </c>
      <c r="AJR9" t="str">
        <f>IF(Guillotine!F16="SP56 Surfmist",1,"")</f>
        <v/>
      </c>
      <c r="AJS9" t="str">
        <f>IF(Guillotine!F16="SP56 Dune",1,"")</f>
        <v/>
      </c>
      <c r="AJT9" t="str">
        <f>IF(Guillotine!F16="SP56 Powdercoat",1,"")</f>
        <v/>
      </c>
      <c r="AJU9" t="str">
        <f>IF(Guillotine!F16="SP65 Apo Grey",1,"")</f>
        <v/>
      </c>
      <c r="AJV9" t="str">
        <f>IF(Guillotine!F16="SP65 White Birch",1,"")</f>
        <v/>
      </c>
      <c r="AJW9" t="str">
        <f>IF(Guillotine!F16="SP65 Black",1,"")</f>
        <v/>
      </c>
      <c r="AJX9" t="str">
        <f>IF(Guillotine!F16="SP65 Brown",1,"")</f>
        <v/>
      </c>
      <c r="AJY9" t="str">
        <f>IF(Guillotine!F16="SP65 Deep Ocean",1,"")</f>
        <v/>
      </c>
      <c r="AJZ9" t="str">
        <f>IF(Guillotine!F16="SP65 Jasper",1,"")</f>
        <v/>
      </c>
      <c r="AKA9" t="str">
        <f>IF(Guillotine!F16="SP65 Paperbark",1,"")</f>
        <v/>
      </c>
      <c r="AKB9" t="str">
        <f>IF(Guillotine!F16="SP65 Mist Green",1,"")</f>
        <v/>
      </c>
      <c r="AKC9" t="str">
        <f>IF(Guillotine!F16="SP65 Primrose",1,"")</f>
        <v/>
      </c>
      <c r="AKD9" t="str">
        <f>IF(Guillotine!F16="SP65 Ultra Silver",1,"")</f>
        <v/>
      </c>
      <c r="AKE9" t="str">
        <f>IF(Guillotine!F16="SP65 Woodland Grey(Green Tone)",1,"")</f>
        <v/>
      </c>
      <c r="AKF9" t="str">
        <f>IF(Guillotine!F16="SP65 Pearl White",1,"")</f>
        <v/>
      </c>
      <c r="AKG9" t="str">
        <f>IF(Guillotine!F16="SP65 Monument",1,"")</f>
        <v/>
      </c>
      <c r="AKH9" t="str">
        <f>IF(Guillotine!F16="SP65 Surfmist",1,"")</f>
        <v/>
      </c>
      <c r="AKI9" t="str">
        <f>IF(Guillotine!F16="SP65 Dune",1,"")</f>
        <v/>
      </c>
      <c r="AKJ9" t="str">
        <f>IF(Guillotine!F16="SP65 Powdercoat",1,"")</f>
        <v/>
      </c>
      <c r="AKK9" t="str">
        <f>IF(Guillotine!F16="SP72 Apo Grey",1,"")</f>
        <v/>
      </c>
      <c r="AKL9" t="str">
        <f>IF(Guillotine!F16="SP72 White Birch",1,"")</f>
        <v/>
      </c>
      <c r="AKM9" t="str">
        <f>IF(Guillotine!F16="SP72 Black",1,"")</f>
        <v/>
      </c>
      <c r="AKN9" t="str">
        <f>IF(Guillotine!F16="SP72 Brown",1,"")</f>
        <v/>
      </c>
      <c r="AKO9" t="str">
        <f>IF(Guillotine!F16="SP72 Deep Ocean",1,"")</f>
        <v/>
      </c>
      <c r="AKP9" t="str">
        <f>IF(Guillotine!F16="SP72 Jasper",1,"")</f>
        <v/>
      </c>
      <c r="AKQ9" t="str">
        <f>IF(Guillotine!F16="SP72 Paperbark",1,"")</f>
        <v/>
      </c>
      <c r="AKR9" t="str">
        <f>IF(Guillotine!F16="SP72 Mist Green",1,"")</f>
        <v/>
      </c>
      <c r="AKS9" t="str">
        <f>IF(Guillotine!F16="SP72 Primrose",1,"")</f>
        <v/>
      </c>
      <c r="AKT9" t="str">
        <f>IF(Guillotine!F16="SP72 Ultra Silver",1,"")</f>
        <v/>
      </c>
      <c r="AKU9" t="str">
        <f>IF(Guillotine!F16="SP72 Woodland Grey(Green Tone)",1,"")</f>
        <v/>
      </c>
      <c r="AKV9" t="str">
        <f>IF(Guillotine!F16="SP72 Pearl White",1,"")</f>
        <v/>
      </c>
      <c r="AKW9" t="str">
        <f>IF(Guillotine!F16="SP72 Monument",1,"")</f>
        <v/>
      </c>
      <c r="AKX9" t="str">
        <f>IF(Guillotine!F16="SP72 Surfmist",1,"")</f>
        <v/>
      </c>
      <c r="AKY9" t="str">
        <f>IF(Guillotine!F16="SP72 Dune",1,"")</f>
        <v/>
      </c>
      <c r="AKZ9" t="str">
        <f>IF(Guillotine!F16="SP72 Powdercoat",1,"")</f>
        <v/>
      </c>
      <c r="ALA9" t="str">
        <f>IF(Guillotine!F16="SP74 Apo Grey",1,"")</f>
        <v/>
      </c>
      <c r="ALB9" t="str">
        <f>IF(Guillotine!F16="SP74 White Birch",1,"")</f>
        <v/>
      </c>
      <c r="ALC9" t="str">
        <f>IF(Guillotine!F16="SP74 Black",1,"")</f>
        <v/>
      </c>
      <c r="ALD9" t="str">
        <f>IF(Guillotine!F16="SP74 Brown",1,"")</f>
        <v/>
      </c>
      <c r="ALE9" t="str">
        <f>IF(Guillotine!F16="SP74 Deep Ocean",1,"")</f>
        <v/>
      </c>
      <c r="ALF9" t="str">
        <f>IF(Guillotine!F16="SP74 Jasper",1,"")</f>
        <v/>
      </c>
      <c r="ALG9" t="str">
        <f>IF(Guillotine!F16="SP74 Paperbark",1,"")</f>
        <v/>
      </c>
      <c r="ALH9" t="str">
        <f>IF(Guillotine!F16="SP74 Mist Green",1,"")</f>
        <v/>
      </c>
      <c r="ALI9" t="str">
        <f>IF(Guillotine!F16="SP74 Primrose",1,"")</f>
        <v/>
      </c>
      <c r="ALJ9" t="str">
        <f>IF(Guillotine!F16="SP74 Ultra Silver",1,"")</f>
        <v/>
      </c>
      <c r="ALK9" t="str">
        <f>IF(Guillotine!F16="SP74 Woodland Grey(Green Tone)",1,"")</f>
        <v/>
      </c>
      <c r="ALL9" t="str">
        <f>IF(Guillotine!F16="SP74 Pearl White",1,"")</f>
        <v/>
      </c>
      <c r="ALM9" t="str">
        <f>IF(Guillotine!F16="SP74 Monument",1,"")</f>
        <v/>
      </c>
      <c r="ALN9" t="str">
        <f>IF(Guillotine!F16="SP74 Surfmist",1,"")</f>
        <v/>
      </c>
      <c r="ALO9" t="str">
        <f>IF(Guillotine!F16="SP74 Dune",1,"")</f>
        <v/>
      </c>
      <c r="ALP9" t="str">
        <f>IF(Guillotine!F16="SP74 Powdercoat",1,"")</f>
        <v/>
      </c>
      <c r="ALQ9" t="str">
        <f>IF(Guillotine!F16="SP78 Apo Grey",1,"")</f>
        <v/>
      </c>
      <c r="ALR9" t="str">
        <f>IF(Guillotine!F16="SP78 White Birch",1,"")</f>
        <v/>
      </c>
      <c r="ALS9" t="str">
        <f>IF(Guillotine!F16="SP78 Black",1,"")</f>
        <v/>
      </c>
      <c r="ALT9" t="str">
        <f>IF(Guillotine!F16="SP78 Brown",1,"")</f>
        <v/>
      </c>
      <c r="ALU9" t="str">
        <f>IF(Guillotine!F16="SP78 Deep Ocean",1,"")</f>
        <v/>
      </c>
      <c r="ALV9" t="str">
        <f>IF(Guillotine!F16="SP78 Jasper",1,"")</f>
        <v/>
      </c>
      <c r="ALW9" t="str">
        <f>IF(Guillotine!F16="SP78 Paperbark",1,"")</f>
        <v/>
      </c>
      <c r="ALX9" t="str">
        <f>IF(Guillotine!F16="SP78 Mist Green",1,"")</f>
        <v/>
      </c>
      <c r="ALY9" t="str">
        <f>IF(Guillotine!F16="SP78 Primrose",1,"")</f>
        <v/>
      </c>
      <c r="ALZ9" t="str">
        <f>IF(Guillotine!F16="SP78 Ultra Silver",1,"")</f>
        <v/>
      </c>
      <c r="AMA9" t="str">
        <f>IF(Guillotine!F16="SP78 Woodland Grey(Green Tone)",1,"")</f>
        <v/>
      </c>
      <c r="AMB9" t="str">
        <f>IF(Guillotine!F16="SP78 Pearl White",1,"")</f>
        <v/>
      </c>
      <c r="AMC9" t="str">
        <f>IF(Guillotine!F16="SP78 Monument",1,"")</f>
        <v/>
      </c>
      <c r="AMD9" t="str">
        <f>IF(Guillotine!F16="SP78 Surfmist",1,"")</f>
        <v/>
      </c>
      <c r="AME9" t="str">
        <f>IF(Guillotine!F16="SP78 Dune",1,"")</f>
        <v/>
      </c>
      <c r="AMF9" t="str">
        <f>IF(Guillotine!F16="SP78 Powdercoat",1,"")</f>
        <v/>
      </c>
    </row>
    <row r="10" spans="4:1020" ht="13.2" customHeight="1">
      <c r="D10" t="str">
        <f>IF(Data!AV16="","",CONCATENATE(Data!BC$5,".",Data!BD$5))</f>
        <v/>
      </c>
      <c r="E10" t="str">
        <f>IF(D10="","",Data!AW16)</f>
        <v/>
      </c>
      <c r="F10" t="str">
        <f>IF(D10="","",Data!AV16)</f>
        <v/>
      </c>
      <c r="G10" t="str">
        <f t="shared" si="1"/>
        <v/>
      </c>
      <c r="H10" t="str">
        <f>IF(D10="","",Data!BF$5)</f>
        <v/>
      </c>
      <c r="I10" t="str">
        <f>IF(D10="","",Data!AX$5)</f>
        <v/>
      </c>
      <c r="J10" s="73" t="str">
        <f>IF(AND('Mitred Cutting'!C16="Standard",'Mitred Cutting'!D16="APO Grey"),(('Job Sheet'!BH16+'Job Sheet'!BI16)*2),"")</f>
        <v/>
      </c>
      <c r="K10" s="73" t="str">
        <f>IF(AND('Mitred Cutting'!C16="Standard",'Mitred Cutting'!D16="White Birch"),(('Job Sheet'!BH16+'Job Sheet'!BI16)*2),"")</f>
        <v/>
      </c>
      <c r="L10" s="73" t="str">
        <f>IF(AND('Mitred Cutting'!C16="Standard",'Mitred Cutting'!D16="Black"),(('Job Sheet'!BH16+'Job Sheet'!BI16)*2),"")</f>
        <v/>
      </c>
      <c r="M10" s="73" t="str">
        <f>IF(AND('Mitred Cutting'!C16="Standard",'Mitred Cutting'!D16="Brown"),(('Job Sheet'!BH16+'Job Sheet'!BI16)*2),"")</f>
        <v/>
      </c>
      <c r="N10" s="73" t="str">
        <f>IF(AND('Mitred Cutting'!C16="Standard",'Mitred Cutting'!D16="Deep Ocean"),(('Job Sheet'!BH16+'Job Sheet'!BI16)*2),"")</f>
        <v/>
      </c>
      <c r="O10" s="73" t="str">
        <f>IF(AND('Mitred Cutting'!C16="Standard",'Mitred Cutting'!D16="Jasper"),(('Job Sheet'!BH16+'Job Sheet'!BI16)*2),"")</f>
        <v/>
      </c>
      <c r="P10" s="73" t="str">
        <f>IF(AND('Mitred Cutting'!C16="Standard",'Mitred Cutting'!D16="Paperbark"),(('Job Sheet'!BH16+'Job Sheet'!BI16)*2),"")</f>
        <v/>
      </c>
      <c r="Q10" s="73" t="str">
        <f>IF(AND('Mitred Cutting'!C16="Standard",'Mitred Cutting'!D16="Mist Green"),(('Job Sheet'!BH16+'Job Sheet'!BI16)*2),"")</f>
        <v/>
      </c>
      <c r="R10" s="73" t="str">
        <f>IF(AND('Mitred Cutting'!C16="Standard",'Mitred Cutting'!D16="Primrose"),(('Job Sheet'!BH16+'Job Sheet'!BI16)*2),"")</f>
        <v/>
      </c>
      <c r="S10" s="73" t="str">
        <f>IF(AND('Mitred Cutting'!C16="Standard",'Mitred Cutting'!D16="Ultra Silver"),(('Job Sheet'!BH16+'Job Sheet'!BI16)*2),"")</f>
        <v/>
      </c>
      <c r="T10" s="73" t="str">
        <f>IF(AND('Mitred Cutting'!C16="Standard",'Mitred Cutting'!D16="Woodland Grey(Green Tone)"),(('Job Sheet'!BH16+'Job Sheet'!BI16)*2),"")</f>
        <v/>
      </c>
      <c r="U10" s="73" t="str">
        <f>IF(AND('Mitred Cutting'!C16="Standard",'Mitred Cutting'!D16="Pearl White"),(('Job Sheet'!BH16+'Job Sheet'!BI16)*2),"")</f>
        <v/>
      </c>
      <c r="V10" s="73" t="str">
        <f>IF(AND('Mitred Cutting'!C16="Standard",'Mitred Cutting'!D16="Monument"),(('Job Sheet'!BH16+'Job Sheet'!BI16)*2),"")</f>
        <v/>
      </c>
      <c r="W10" s="73" t="str">
        <f>IF(AND('Mitred Cutting'!C16="Standard",'Mitred Cutting'!D16="Surfmist"),(('Job Sheet'!BH16+'Job Sheet'!BI16)*2),"")</f>
        <v/>
      </c>
      <c r="X10" s="73" t="str">
        <f>IF(AND('Mitred Cutting'!C16="Standard",'Mitred Cutting'!D16="Dune"),(('Job Sheet'!BH16+'Job Sheet'!BI16)*2),"")</f>
        <v/>
      </c>
      <c r="Y10" s="73" t="str">
        <f>IF(AND('Mitred Cutting'!C16="Standard",'Job Sheet'!AA16="Woodland Grey (Dulux)"),(('Job Sheet'!BH16+'Job Sheet'!BI16)*2),"")</f>
        <v/>
      </c>
      <c r="Z10" s="73" t="str">
        <f>IF(AND('Mitred Cutting'!C16="Standard",Data!BP16="Powdercoat",'Job Sheet'!AA16&lt;&gt;"Woodland Grey (Dulux)"),(('Job Sheet'!BH16+'Job Sheet'!BI16)*2),"")</f>
        <v/>
      </c>
      <c r="AA10" s="73" t="str">
        <f>IF(AND('Mitred Cutting'!C16="Invisi-Gard",'Mitred Cutting'!D16="APO Grey"),(('Job Sheet'!BH16+'Job Sheet'!BI16)*2),"")</f>
        <v/>
      </c>
      <c r="AB10" s="73" t="str">
        <f>IF(AND('Mitred Cutting'!C16="Invisi-Gard",'Mitred Cutting'!D16="White Birch"),(('Job Sheet'!BH16+'Job Sheet'!BI16)*2),"")</f>
        <v/>
      </c>
      <c r="AC10" s="73" t="str">
        <f>IF(AND('Mitred Cutting'!C16="Invisi-Gard",'Mitred Cutting'!D16="Black"),(('Job Sheet'!BH16+'Job Sheet'!BI16)*2),"")</f>
        <v/>
      </c>
      <c r="AD10" s="73" t="str">
        <f>IF(AND('Mitred Cutting'!C16="Invisi-Gard",'Mitred Cutting'!D16="Brown"),(('Job Sheet'!BH16+'Job Sheet'!BI16)*2),"")</f>
        <v/>
      </c>
      <c r="AE10" s="73" t="str">
        <f>IF(AND('Mitred Cutting'!C16="Invisi-Gard",'Mitred Cutting'!D16="Deep Ocean"),(('Job Sheet'!BH16+'Job Sheet'!BI16)*2),"")</f>
        <v/>
      </c>
      <c r="AF10" s="73" t="str">
        <f>IF(AND('Mitred Cutting'!C16="Invisi-Gard",'Mitred Cutting'!D16="Jasper"),(('Job Sheet'!BH16+'Job Sheet'!BI16)*2),"")</f>
        <v/>
      </c>
      <c r="AG10" s="73" t="str">
        <f>IF(AND('Mitred Cutting'!C16="Invisi-Gard",'Mitred Cutting'!D16="Paperbark"),(('Job Sheet'!BH16+'Job Sheet'!BI16)*2),"")</f>
        <v/>
      </c>
      <c r="AH10" s="73" t="str">
        <f>IF(AND('Mitred Cutting'!C16="Invisi-Gard",'Mitred Cutting'!D16="Mist Green"),(('Job Sheet'!BH16+'Job Sheet'!BI16)*2),"")</f>
        <v/>
      </c>
      <c r="AI10" s="73" t="str">
        <f>IF(AND('Mitred Cutting'!C16="Invisi-Gard",'Mitred Cutting'!D16="Primrose"),(('Job Sheet'!BH16+'Job Sheet'!BI16)*2),"")</f>
        <v/>
      </c>
      <c r="AJ10" s="73" t="str">
        <f>IF(AND('Mitred Cutting'!C16="Invisi-Gard",'Mitred Cutting'!D16="Ultra Silver"),(('Job Sheet'!BH16+'Job Sheet'!BI16)*2),"")</f>
        <v/>
      </c>
      <c r="AK10" s="73" t="str">
        <f>IF(AND('Mitred Cutting'!C16="Invisi-Gard",'Mitred Cutting'!D16="Woodland Grey(Green Tone)"),(('Job Sheet'!BH16+'Job Sheet'!BI16)*2),"")</f>
        <v/>
      </c>
      <c r="AL10" s="73" t="str">
        <f>IF(AND('Mitred Cutting'!C16="Invisi-Gard",'Mitred Cutting'!D16="Pearl White"),(('Job Sheet'!BH16+'Job Sheet'!BI16)*2),"")</f>
        <v/>
      </c>
      <c r="AM10" s="73" t="str">
        <f>IF(AND('Mitred Cutting'!C16="Invisi-Gard",'Mitred Cutting'!D16="Monument"),(('Job Sheet'!BH16+'Job Sheet'!BI16)*2),"")</f>
        <v/>
      </c>
      <c r="AN10" s="73" t="str">
        <f>IF(AND('Mitred Cutting'!C16="Invisi-Gard",'Mitred Cutting'!D16="Surfmist"),(('Job Sheet'!BH16+'Job Sheet'!BI16)*2),"")</f>
        <v/>
      </c>
      <c r="AO10" s="73" t="str">
        <f>IF(AND('Mitred Cutting'!C16="Invisi-Gard",'Mitred Cutting'!D16="Dune"),(('Job Sheet'!BH16+'Job Sheet'!BI16)*2),"")</f>
        <v/>
      </c>
      <c r="AP10" s="73" t="str">
        <f>IF(AND('Mitred Cutting'!C16="Invisi-Gard",'Job Sheet'!AA16="Woodland Grey (Dulux)"),(('Job Sheet'!BH16+'Job Sheet'!BI16)*2),"")</f>
        <v/>
      </c>
      <c r="AQ10" s="73" t="str">
        <f>IF(AND('Mitred Cutting'!C16="Invisi-Gard",Data!BP16="Powdercoat",'Job Sheet'!AA16&lt;&gt;"Woodland Grey (Dulux)"),(('Job Sheet'!BH16+'Job Sheet'!BI16)*2),"")</f>
        <v/>
      </c>
      <c r="BZ10" s="73"/>
      <c r="CA10" s="73"/>
      <c r="CB10" s="73"/>
      <c r="CC10" s="73"/>
      <c r="CD10" s="73"/>
      <c r="CE10" s="73"/>
      <c r="CF10" s="73"/>
      <c r="CG10" s="73"/>
      <c r="CH10" s="73"/>
      <c r="CI10" s="73"/>
      <c r="CJ10" s="73"/>
      <c r="CK10" s="73"/>
      <c r="CL10" s="73"/>
      <c r="CM10" s="73"/>
      <c r="CN10" s="73"/>
      <c r="CO10" s="73"/>
      <c r="CP10" s="73"/>
      <c r="CQ10" s="73" t="str">
        <f>IF(D10="","",IF(AND('Job Sheet'!AO16="Yes",'Mitred Cutting'!I16="Short Leg Left, Right and Top",'Mitred Cutting'!J16="APO Grey"),(('Job Sheet'!E16*2+60)+'Job Sheet'!AP16+60),IF(AND('Mitred Cutting'!I16="Short Leg 1 Side",'Mitred Cutting'!J16="APO Grey"),'Job Sheet'!E16+30,IF(AND('Mitred Cutting'!I16="Short Leg Left, Right and Top",'Mitred Cutting'!J16="APO Grey"),(('Job Sheet'!E16*2+60)+'Job Sheet'!D16+60),""))))</f>
        <v/>
      </c>
      <c r="CR10" s="73" t="str">
        <f>IF(D10="","",IF(AND('Job Sheet'!AO16="Yes",'Mitred Cutting'!I16="Short Leg Left, Right and Top",'Mitred Cutting'!J16="White Birch"),(('Job Sheet'!E16*2+60)+'Job Sheet'!AP16+60),IF(AND('Mitred Cutting'!I16="Short Leg 1 Side",'Mitred Cutting'!J16="White Birch"),'Job Sheet'!E16+30,IF(AND('Mitred Cutting'!I16="Short Leg Left, Right and Top",'Mitred Cutting'!J16="White Birch"),(('Job Sheet'!E16*2+60)+'Job Sheet'!D16+60),""))))</f>
        <v/>
      </c>
      <c r="CS10" s="73" t="str">
        <f>IF(D10="","",IF(AND('Job Sheet'!AO16="Yes",'Mitred Cutting'!I16="Short Leg Left, Right and Top",'Mitred Cutting'!J16="Black"),(('Job Sheet'!E16*2+60)+'Job Sheet'!AP16+60),IF(AND('Mitred Cutting'!I16="Short Leg 1 Side",'Mitred Cutting'!J16="Black"),'Job Sheet'!E16+30,IF(AND('Mitred Cutting'!I16="Short Leg Left, Right and Top",'Mitred Cutting'!J16="Black"),(('Job Sheet'!E16*2+60)+'Job Sheet'!D16+60),""))))</f>
        <v/>
      </c>
      <c r="CT10" s="73" t="str">
        <f>IF(D10="","",IF(AND('Job Sheet'!AO16="Yes",'Mitred Cutting'!I16="Short Leg Left, Right and Top",'Mitred Cutting'!J16="Brown"),(('Job Sheet'!E16*2+60)+'Job Sheet'!AP16+60),IF(AND('Mitred Cutting'!I16="Short Leg 1 Side",'Mitred Cutting'!J16="Brown"),'Job Sheet'!E16+30,IF(AND('Mitred Cutting'!I16="Short Leg Left, Right and Top",'Mitred Cutting'!J16="Brown"),(('Job Sheet'!E16*2+60)+'Job Sheet'!D16+60),""))))</f>
        <v/>
      </c>
      <c r="CU10" s="73" t="str">
        <f>IF(D10="","",IF(AND('Job Sheet'!AO16="Yes",'Mitred Cutting'!I16="Short Leg Left, Right and Top",'Mitred Cutting'!J16="Deep Ocean"),(('Job Sheet'!E16*2+60)+'Job Sheet'!AP16+60),IF(AND('Mitred Cutting'!I16="Short Leg 1 Side",'Mitred Cutting'!J16="Deep Ocean"),'Job Sheet'!E16+30,IF(AND('Mitred Cutting'!I16="Short Leg Left, Right and Top",'Mitred Cutting'!J16="Deep Ocean"),(('Job Sheet'!E16*2+60)+'Job Sheet'!D16+60),""))))</f>
        <v/>
      </c>
      <c r="CV10" s="73" t="str">
        <f>IF(D10="","",IF(AND('Job Sheet'!AO16="Yes",'Mitred Cutting'!I16="Short Leg Left, Right and Top",'Mitred Cutting'!J16="Jasper"),(('Job Sheet'!E16*2+60)+'Job Sheet'!AP16+60),IF(AND('Mitred Cutting'!I16="Short Leg 1 Side",'Mitred Cutting'!J16="Jasper"),'Job Sheet'!E16+30,IF(AND('Mitred Cutting'!I16="Short Leg Left, Right and Top",'Mitred Cutting'!J16="Jasper"),(('Job Sheet'!E16*2+60)+'Job Sheet'!D16+60),""))))</f>
        <v/>
      </c>
      <c r="CW10" s="73" t="str">
        <f>IF(D10="","",IF(AND('Job Sheet'!AO16="Yes",'Mitred Cutting'!I16="Short Leg Left, Right and Top",'Mitred Cutting'!J16="Paperbark"),(('Job Sheet'!E16*2+60)+'Job Sheet'!AP16+60),IF(AND('Mitred Cutting'!I16="Short Leg 1 Side",'Mitred Cutting'!J16="Paperbark"),'Job Sheet'!E16+30,IF(AND('Mitred Cutting'!I16="Short Leg Left, Right and Top",'Mitred Cutting'!J16="Paperbark"),(('Job Sheet'!E16*2+60)+'Job Sheet'!D16+60),""))))</f>
        <v/>
      </c>
      <c r="CX10" s="73" t="str">
        <f>IF(D10="","",IF(AND('Job Sheet'!AO16="Yes",'Mitred Cutting'!I16="Short Leg Left, Right and Top",'Mitred Cutting'!J16="Mist Green"),(('Job Sheet'!E16*2+60)+'Job Sheet'!AP16+60),IF(AND('Mitred Cutting'!I16="Short Leg 1 Side",'Mitred Cutting'!J16="Mist Green"),'Job Sheet'!E16+30,IF(AND('Mitred Cutting'!I16="Short Leg Left, Right and Top",'Mitred Cutting'!J16="Mist Green"),(('Job Sheet'!E16*2+60)+'Job Sheet'!D16+60),""))))</f>
        <v/>
      </c>
      <c r="CY10" s="73" t="str">
        <f>IF(D10="","",IF(AND('Job Sheet'!AO16="Yes",'Mitred Cutting'!I16="Short Leg Left, Right and Top",'Mitred Cutting'!J16="Primrose"),(('Job Sheet'!E16*2+60)+'Job Sheet'!AP16+60),IF(AND('Mitred Cutting'!I16="Short Leg 1 Side",'Mitred Cutting'!J16="Primrose"),'Job Sheet'!E16+30,IF(AND('Mitred Cutting'!I16="Short Leg Left, Right and Top",'Mitred Cutting'!J16="Primrose"),(('Job Sheet'!E16*2+60)+'Job Sheet'!D16+60),""))))</f>
        <v/>
      </c>
      <c r="CZ10" s="73" t="str">
        <f>IF(D10="","",IF(AND('Job Sheet'!AO16="Yes",'Mitred Cutting'!I16="Short Leg Left, Right and Top",'Mitred Cutting'!J16="Ultra Silver"),(('Job Sheet'!E16*2+60)+'Job Sheet'!AP16+60),IF(AND('Mitred Cutting'!I16="Short Leg 1 Side",'Mitred Cutting'!J16="Ultra Silver"),'Job Sheet'!E16+30,IF(AND('Mitred Cutting'!I16="Short Leg Left, Right and Top",'Mitred Cutting'!J16="Ultra Silver"),(('Job Sheet'!E16*2+60)+'Job Sheet'!D16+60),""))))</f>
        <v/>
      </c>
      <c r="DA10" s="73" t="str">
        <f>IF(D10="","",IF(AND('Job Sheet'!AO16="Yes",'Mitred Cutting'!I16="Short Leg Left, Right and Top",'Mitred Cutting'!J16="Woodland Grey(Green Tone)"),(('Job Sheet'!E16*2+60)+'Job Sheet'!AP16+60),IF(AND('Mitred Cutting'!I16="Short Leg 1 Side",'Mitred Cutting'!J16="Woodland Grey(Green Tone)"),'Job Sheet'!E16+30,IF(AND('Mitred Cutting'!I16="Short Leg Left, Right and Top",'Mitred Cutting'!J16="Woodland Grey(Green Tone)"),(('Job Sheet'!E16*2+60)+'Job Sheet'!D16+60),""))))</f>
        <v/>
      </c>
      <c r="DB10" s="73" t="str">
        <f>IF(D10="","",IF(AND('Job Sheet'!AO16="Yes",'Mitred Cutting'!I16="Short Leg Left, Right and Top",'Mitred Cutting'!J16="Pearl White"),(('Job Sheet'!E16*2+60)+'Job Sheet'!AP16+60),IF(AND('Mitred Cutting'!I16="Short Leg 1 Side",'Mitred Cutting'!J16="Pearl White"),'Job Sheet'!E16+30,IF(AND('Mitred Cutting'!I16="Short Leg Left, Right and Top",'Mitred Cutting'!J16="Pearl White"),(('Job Sheet'!E16*2+60)+'Job Sheet'!D16+60),""))))</f>
        <v/>
      </c>
      <c r="DC10" s="73" t="str">
        <f>IF(D10="","",IF(AND('Job Sheet'!AO16="Yes",'Mitred Cutting'!I16="Short Leg Left, Right and Top",'Mitred Cutting'!J16="Monument"),(('Job Sheet'!E16*2+60)+'Job Sheet'!AP16+60),IF(AND('Mitred Cutting'!I16="Short Leg 1 Side",'Mitred Cutting'!J16="Monument"),'Job Sheet'!E16+30,IF(AND('Mitred Cutting'!I16="Short Leg Left, Right and Top",'Mitred Cutting'!J16="Monument"),(('Job Sheet'!E16*2+60)+'Job Sheet'!D16+60),""))))</f>
        <v/>
      </c>
      <c r="DD10" s="73" t="str">
        <f>IF(D10="","",IF(AND('Job Sheet'!AO16="Yes",'Mitred Cutting'!I16="Short Leg Left, Right and Top",'Mitred Cutting'!J16="Surfmist"),(('Job Sheet'!E16*2+60)+'Job Sheet'!AP16+60),IF(AND('Mitred Cutting'!I16="Short Leg 1 Side",'Mitred Cutting'!J16="Surfmist"),'Job Sheet'!E16+30,IF(AND('Mitred Cutting'!I16="Short Leg Left, Right and Top",'Mitred Cutting'!J16="Surfmist"),(('Job Sheet'!E16*2+60)+'Job Sheet'!D16+60),""))))</f>
        <v/>
      </c>
      <c r="DE10" s="73" t="str">
        <f>IF(D10="","",IF(AND('Job Sheet'!AO16="Yes",'Mitred Cutting'!I16="Short Leg Left, Right and Top",'Mitred Cutting'!J16="Dune"),(('Job Sheet'!E16*2+60)+'Job Sheet'!AP16+60),IF(AND('Mitred Cutting'!I16="Short Leg 1 Side",'Mitred Cutting'!J16="Dune"),'Job Sheet'!E16+30,IF(AND('Mitred Cutting'!I16="Short Leg Left, Right and Top",'Mitred Cutting'!J16="Dune"),(('Job Sheet'!E16*2+60)+'Job Sheet'!D16+60),""))))</f>
        <v/>
      </c>
      <c r="DG10" s="73" t="str">
        <f>IF(D10="","",IF(AND('Job Sheet'!AO16="Yes",'Mitred Cutting'!I16="Short Leg Left, Right and Top",Data!BP16="Powdercoat"),(('Job Sheet'!E16*2+60)+'Job Sheet'!AP16+60),IF(AND('Mitred Cutting'!I16="Short Leg 1 Side",Data!BP16="Powdercoat"),'Job Sheet'!E16+30,IF(AND('Mitred Cutting'!I16="Short Leg Left, Right and Top",Data!BP16="Powdercoat"),(('Job Sheet'!E16*2+60)+'Job Sheet'!D16+60),""))))</f>
        <v/>
      </c>
      <c r="DH10" s="73" t="str">
        <f>IF(D10="","",IF(AND('Job Sheet'!AO16="Yes",'Mitred Cutting'!I16="Long Leg Left, Right and Top",'Mitred Cutting'!J16="APO Grey"),(('Job Sheet'!E16*2+60)+'Job Sheet'!AP16+60),IF(AND('Mitred Cutting'!I16="Long Leg 1 Side",'Mitred Cutting'!J16="APO Grey"),'Job Sheet'!E16+30,IF(AND('Mitred Cutting'!I16="Long Leg Left, Right and Top",'Mitred Cutting'!J16="APO Grey"),(('Job Sheet'!E16*2+60)+'Job Sheet'!D16+60),""))))</f>
        <v/>
      </c>
      <c r="DI10" s="73" t="str">
        <f>IF(D10="","",IF(AND('Job Sheet'!AO16="Yes",'Mitred Cutting'!I16="Long Leg Left, Right and Top",'Mitred Cutting'!J16="White Birch"),(('Job Sheet'!E16*2+60)+'Job Sheet'!AP16+60),IF(AND('Mitred Cutting'!I16="Long Leg 1 Side",'Mitred Cutting'!J16="White Birch"),'Job Sheet'!E16+30,IF(AND('Mitred Cutting'!I16="Long Leg Left, Right and Top",'Mitred Cutting'!J16="White Birch"),(('Job Sheet'!E16*2+60)+'Job Sheet'!D16+60),""))))</f>
        <v/>
      </c>
      <c r="DJ10" s="73" t="str">
        <f>IF(D10="","",IF(AND('Job Sheet'!AO16="Yes",'Mitred Cutting'!I16="Long Leg Left, Right and Top",'Mitred Cutting'!J16="Black"),(('Job Sheet'!E16*2+60)+'Job Sheet'!AP16+60),IF(AND('Mitred Cutting'!I16="Long Leg 1 Side",'Mitred Cutting'!J16="Black"),'Job Sheet'!E16+30,IF(AND('Mitred Cutting'!I16="Long Leg Left, Right and Top",'Mitred Cutting'!J16="Black"),(('Job Sheet'!E16*2+60)+'Job Sheet'!D16+60),""))))</f>
        <v/>
      </c>
      <c r="DK10" s="73" t="str">
        <f>IF(D10="","",IF(AND('Job Sheet'!AO16="Yes",'Mitred Cutting'!I16="Long Leg Left, Right and Top",'Mitred Cutting'!J16="Brown"),(('Job Sheet'!E16*2+60)+'Job Sheet'!AP16+60),IF(AND('Mitred Cutting'!I16="Long Leg 1 Side",'Mitred Cutting'!J16="Brown"),'Job Sheet'!E16+30,IF(AND('Mitred Cutting'!I16="Long Leg Left, Right and Top",'Mitred Cutting'!J16="Brown"),(('Job Sheet'!E16*2+60)+'Job Sheet'!D16+60),""))))</f>
        <v/>
      </c>
      <c r="DL10" s="73" t="str">
        <f>IF(D10="","",IF(AND('Job Sheet'!AO16="Yes",'Mitred Cutting'!I16="Long Leg Left, Right and Top",'Mitred Cutting'!J16="Deep Ocean"),(('Job Sheet'!E16*2+60)+'Job Sheet'!AP16+60),IF(AND('Mitred Cutting'!I16="Long Leg 1 Side",'Mitred Cutting'!J16="Deep Ocean"),'Job Sheet'!E16+30,IF(AND('Mitred Cutting'!I16="Long Leg Left, Right and Top",'Mitred Cutting'!J16="Deep Ocean"),(('Job Sheet'!E16*2+60)+'Job Sheet'!D16+60),""))))</f>
        <v/>
      </c>
      <c r="DM10" s="73" t="str">
        <f>IF(D10="","",IF(AND('Job Sheet'!AO16="Yes",'Mitred Cutting'!I16="Long Leg Left, Right and Top",'Mitred Cutting'!J16="Jasper"),(('Job Sheet'!E16*2+60)+'Job Sheet'!AP16+60),IF(AND('Mitred Cutting'!I16="Long Leg 1 Side",'Mitred Cutting'!J16="Jasper"),'Job Sheet'!E16+30,IF(AND('Mitred Cutting'!I16="Long Leg Left, Right and Top",'Mitred Cutting'!J16="Jasper"),(('Job Sheet'!E16*2+60)+'Job Sheet'!D16+60),""))))</f>
        <v/>
      </c>
      <c r="DN10" s="73" t="str">
        <f>IF(D10="","",IF(AND('Job Sheet'!AO16="Yes",'Mitred Cutting'!I16="Long Leg Left, Right and Top",'Mitred Cutting'!J16="Paperbark"),(('Job Sheet'!E16*2+60)+'Job Sheet'!AP16+60),IF(AND('Mitred Cutting'!I16="Long Leg 1 Side",'Mitred Cutting'!J16="Paperbark"),'Job Sheet'!E16+30,IF(AND('Mitred Cutting'!I16="Long Leg Left, Right and Top",'Mitred Cutting'!J16="Paperbark"),(('Job Sheet'!E16*2+60)+'Job Sheet'!D16+60),""))))</f>
        <v/>
      </c>
      <c r="DO10" s="73" t="str">
        <f>IF(D10="","",IF(AND('Job Sheet'!AO16="Yes",'Mitred Cutting'!I16="Long Leg Left, Right and Top",'Mitred Cutting'!J16="Mist Green"),(('Job Sheet'!E16*2+60)+'Job Sheet'!AP16+60),IF(AND('Mitred Cutting'!I16="Long Leg 1 Side",'Mitred Cutting'!J16="Mist Green"),'Job Sheet'!E16+30,IF(AND('Mitred Cutting'!I16="Long Leg Left, Right and Top",'Mitred Cutting'!J16="Mist Green"),(('Job Sheet'!E16*2+60)+'Job Sheet'!D16+60),""))))</f>
        <v/>
      </c>
      <c r="DP10" s="73" t="str">
        <f>IF(D10="","",IF(AND('Job Sheet'!AO16="Yes",'Mitred Cutting'!I16="Long Leg Left, Right and Top",'Mitred Cutting'!J16="Primrose"),(('Job Sheet'!E16*2+60)+'Job Sheet'!AP16+60),IF(AND('Mitred Cutting'!I16="Long Leg 1 Side",'Mitred Cutting'!J16="Primrose"),'Job Sheet'!E16+30,IF(AND('Mitred Cutting'!I16="Long Leg Left, Right and Top",'Mitred Cutting'!J16="Primrose"),(('Job Sheet'!E16*2+60)+'Job Sheet'!D16+60),""))))</f>
        <v/>
      </c>
      <c r="DQ10" s="73" t="str">
        <f>IF(D10="","",IF(AND('Job Sheet'!AO16="Yes",'Mitred Cutting'!I16="Long Leg Left, Right and Top",'Mitred Cutting'!J16="Ultra Silver"),(('Job Sheet'!E16*2+60)+'Job Sheet'!AP16+60),IF(AND('Mitred Cutting'!I16="Long Leg 1 Side",'Mitred Cutting'!J16="Ultra Silver"),'Job Sheet'!E16+30,IF(AND('Mitred Cutting'!I16="Long Leg Left, Right and Top",'Mitred Cutting'!J16="Ultra Silver"),(('Job Sheet'!E16*2+60)+'Job Sheet'!D16+60),""))))</f>
        <v/>
      </c>
      <c r="DR10" s="73" t="str">
        <f>IF(D10="","",IF(AND('Job Sheet'!AO16="Yes",'Mitred Cutting'!I16="Long Leg Left, Right and Top",'Mitred Cutting'!J16="Woodland Grey(Green Tone)"),(('Job Sheet'!E16*2+60)+'Job Sheet'!AP16+60),IF(AND('Mitred Cutting'!I16="Long Leg 1 Side",'Mitred Cutting'!J16="Woodland Grey(Green Tone)"),'Job Sheet'!E16+30,IF(AND('Mitred Cutting'!I16="Long Leg Left, Right and Top",'Mitred Cutting'!J16="Woodland Grey(Green Tone)"),(('Job Sheet'!E16*2+60)+'Job Sheet'!D16+60),""))))</f>
        <v/>
      </c>
      <c r="DS10" s="73" t="str">
        <f>IF(D10="","",IF(AND('Job Sheet'!AO16="Yes",'Mitred Cutting'!I16="Long Leg Left, Right and Top",'Mitred Cutting'!J16="Pearl White"),(('Job Sheet'!E16*2+60)+'Job Sheet'!AP16+60),IF(AND('Mitred Cutting'!I16="Long Leg 1 Side",'Mitred Cutting'!J16="Pearl White"),'Job Sheet'!E16+30,IF(AND('Mitred Cutting'!I16="Long Leg Left, Right and Top",'Mitred Cutting'!J16="Pearl White"),(('Job Sheet'!E16*2+60)+'Job Sheet'!D16+60),""))))</f>
        <v/>
      </c>
      <c r="DT10" s="73" t="str">
        <f>IF(D10="","",IF(AND('Job Sheet'!AO16="Yes",'Mitred Cutting'!I16="Long Leg Left, Right and Top",'Mitred Cutting'!J16="Monument"),(('Job Sheet'!E16*2+60)+'Job Sheet'!AP16+60),IF(AND('Mitred Cutting'!I16="Long Leg 1 Side",'Mitred Cutting'!J16="Monument"),'Job Sheet'!E16+30,IF(AND('Mitred Cutting'!I16="Long Leg Left, Right and Top",'Mitred Cutting'!J16="Monument"),(('Job Sheet'!E16*2+60)+'Job Sheet'!D16+60),""))))</f>
        <v/>
      </c>
      <c r="DU10" s="73" t="str">
        <f>IF(D10="","",IF(AND('Job Sheet'!AO16="Yes",'Mitred Cutting'!I16="Long Leg Left, Right and Top",'Mitred Cutting'!J16="Surfmist"),(('Job Sheet'!E16*2+60)+'Job Sheet'!AP16+60),IF(AND('Mitred Cutting'!I16="Long Leg 1 Side",'Mitred Cutting'!J16="Surfmist"),'Job Sheet'!E16+30,IF(AND('Mitred Cutting'!I16="Long Leg Left, Right and Top",'Mitred Cutting'!J16="Surfmist"),(('Job Sheet'!E16*2+60)+'Job Sheet'!D16+60),""))))</f>
        <v/>
      </c>
      <c r="DV10" s="73" t="str">
        <f>IF(D10="","",IF(AND('Job Sheet'!AO16="Yes",'Mitred Cutting'!I16="Long Leg Left, Right and Top",'Mitred Cutting'!J16="Dune"),(('Job Sheet'!E16*2+60)+'Job Sheet'!AP16+60),IF(AND('Mitred Cutting'!I16="Long Leg 1 Side",'Mitred Cutting'!J16="Dune"),'Job Sheet'!E16+30,IF(AND('Mitred Cutting'!I16="Long Leg Left, Right and Top",'Mitred Cutting'!J16="Dune"),(('Job Sheet'!E16*2+60)+'Job Sheet'!D16+60),""))))</f>
        <v/>
      </c>
      <c r="DX10" s="73" t="str">
        <f>IF(D10="","",IF(AND('Job Sheet'!AO16="Yes",'Mitred Cutting'!I16="Long Leg Left, Right and Top",Data!BP16="Powdercoat"),(('Job Sheet'!E16*2+60)+'Job Sheet'!AP16+60),IF(AND('Mitred Cutting'!I16="Long Leg 1 Side",Data!BP16="Powdercoat"),'Job Sheet'!E16+30,IF(AND('Mitred Cutting'!I16="Long Leg Left, Right and Top",Data!BP16="Powdercoat"),(('Job Sheet'!E16*2+60)+'Job Sheet'!D16+60),""))))</f>
        <v/>
      </c>
      <c r="EA10" s="73" t="str">
        <f>IF(Data!AV16="","",IF('Job Sheet'!AV16="Yes",VLOOKUP(CONCATENATE('Job Sheet'!AW16,'Job Sheet'!AY16),DogDoor,4,FALSE),""))</f>
        <v/>
      </c>
      <c r="FE10" s="73" t="str">
        <f>IF(AND('Straight Cutting'!F16&lt;&gt;"",'Mitred Cutting'!D16="APO Grey"),'Straight Cutting'!F16,"")</f>
        <v/>
      </c>
      <c r="FF10" s="73" t="str">
        <f>IF(AND('Straight Cutting'!F16&lt;&gt;"",'Mitred Cutting'!D16="White Birch"),'Straight Cutting'!F16,"")</f>
        <v/>
      </c>
      <c r="FG10" s="73" t="str">
        <f>IF(AND('Straight Cutting'!F16&lt;&gt;"",'Mitred Cutting'!D16="Black"),'Straight Cutting'!F16,"")</f>
        <v/>
      </c>
      <c r="FH10" s="73" t="str">
        <f>IF(AND('Straight Cutting'!F16&lt;&gt;"",'Mitred Cutting'!D16="Brown"),'Straight Cutting'!F16,"")</f>
        <v/>
      </c>
      <c r="FI10" s="73" t="str">
        <f>IF(AND('Straight Cutting'!F16&lt;&gt;"",'Mitred Cutting'!D16="Deep Ocean"),'Straight Cutting'!F16,"")</f>
        <v/>
      </c>
      <c r="FJ10" s="73" t="str">
        <f>IF(AND('Straight Cutting'!F16&lt;&gt;"",'Mitred Cutting'!D16="Jasper"),'Straight Cutting'!F16,"")</f>
        <v/>
      </c>
      <c r="FK10" s="73" t="str">
        <f>IF(AND('Straight Cutting'!F16&lt;&gt;"",'Mitred Cutting'!D16="Paperbark"),'Straight Cutting'!F16,"")</f>
        <v/>
      </c>
      <c r="FL10" s="73" t="str">
        <f>IF(AND('Straight Cutting'!F16&lt;&gt;"",'Mitred Cutting'!D16="Mist Green"),'Straight Cutting'!F16,"")</f>
        <v/>
      </c>
      <c r="FM10" s="73" t="str">
        <f>IF(AND('Straight Cutting'!F16&lt;&gt;"",'Mitred Cutting'!D16="Primrose"),'Straight Cutting'!F16,"")</f>
        <v/>
      </c>
      <c r="FN10" s="73" t="str">
        <f>IF(AND('Straight Cutting'!F16&lt;&gt;"",'Mitred Cutting'!D16="Ultra Silver"),'Straight Cutting'!F16,"")</f>
        <v/>
      </c>
      <c r="FO10" s="73" t="str">
        <f>IF(AND('Straight Cutting'!F16&lt;&gt;"",'Mitred Cutting'!D16="Woodland Grey(Green Tone)"),'Straight Cutting'!F16,"")</f>
        <v/>
      </c>
      <c r="FP10" s="73" t="str">
        <f>IF(AND('Straight Cutting'!F16&lt;&gt;"",'Mitred Cutting'!D16="Pearl White"),'Straight Cutting'!F16,"")</f>
        <v/>
      </c>
      <c r="FQ10" s="73" t="str">
        <f>IF(AND('Straight Cutting'!F16&lt;&gt;"",'Mitred Cutting'!D16="Monument"),'Straight Cutting'!F16,"")</f>
        <v/>
      </c>
      <c r="FR10" s="73" t="str">
        <f>IF(AND('Straight Cutting'!F16&lt;&gt;"",'Mitred Cutting'!D16="Surfmist"),'Straight Cutting'!F16,"")</f>
        <v/>
      </c>
      <c r="FS10" s="73" t="str">
        <f>IF(AND('Straight Cutting'!F16&lt;&gt;"",'Mitred Cutting'!D16="Dune"),'Straight Cutting'!F16,"")</f>
        <v/>
      </c>
      <c r="FU10" s="73" t="str">
        <f>IF(AND('Straight Cutting'!F16&lt;&gt;"",Data!BP16="Powdercoat",'Job Sheet'!AA16&lt;&gt;"Woodland Grey (Dulux)"),'Straight Cutting'!F16,"")</f>
        <v/>
      </c>
      <c r="FV10" s="73" t="str">
        <f>IF(AND('Straight Cutting'!E16="F &amp; Z Frames",'Mitred Cutting'!D16="APO Grey"),'Straight Cutting'!G16,"")</f>
        <v/>
      </c>
      <c r="FW10" s="73" t="str">
        <f>IF(AND('Straight Cutting'!E16="F &amp; Z Frames",'Mitred Cutting'!D16="White Birch"),'Straight Cutting'!G16,"")</f>
        <v/>
      </c>
      <c r="FX10" s="73" t="str">
        <f>IF(AND('Straight Cutting'!E16="F &amp; Z Frames",'Mitred Cutting'!D16="Black"),'Straight Cutting'!G16,"")</f>
        <v/>
      </c>
      <c r="FY10" s="73" t="str">
        <f>IF(AND('Straight Cutting'!E16="F &amp; Z Frames",'Mitred Cutting'!D16="Brown"),'Straight Cutting'!G16,"")</f>
        <v/>
      </c>
      <c r="FZ10" s="73" t="str">
        <f>IF(AND('Straight Cutting'!E16="F &amp; Z Frames",'Mitred Cutting'!D16="Deep Ocean"),'Straight Cutting'!G16,"")</f>
        <v/>
      </c>
      <c r="GA10" s="73" t="str">
        <f>IF(AND('Straight Cutting'!E16="F &amp; Z Frames",'Mitred Cutting'!D16="Jasper"),'Straight Cutting'!G16,"")</f>
        <v/>
      </c>
      <c r="GB10" s="73" t="str">
        <f>IF(AND('Straight Cutting'!E16="F &amp; Z Frames",'Mitred Cutting'!D16="Paperbark"),'Straight Cutting'!G16,"")</f>
        <v/>
      </c>
      <c r="GC10" s="73" t="str">
        <f>IF(AND('Straight Cutting'!E16="F &amp; Z Frames",'Mitred Cutting'!D16="Mist Green"),'Straight Cutting'!G16,"")</f>
        <v/>
      </c>
      <c r="GD10" s="73" t="str">
        <f>IF(AND('Straight Cutting'!E16="F &amp; Z Frames",'Mitred Cutting'!D16="Primrose"),'Straight Cutting'!G16,"")</f>
        <v/>
      </c>
      <c r="GE10" s="73" t="str">
        <f>IF(AND('Straight Cutting'!E16="F &amp; Z Frames",'Mitred Cutting'!D16="Ultra Silver"),'Straight Cutting'!G16,"")</f>
        <v/>
      </c>
      <c r="GF10" s="73" t="str">
        <f>IF(AND('Straight Cutting'!E16="F &amp; Z Frames",'Mitred Cutting'!D16="Woodland Grey(Green Tone)"),'Straight Cutting'!G16,"")</f>
        <v/>
      </c>
      <c r="GG10" s="73" t="str">
        <f>IF(AND('Straight Cutting'!E16="F &amp; Z Frames",'Mitred Cutting'!D16="Pearl White"),'Straight Cutting'!G16,"")</f>
        <v/>
      </c>
      <c r="GH10" s="73" t="str">
        <f>IF(AND('Straight Cutting'!E16="F &amp; Z Frames",'Mitred Cutting'!D16="Monument"),'Straight Cutting'!G16,"")</f>
        <v/>
      </c>
      <c r="GI10" s="73" t="str">
        <f>IF(AND('Straight Cutting'!E16="F &amp; Z Frames",'Mitred Cutting'!D16="Surfmist"),'Straight Cutting'!G16,"")</f>
        <v/>
      </c>
      <c r="GJ10" s="73" t="str">
        <f>IF(AND('Straight Cutting'!E16="F &amp; Z Frames",'Mitred Cutting'!D16="Dune"),'Straight Cutting'!G16,"")</f>
        <v/>
      </c>
      <c r="GK10" s="73" t="str">
        <f>IF(AND('Straight Cutting'!E16="F &amp; Z Frames",Data!BP16="Powdercoat"),'Straight Cutting'!G16,"")</f>
        <v/>
      </c>
      <c r="GL10" s="73" t="str">
        <f>IF(AND('Straight Cutting'!E16="F &amp; High Step Z Frame",'Mitred Cutting'!D16="APO Grey"),'Straight Cutting'!G16,"")</f>
        <v/>
      </c>
      <c r="GM10" s="73" t="str">
        <f>IF(AND('Straight Cutting'!E16="F &amp; High Step Z Frame",'Mitred Cutting'!D16="White Birch"),'Straight Cutting'!G16,"")</f>
        <v/>
      </c>
      <c r="GN10" s="73" t="str">
        <f>IF(AND('Straight Cutting'!E16="F &amp; High Step Z Frame",'Mitred Cutting'!D16="Black"),'Straight Cutting'!G16,"")</f>
        <v/>
      </c>
      <c r="GO10" s="73" t="str">
        <f>IF(AND('Straight Cutting'!E16="F &amp; High Step Z Frame",'Mitred Cutting'!D16="Brown"),'Straight Cutting'!G16,"")</f>
        <v/>
      </c>
      <c r="GP10" s="73" t="str">
        <f>IF(AND('Straight Cutting'!E16="F &amp; High Step Z Frame",'Mitred Cutting'!D16="Deep Ocean"),'Straight Cutting'!G16,"")</f>
        <v/>
      </c>
      <c r="GQ10" s="73" t="str">
        <f>IF(AND('Straight Cutting'!E16="F &amp; High Step Z Frame",'Mitred Cutting'!D16="Jasper"),'Straight Cutting'!G16,"")</f>
        <v/>
      </c>
      <c r="GR10" s="73" t="str">
        <f>IF(AND('Straight Cutting'!E16="F &amp; High Step Z Frame",'Mitred Cutting'!D16="Paperbark"),'Straight Cutting'!G16,"")</f>
        <v/>
      </c>
      <c r="GS10" s="73" t="str">
        <f>IF(AND('Straight Cutting'!E16="F &amp; High Step Z Frame",'Mitred Cutting'!D16="Mist Green"),'Straight Cutting'!G16,"")</f>
        <v/>
      </c>
      <c r="GT10" s="73" t="str">
        <f>IF(AND('Straight Cutting'!E16="F &amp; High Step Z Frame",'Mitred Cutting'!D16="Primrose"),'Straight Cutting'!G16,"")</f>
        <v/>
      </c>
      <c r="GU10" s="73" t="str">
        <f>IF(AND('Straight Cutting'!E16="F &amp; High Step Z Frame",'Mitred Cutting'!D16="Ultra Silver"),'Straight Cutting'!G16,"")</f>
        <v/>
      </c>
      <c r="GV10" s="73" t="str">
        <f>IF(AND('Straight Cutting'!E16="F &amp; High Step Z Frame",'Mitred Cutting'!D16="Woodland Grey(Green Tone)"),'Straight Cutting'!G16,"")</f>
        <v/>
      </c>
      <c r="GW10" s="73" t="str">
        <f>IF(AND('Straight Cutting'!E16="F &amp; High Step Z Frame",'Mitred Cutting'!D16="Pearl White"),'Straight Cutting'!G16,"")</f>
        <v/>
      </c>
      <c r="GX10" s="73" t="str">
        <f>IF(AND('Straight Cutting'!E16="F &amp; High Step Z Frame",'Mitred Cutting'!D16="Monument"),'Straight Cutting'!G16,"")</f>
        <v/>
      </c>
      <c r="GY10" s="73" t="str">
        <f>IF(AND('Straight Cutting'!E16="F &amp; High Step Z Frame",'Mitred Cutting'!D16="Surfmist"),'Straight Cutting'!G16,"")</f>
        <v/>
      </c>
      <c r="GZ10" s="73" t="str">
        <f>IF(AND('Straight Cutting'!E16="F &amp; High Step Z Frame",'Mitred Cutting'!D16="Dune"),'Straight Cutting'!G16,"")</f>
        <v/>
      </c>
      <c r="HA10" s="73" t="str">
        <f>IF(AND('Straight Cutting'!E16="F &amp; High Step Z Frame",Data!BP16="Powdercoat"),'Straight Cutting'!G16,"")</f>
        <v/>
      </c>
      <c r="HB10" s="73" t="str">
        <f>IF(AND('Straight Cutting'!I16&lt;&gt;"",'Mitred Cutting'!D16="APO Grey"),'Straight Cutting'!I16,"")</f>
        <v/>
      </c>
      <c r="HC10" s="73" t="str">
        <f>IF(AND('Straight Cutting'!I16&lt;&gt;"",'Mitred Cutting'!D16="White Birch"),'Straight Cutting'!I16,"")</f>
        <v/>
      </c>
      <c r="HD10" s="73" t="str">
        <f>IF(AND('Straight Cutting'!I16&lt;&gt;"",'Mitred Cutting'!D16="Black"),'Straight Cutting'!I16,"")</f>
        <v/>
      </c>
      <c r="HE10" s="73" t="str">
        <f>IF(AND('Straight Cutting'!I16&lt;&gt;"",'Mitred Cutting'!D16="Brown"),'Straight Cutting'!I16,"")</f>
        <v/>
      </c>
      <c r="HF10" s="73" t="str">
        <f>IF(AND('Straight Cutting'!I16&lt;&gt;"",'Mitred Cutting'!D16="Deep Ocean"),'Straight Cutting'!I16,"")</f>
        <v/>
      </c>
      <c r="HG10" s="73" t="str">
        <f>IF(AND('Straight Cutting'!I16&lt;&gt;"",'Mitred Cutting'!D16="Jasper"),'Straight Cutting'!I16,"")</f>
        <v/>
      </c>
      <c r="HH10" s="73" t="str">
        <f>IF(AND('Straight Cutting'!I16&lt;&gt;"",'Mitred Cutting'!D16="Paperbark"),'Straight Cutting'!I16,"")</f>
        <v/>
      </c>
      <c r="HI10" s="73" t="str">
        <f>IF(AND('Straight Cutting'!I16&lt;&gt;"",'Mitred Cutting'!D16="Mist Green"),'Straight Cutting'!I16,"")</f>
        <v/>
      </c>
      <c r="HJ10" s="73" t="str">
        <f>IF(AND('Straight Cutting'!I16&lt;&gt;"",'Mitred Cutting'!D16="Primrose"),'Straight Cutting'!I16,"")</f>
        <v/>
      </c>
      <c r="HK10" s="73" t="str">
        <f>IF(AND('Straight Cutting'!I16&lt;&gt;"",'Mitred Cutting'!D16="Ultra Silver"),'Straight Cutting'!I16,"")</f>
        <v/>
      </c>
      <c r="HL10" s="73" t="str">
        <f>IF(AND('Straight Cutting'!I16&lt;&gt;"",'Mitred Cutting'!D16="Woodland Grey(Green Tone)"),'Straight Cutting'!I16,"")</f>
        <v/>
      </c>
      <c r="HM10" s="73" t="str">
        <f>IF(AND('Straight Cutting'!I16&lt;&gt;"",'Mitred Cutting'!D16="Pearl White"),'Straight Cutting'!I16,"")</f>
        <v/>
      </c>
      <c r="HN10" s="73" t="str">
        <f>IF(AND('Straight Cutting'!I16&lt;&gt;"",'Mitred Cutting'!D16="Monument"),'Straight Cutting'!I16,"")</f>
        <v/>
      </c>
      <c r="HO10" s="73" t="str">
        <f>IF(AND('Straight Cutting'!I16&lt;&gt;"",'Mitred Cutting'!D16="Surfmist"),'Straight Cutting'!I16,"")</f>
        <v/>
      </c>
      <c r="HP10" s="73" t="str">
        <f>IF(AND('Straight Cutting'!I16&lt;&gt;"",'Mitred Cutting'!D16="Dune"),'Straight Cutting'!I16,"")</f>
        <v/>
      </c>
      <c r="HR10" s="73" t="str">
        <f>IF(AND('Straight Cutting'!I16&lt;&gt;"",'Mitred Cutting'!D16="Powdercoat"),'Straight Cutting'!I16,"")</f>
        <v/>
      </c>
      <c r="HS10" s="73" t="str">
        <f>IF(AND('Mitred Cutting'!D16="APO Grey",'Job Sheet'!AQ16="T Mullion with Cutouts and 2 Lock Bolts"),'Straight Cutting'!J16,"")</f>
        <v/>
      </c>
      <c r="HT10" s="73" t="str">
        <f>IF(AND('Mitred Cutting'!D16="White Birch",'Job Sheet'!AQ16="T Mullion with Cutouts and 2 Lock Bolts"),'Straight Cutting'!J16,"")</f>
        <v/>
      </c>
      <c r="HU10" s="73" t="str">
        <f>IF(AND('Mitred Cutting'!D16="Black",'Job Sheet'!AQ16="T Mullion with Cutouts and 2 Lock Bolts"),'Straight Cutting'!J16,"")</f>
        <v/>
      </c>
      <c r="HV10" s="73" t="str">
        <f>IF(AND('Mitred Cutting'!D16="Brown",'Job Sheet'!AQ16="T Mullion with Cutouts and 2 Lock Bolts"),'Straight Cutting'!J16,"")</f>
        <v/>
      </c>
      <c r="HW10" s="73" t="str">
        <f>IF(AND('Mitred Cutting'!D16="Deep Ocean",'Job Sheet'!AQ16="T Mullion with Cutouts and 2 Lock Bolts"),'Straight Cutting'!J16,"")</f>
        <v/>
      </c>
      <c r="HX10" s="73" t="str">
        <f>IF(AND('Mitred Cutting'!D16="Jasper",'Job Sheet'!AQ16="T Mullion with Cutouts and 2 Lock Bolts"),'Straight Cutting'!J16,"")</f>
        <v/>
      </c>
      <c r="HY10" s="73" t="str">
        <f>IF(AND('Mitred Cutting'!D16="Paperbark",'Job Sheet'!AQ16="T Mullion with Cutouts and 2 Lock Bolts"),'Straight Cutting'!J16,"")</f>
        <v/>
      </c>
      <c r="HZ10" s="73" t="str">
        <f>IF(AND('Mitred Cutting'!D16="Mist Green",'Job Sheet'!AQ16="T Mullion with Cutouts and 2 Lock Bolts"),'Straight Cutting'!J16,"")</f>
        <v/>
      </c>
      <c r="IA10" s="73" t="str">
        <f>IF(AND('Mitred Cutting'!D16="Primrose",'Job Sheet'!AQ16="T Mullion with Cutouts and 2 Lock Bolts"),'Straight Cutting'!J16,"")</f>
        <v/>
      </c>
      <c r="IB10" s="73" t="str">
        <f>IF(AND('Mitred Cutting'!D16="Ultra Silver",'Job Sheet'!AQ16="T Mullion with Cutouts and 2 Lock Bolts"),'Straight Cutting'!J16,"")</f>
        <v/>
      </c>
      <c r="IC10" s="73" t="str">
        <f>IF(AND('Mitred Cutting'!D16="Woodland Grey(Green Tone)",'Job Sheet'!AQ16="T Mullion with Cutouts and 2 Lock Bolts"),'Straight Cutting'!J16,"")</f>
        <v/>
      </c>
      <c r="ID10" s="73" t="str">
        <f>IF(AND('Mitred Cutting'!D16="Pearl White",'Job Sheet'!AQ16="T Mullion with Cutouts and 2 Lock Bolts"),'Straight Cutting'!J16,"")</f>
        <v/>
      </c>
      <c r="IE10" s="73" t="str">
        <f>IF(AND('Mitred Cutting'!D16="Monument",'Job Sheet'!AQ16="T Mullion with Cutouts and 2 Lock Bolts"),'Straight Cutting'!J16,"")</f>
        <v/>
      </c>
      <c r="IF10" s="73" t="str">
        <f>IF(AND('Mitred Cutting'!D16="Surfmist",'Job Sheet'!AQ16="T Mullion with Cutouts and 2 Lock Bolts"),'Straight Cutting'!J16,"")</f>
        <v/>
      </c>
      <c r="IG10" s="73" t="str">
        <f>IF(AND('Mitred Cutting'!D16="Dune",'Job Sheet'!AQ16="T Mullion with Cutouts and 2 Lock Bolts"),'Straight Cutting'!J16,"")</f>
        <v/>
      </c>
      <c r="IH10" s="73" t="str">
        <f>IF(AND('Job Sheet'!Z16="Custom Powdercoat",'Job Sheet'!AQ16="T Mullion with Cutouts and 2 Lock Bolts"),'Straight Cutting'!J16,"")</f>
        <v/>
      </c>
      <c r="II10" s="73" t="str">
        <f>IF(AND('Mitred Cutting'!D16="Apo Grey",'Straight Cutting'!E16="Bug Strip Frame"),'Job Sheet'!BH16-2+'Job Sheet'!BI16-50,IF(AND('Mitred Cutting'!D16="Apo Grey",'Straight Cutting'!E16&lt;&gt;"Bug Strip Frame"),'Straight Cutting'!D16,""))</f>
        <v/>
      </c>
      <c r="IJ10" s="73" t="str">
        <f>IF(AND('Mitred Cutting'!D16="White Birch",'Straight Cutting'!E16="Bug Strip Frame"),'Job Sheet'!BH16-2+'Job Sheet'!BI16-50,IF(AND('Mitred Cutting'!D16="White Birch",'Straight Cutting'!E16&lt;&gt;"Bug Strip Frame"),'Straight Cutting'!D16,""))</f>
        <v/>
      </c>
      <c r="IK10" s="73" t="str">
        <f>IF(AND('Mitred Cutting'!D16="Black",'Straight Cutting'!E16="Bug Strip Frame"),'Job Sheet'!BH16-2+'Job Sheet'!BI16-50,IF(AND('Mitred Cutting'!D16="Black",'Straight Cutting'!E16&lt;&gt;"Bug Strip Frame"),'Straight Cutting'!D16,""))</f>
        <v/>
      </c>
      <c r="IL10" s="73" t="str">
        <f>IF(AND('Mitred Cutting'!D16="Brown",'Straight Cutting'!E16="Bug Strip Frame"),'Job Sheet'!BH16-2+'Job Sheet'!BI16-50,IF(AND('Mitred Cutting'!D16="Brown",'Straight Cutting'!E16&lt;&gt;"Bug Strip Frame"),'Straight Cutting'!D16,""))</f>
        <v/>
      </c>
      <c r="IM10" s="73" t="str">
        <f>IF(AND('Mitred Cutting'!D16="Deep Ocean",'Straight Cutting'!E16="Bug Strip Frame"),'Job Sheet'!BH16-2+'Job Sheet'!BI16-50,IF(AND('Mitred Cutting'!D16="Deep Ocean",'Straight Cutting'!E16&lt;&gt;"Bug Strip Frame"),'Straight Cutting'!D16,""))</f>
        <v/>
      </c>
      <c r="IN10" s="73" t="str">
        <f>IF(AND('Mitred Cutting'!D16="Jasper",'Straight Cutting'!E16="Bug Strip Frame"),'Job Sheet'!BH16-2+'Job Sheet'!BI16-50,IF(AND('Mitred Cutting'!D16="Jasper",'Straight Cutting'!E16&lt;&gt;"Bug Strip Frame"),'Straight Cutting'!D16,""))</f>
        <v/>
      </c>
      <c r="IO10" s="73" t="str">
        <f>IF(AND('Mitred Cutting'!D16="Paperbark",'Straight Cutting'!E16="Bug Strip Frame"),'Job Sheet'!BH16-2+'Job Sheet'!BI16-50,IF(AND('Mitred Cutting'!D16="Paperbark",'Straight Cutting'!E16&lt;&gt;"Bug Strip Frame"),'Straight Cutting'!D16,""))</f>
        <v/>
      </c>
      <c r="IP10" s="73" t="str">
        <f>IF(AND('Mitred Cutting'!D16="Mist Green",'Straight Cutting'!E16="Bug Strip Frame"),'Job Sheet'!BH16-2+'Job Sheet'!BI16-50,IF(AND('Mitred Cutting'!D16="Mist Green",'Straight Cutting'!E16&lt;&gt;"Bug Strip Frame"),'Straight Cutting'!D16,""))</f>
        <v/>
      </c>
      <c r="IQ10" s="73" t="str">
        <f>IF(AND('Mitred Cutting'!D16="Primrose",'Straight Cutting'!E16="Bug Strip Frame"),'Job Sheet'!BH16-2+'Job Sheet'!BI16-50,IF(AND('Mitred Cutting'!D16="Primrose",'Straight Cutting'!E16&lt;&gt;"Bug Strip Frame"),'Straight Cutting'!D16,""))</f>
        <v/>
      </c>
      <c r="IR10" s="73" t="str">
        <f>IF(AND('Mitred Cutting'!D16="Ultra Silver",'Straight Cutting'!E16="Bug Strip Frame"),'Job Sheet'!BH16-2+'Job Sheet'!BI16-50,IF(AND('Mitred Cutting'!D16="Ultra Silver",'Straight Cutting'!E16&lt;&gt;"Bug Strip Frame"),'Straight Cutting'!D16,""))</f>
        <v/>
      </c>
      <c r="IS10" s="73" t="str">
        <f>IF(AND('Mitred Cutting'!D16="Woodland Grey(Green Tone)",'Straight Cutting'!E16="Bug Strip Frame"),'Job Sheet'!BH16-2+'Job Sheet'!BI16-50,IF(AND('Mitred Cutting'!D16="Woodland Grey(Green Tone)",'Straight Cutting'!E16&lt;&gt;"Bug Strip Frame"),'Straight Cutting'!D16,""))</f>
        <v/>
      </c>
      <c r="IT10" s="73" t="str">
        <f>IF(AND('Mitred Cutting'!D16="Pearl White",'Straight Cutting'!E16="Bug Strip Frame"),'Job Sheet'!BH16-2+'Job Sheet'!BI16-50,IF(AND('Mitred Cutting'!D16="Pearl White",'Straight Cutting'!E16&lt;&gt;"Bug Strip Frame"),'Straight Cutting'!D16,""))</f>
        <v/>
      </c>
      <c r="IU10" s="73" t="str">
        <f>IF(AND('Mitred Cutting'!D16="Monument",'Straight Cutting'!E16="Bug Strip Frame"),'Job Sheet'!BH16-2+'Job Sheet'!BI16-50,IF(AND('Mitred Cutting'!D16="Monument",'Straight Cutting'!E16&lt;&gt;"Bug Strip Frame"),'Straight Cutting'!D16,""))</f>
        <v/>
      </c>
      <c r="IV10" s="73" t="str">
        <f>IF(AND('Mitred Cutting'!D16="Surfmist",'Straight Cutting'!E16="Bug Strip Frame"),'Job Sheet'!BH16-2+'Job Sheet'!BI16-50,IF(AND('Mitred Cutting'!D16="Surfmist",'Straight Cutting'!E16&lt;&gt;"Bug Strip Frame"),'Straight Cutting'!D16,""))</f>
        <v/>
      </c>
      <c r="IW10" s="73" t="str">
        <f>IF(AND('Mitred Cutting'!D16="Dune",'Straight Cutting'!E16="Bug Strip Frame"),'Job Sheet'!BH16-2+'Job Sheet'!BI16-50,IF(AND('Mitred Cutting'!D16="Dune",'Straight Cutting'!E16&lt;&gt;"Bug Strip Frame"),'Straight Cutting'!D16,""))</f>
        <v/>
      </c>
      <c r="IX10" s="73" t="str">
        <f>IF(AND('Job Sheet'!AA16="Woodland Grey (Dulux)",'Straight Cutting'!E16="Bug Strip Frame"),'Job Sheet'!BH16-2+'Job Sheet'!BI16-50,IF(AND('Job Sheet'!AA16="Woodland Grey (Dulux)",'Straight Cutting'!E16&lt;&gt;"Bug Strip Frame"),'Straight Cutting'!D16,""))</f>
        <v/>
      </c>
      <c r="IY10" s="73" t="str">
        <f>IF(AND('Job Sheet'!Z16="Custom Powdercoat",'Job Sheet'!AA16&lt;&gt;"Woodland Grey (Dulux)",'Straight Cutting'!E16="Bug Strip Frame"),'Job Sheet'!BH16-2+'Job Sheet'!BI16-50,IF(AND('Job Sheet'!Z16="Custom Powdercoat",'Job Sheet'!AA16&lt;&gt;"Woodland Grey (Dulux)",'Straight Cutting'!E16&lt;&gt;"Bug Strip Frame"),'Straight Cutting'!D16,""))</f>
        <v/>
      </c>
      <c r="IZ10" s="73" t="str">
        <f>IF(AND('Straight Cutting'!L16="U Channel",'Mitred Cutting'!D16="APO Grey"),'Straight Cutting'!L16,"")</f>
        <v/>
      </c>
      <c r="JA10" s="73" t="str">
        <f>IF(AND('Straight Cutting'!K16="U Channel",'Mitred Cutting'!D16="White Birch"),'Straight Cutting'!L16,"")</f>
        <v/>
      </c>
      <c r="JB10" s="73" t="str">
        <f>IF(AND('Straight Cutting'!K16="U Channel",'Mitred Cutting'!D16="Black"),'Straight Cutting'!L16,"")</f>
        <v/>
      </c>
      <c r="JC10" s="73" t="str">
        <f>IF(AND('Straight Cutting'!K16="U Channel",'Mitred Cutting'!D16="Brown"),'Straight Cutting'!L16,"")</f>
        <v/>
      </c>
      <c r="JD10" s="73" t="str">
        <f>IF(AND('Straight Cutting'!K16="U Channel",'Mitred Cutting'!D16="Deep Ocean"),'Straight Cutting'!L16,"")</f>
        <v/>
      </c>
      <c r="JE10" s="73" t="str">
        <f>IF(AND('Straight Cutting'!K16="U Channel",'Mitred Cutting'!D16="Jasper"),'Straight Cutting'!L16,"")</f>
        <v/>
      </c>
      <c r="JF10" s="73" t="str">
        <f>IF(AND('Straight Cutting'!K16="U Channel",'Mitred Cutting'!D16="Paperbark"),'Straight Cutting'!L16,"")</f>
        <v/>
      </c>
      <c r="JG10" s="73" t="str">
        <f>IF(AND('Straight Cutting'!K16="U Channel",'Mitred Cutting'!D16="Mist Green"),'Straight Cutting'!L16,"")</f>
        <v/>
      </c>
      <c r="JH10" s="73" t="str">
        <f>IF(AND('Straight Cutting'!K16="U Channel",'Mitred Cutting'!D16="Primrose"),'Straight Cutting'!L16,"")</f>
        <v/>
      </c>
      <c r="JI10" s="73" t="str">
        <f>IF(AND('Straight Cutting'!K16="U Channel",'Mitred Cutting'!D16="Ultra Silver"),'Straight Cutting'!L16,"")</f>
        <v/>
      </c>
      <c r="JJ10" s="73" t="str">
        <f>IF(AND('Straight Cutting'!K16="U Channel",'Mitred Cutting'!D16="Woodland Grey(Green Tone)"),'Straight Cutting'!L16,"")</f>
        <v/>
      </c>
      <c r="JK10" s="73" t="str">
        <f>IF(AND('Straight Cutting'!K16="U Channel",'Mitred Cutting'!D16="Pearl White"),'Straight Cutting'!L16,"")</f>
        <v/>
      </c>
      <c r="JL10" s="73" t="str">
        <f>IF(AND('Straight Cutting'!K16="U Channel",'Mitred Cutting'!D16="Monument"),'Straight Cutting'!L16,"")</f>
        <v/>
      </c>
      <c r="JM10" s="73" t="str">
        <f>IF(AND('Straight Cutting'!K16="U Channel",'Mitred Cutting'!D16="Surfmist"),'Straight Cutting'!L16,"")</f>
        <v/>
      </c>
      <c r="JN10" s="73" t="str">
        <f>IF(AND('Straight Cutting'!K16="U Channel",'Mitred Cutting'!D16="Dune"),'Straight Cutting'!L16,"")</f>
        <v/>
      </c>
      <c r="JO10" s="73" t="str">
        <f>IF(AND('Straight Cutting'!K16="U Channel",'Job Sheet'!Z16="Custom Powdercoat"),'Straight Cutting'!L16,"")</f>
        <v/>
      </c>
      <c r="JP10" s="73" t="str">
        <f>IF(AND('Straight Cutting'!K16="U Channel with Pip",'Mitred Cutting'!D16="APO Grey"),'Straight Cutting'!L16,"")</f>
        <v/>
      </c>
      <c r="JQ10" s="73" t="str">
        <f>IF(AND('Straight Cutting'!K16="U Channel with Pip",'Mitred Cutting'!D16="White Birch"),'Straight Cutting'!L16,"")</f>
        <v/>
      </c>
      <c r="JR10" s="73" t="str">
        <f>IF(AND('Straight Cutting'!K16="U Channel with Pip",'Mitred Cutting'!D16="Black"),'Straight Cutting'!L16,"")</f>
        <v/>
      </c>
      <c r="JS10" s="73" t="str">
        <f>IF(AND('Straight Cutting'!K16="U Channel with Pip",'Mitred Cutting'!D16="Brown"),'Straight Cutting'!L16,"")</f>
        <v/>
      </c>
      <c r="JT10" s="73" t="str">
        <f>IF(AND('Straight Cutting'!K16="U Channel with Pip",'Mitred Cutting'!D16="Deep Ocean"),'Straight Cutting'!L16,"")</f>
        <v/>
      </c>
      <c r="JU10" s="73" t="str">
        <f>IF(AND('Straight Cutting'!K16="U Channel with Pip",'Mitred Cutting'!D16="Jasper"),'Straight Cutting'!L16,"")</f>
        <v/>
      </c>
      <c r="JV10" s="73" t="str">
        <f>IF(AND('Straight Cutting'!K16="U Channel with Pip",'Mitred Cutting'!D16="Paperbark"),'Straight Cutting'!L16,"")</f>
        <v/>
      </c>
      <c r="JW10" s="73" t="str">
        <f>IF(AND('Straight Cutting'!K16="U Channel with Pip",'Mitred Cutting'!D16="Mist Green"),'Straight Cutting'!L16,"")</f>
        <v/>
      </c>
      <c r="JX10" s="73" t="str">
        <f>IF(AND('Straight Cutting'!K16="U Channel with Pip",'Mitred Cutting'!D16="Primrose"),'Straight Cutting'!L16,"")</f>
        <v/>
      </c>
      <c r="JY10" s="73" t="str">
        <f>IF(AND('Straight Cutting'!K16="U Channel with Pip",'Mitred Cutting'!D16="Ultra Silver"),'Straight Cutting'!L16,"")</f>
        <v/>
      </c>
      <c r="JZ10" s="73" t="str">
        <f>IF(AND('Straight Cutting'!K16="U Channel with Pip",'Mitred Cutting'!D16="Woodland Grey(Green Tone)"),'Straight Cutting'!L16,"")</f>
        <v/>
      </c>
      <c r="KA10" s="73" t="str">
        <f>IF(AND('Straight Cutting'!K16="U Channel with Pip",'Mitred Cutting'!D16="Pearl White"),'Straight Cutting'!L16,"")</f>
        <v/>
      </c>
      <c r="KB10" s="73" t="str">
        <f>IF(AND('Straight Cutting'!K16="U Channel with Pip",'Mitred Cutting'!D16="Monument"),'Straight Cutting'!L16,"")</f>
        <v/>
      </c>
      <c r="KC10" s="73" t="str">
        <f>IF(AND('Straight Cutting'!K16="U Channel with Pip",'Mitred Cutting'!D16="Surfmist"),'Straight Cutting'!L16,"")</f>
        <v/>
      </c>
      <c r="KD10" s="73" t="str">
        <f>IF(AND('Straight Cutting'!K16="U Channel with Pip",'Mitred Cutting'!D16="Dune"),'Straight Cutting'!L16,"")</f>
        <v/>
      </c>
      <c r="KE10" s="73" t="str">
        <f>IF(AND('Straight Cutting'!K16="U Channel with Pip",'Job Sheet'!Z16="Custom Powdercoat"),'Straight Cutting'!L16,"")</f>
        <v/>
      </c>
      <c r="KF10" s="73" t="str">
        <f>IF(AND('Mitred Cutting'!D16="APO Grey",(OR('Straight Cutting'!M16="Bottom Fix Bottom Track",'Straight Cutting'!M16="U Channel &amp; Bottom Fix Bottom Track"))),'Straight Cutting'!N16,"")</f>
        <v/>
      </c>
      <c r="KG10" s="73" t="str">
        <f>IF(AND('Mitred Cutting'!D16="White Birch",(OR('Straight Cutting'!M16="Bottom Fix Bottom Track",'Straight Cutting'!M16="U Channel &amp; Bottom Fix Bottom Track"))),'Straight Cutting'!N16,"")</f>
        <v/>
      </c>
      <c r="KH10" s="73" t="str">
        <f>IF(AND('Mitred Cutting'!D16="Black",(OR('Straight Cutting'!M16="Bottom Fix Bottom Track",'Straight Cutting'!M16="U Channel &amp; Bottom Fix Bottom Track"))),'Straight Cutting'!N16,"")</f>
        <v/>
      </c>
      <c r="KI10" s="73" t="str">
        <f>IF(AND('Mitred Cutting'!D16="Brown",(OR('Straight Cutting'!M16="Bottom Fix Bottom Track",'Straight Cutting'!M16="U Channel &amp; Bottom Fix Bottom Track"))),'Straight Cutting'!N16,"")</f>
        <v/>
      </c>
      <c r="KJ10" s="73" t="str">
        <f>IF(AND('Mitred Cutting'!D16="Deep Ocean",(OR('Straight Cutting'!M16="Bottom Fix Bottom Track",'Straight Cutting'!M16="U Channel &amp; Bottom Fix Bottom Track"))),'Straight Cutting'!N16,"")</f>
        <v/>
      </c>
      <c r="KK10" s="73" t="str">
        <f>IF(AND('Mitred Cutting'!D16="Jasper",(OR('Straight Cutting'!M16="Bottom Fix Bottom Track",'Straight Cutting'!M16="U Channel &amp; Bottom Fix Bottom Track"))),'Straight Cutting'!N16,"")</f>
        <v/>
      </c>
      <c r="KL10" s="73" t="str">
        <f>IF(AND('Mitred Cutting'!D16="Paperbark",(OR('Straight Cutting'!M16="Bottom Fix Bottom Track",'Straight Cutting'!M16="U Channel &amp; Bottom Fix Bottom Track"))),'Straight Cutting'!N16,"")</f>
        <v/>
      </c>
      <c r="KM10" s="73" t="str">
        <f>IF(AND('Mitred Cutting'!D16="Mist Green",(OR('Straight Cutting'!M16="Bottom Fix Bottom Track",'Straight Cutting'!M16="U Channel &amp; Bottom Fix Bottom Track"))),'Straight Cutting'!N16,"")</f>
        <v/>
      </c>
      <c r="KN10" s="73" t="str">
        <f>IF(AND('Mitred Cutting'!D16="Primrose",(OR('Straight Cutting'!M16="Bottom Fix Bottom Track",'Straight Cutting'!M16="U Channel &amp; Bottom Fix Bottom Track"))),'Straight Cutting'!N16,"")</f>
        <v/>
      </c>
      <c r="KO10" s="73" t="str">
        <f>IF(AND('Mitred Cutting'!D16="Ultra Silver",(OR('Straight Cutting'!M16="Bottom Fix Bottom Track",'Straight Cutting'!M16="U Channel &amp; Bottom Fix Bottom Track"))),'Straight Cutting'!N16,"")</f>
        <v/>
      </c>
      <c r="KP10" s="73" t="str">
        <f>IF(AND('Mitred Cutting'!D16="Woodland Grey(Green Tone)",(OR('Straight Cutting'!M16="Bottom Fix Bottom Track",'Straight Cutting'!M16="U Channel &amp; Bottom Fix Bottom Track"))),'Straight Cutting'!N16,"")</f>
        <v/>
      </c>
      <c r="KQ10" s="73" t="str">
        <f>IF(AND('Mitred Cutting'!D16="Pearl White",(OR('Straight Cutting'!M16="Bottom Fix Bottom Track",'Straight Cutting'!M16="U Channel &amp; Bottom Fix Bottom Track"))),'Straight Cutting'!N16,"")</f>
        <v/>
      </c>
      <c r="KR10" s="73" t="str">
        <f>IF(AND('Mitred Cutting'!D16="Monument",(OR('Straight Cutting'!M16="Bottom Fix Bottom Track",'Straight Cutting'!M16="U Channel &amp; Bottom Fix Bottom Track"))),'Straight Cutting'!N16,"")</f>
        <v/>
      </c>
      <c r="KS10" s="73" t="str">
        <f>IF(AND('Mitred Cutting'!D16="Surfmist",(OR('Straight Cutting'!M16="Bottom Fix Bottom Track",'Straight Cutting'!M16="U Channel &amp; Bottom Fix Bottom Track"))),'Straight Cutting'!N16,"")</f>
        <v/>
      </c>
      <c r="KT10" s="73" t="str">
        <f>IF(AND('Mitred Cutting'!D16="Dune",(OR('Straight Cutting'!M16="Bottom Fix Bottom Track",'Straight Cutting'!M16="U Channel &amp; Bottom Fix Bottom Track"))),'Straight Cutting'!N16,"")</f>
        <v/>
      </c>
      <c r="KU10" s="73" t="str">
        <f>IF(AND('Job Sheet'!Z16="Custom Powdercoat",(OR('Straight Cutting'!M16="Bottom Fix Bottom Track",'Straight Cutting'!M16="U Channel &amp; Bottom Fix Bottom Track"))),'Straight Cutting'!N16,"")</f>
        <v/>
      </c>
      <c r="KV10" s="73" t="str">
        <f>IF(AND('Mitred Cutting'!D16="APO Grey",(OR('Straight Cutting'!M16="Face Fix Bottom Track",'Straight Cutting'!M16="U Channel &amp; Face Fix Bottom Track"))),'Straight Cutting'!N16,"")</f>
        <v/>
      </c>
      <c r="KW10" s="73" t="str">
        <f>IF(AND('Mitred Cutting'!D16="White Birch",(OR('Straight Cutting'!M16="Face Fix Bottom Track",'Straight Cutting'!M16="U Channel &amp; Face Fix Bottom Track"))),'Straight Cutting'!N16,"")</f>
        <v/>
      </c>
      <c r="KX10" s="73" t="str">
        <f>IF(AND('Mitred Cutting'!D16="Black",(OR('Straight Cutting'!M16="Face Fix Bottom Track",'Straight Cutting'!M16="U Channel &amp; Face Fix Bottom Track"))),'Straight Cutting'!N16,"")</f>
        <v/>
      </c>
      <c r="KY10" s="73" t="str">
        <f>IF(AND('Mitred Cutting'!D16="Brown",(OR('Straight Cutting'!M16="Face Fix Bottom Track",'Straight Cutting'!M16="U Channel &amp; Face Fix Bottom Track"))),'Straight Cutting'!N16,"")</f>
        <v/>
      </c>
      <c r="KZ10" s="73" t="str">
        <f>IF(AND('Mitred Cutting'!D16="Deep Ocean",(OR('Straight Cutting'!M16="Face Fix Bottom Track",'Straight Cutting'!M16="U Channel &amp; Face Fix Bottom Track"))),'Straight Cutting'!N16,"")</f>
        <v/>
      </c>
      <c r="LA10" s="73" t="str">
        <f>IF(AND('Mitred Cutting'!D16="Jasper",(OR('Straight Cutting'!M16="Face Fix Bottom Track",'Straight Cutting'!M16="U Channel &amp; Face Fix Bottom Track"))),'Straight Cutting'!N16,"")</f>
        <v/>
      </c>
      <c r="LB10" s="73" t="str">
        <f>IF(AND('Mitred Cutting'!D16="Paperbark",(OR('Straight Cutting'!M16="Face Fix Bottom Track",'Straight Cutting'!M16="U Channel &amp; Face Fix Bottom Track"))),'Straight Cutting'!N16,"")</f>
        <v/>
      </c>
      <c r="LC10" s="73" t="str">
        <f>IF(AND('Mitred Cutting'!D16="Mist Green",(OR('Straight Cutting'!M16="Face Fix Bottom Track",'Straight Cutting'!M16="U Channel &amp; Face Fix Bottom Track"))),'Straight Cutting'!N16,"")</f>
        <v/>
      </c>
      <c r="LD10" s="73" t="str">
        <f>IF(AND('Mitred Cutting'!D16="Primrose",(OR('Straight Cutting'!M16="Face Fix Bottom Track",'Straight Cutting'!M16="U Channel &amp; Face Fix Bottom Track"))),'Straight Cutting'!N16,"")</f>
        <v/>
      </c>
      <c r="LE10" s="73" t="str">
        <f>IF(AND('Mitred Cutting'!D16="Ultra Silver",(OR('Straight Cutting'!M16="Face Fix Bottom Track",'Straight Cutting'!M16="U Channel &amp; Face Fix Bottom Track"))),'Straight Cutting'!N16,"")</f>
        <v/>
      </c>
      <c r="LF10" s="73" t="str">
        <f>IF(AND('Mitred Cutting'!D16="Woodland Grey(Green Tone)",(OR('Straight Cutting'!M16="Face Fix Bottom Track",'Straight Cutting'!M16="U Channel &amp; Face Fix Bottom Track"))),'Straight Cutting'!N16,"")</f>
        <v/>
      </c>
      <c r="LG10" s="73" t="str">
        <f>IF(AND('Mitred Cutting'!D16="Pearl White",(OR('Straight Cutting'!M16="Face Fix Bottom Track",'Straight Cutting'!M16="U Channel &amp; Face Fix Bottom Track"))),'Straight Cutting'!N16,"")</f>
        <v/>
      </c>
      <c r="LH10" s="73" t="str">
        <f>IF(AND('Mitred Cutting'!D16="Monument",(OR('Straight Cutting'!M16="Face Fix Bottom Track",'Straight Cutting'!M16="U Channel &amp; Face Fix Bottom Track"))),'Straight Cutting'!N16,"")</f>
        <v/>
      </c>
      <c r="LI10" s="73" t="str">
        <f>IF(AND('Mitred Cutting'!D16="Surfmist",(OR('Straight Cutting'!M16="Face Fix Bottom Track",'Straight Cutting'!M16="U Channel &amp; Face Fix Bottom Track"))),'Straight Cutting'!N16,"")</f>
        <v/>
      </c>
      <c r="LJ10" s="73" t="str">
        <f>IF(AND('Mitred Cutting'!D16="Dune",(OR('Straight Cutting'!M16="Face Fix Bottom Track",'Straight Cutting'!M16="U Channel &amp; Face Fix Bottom Track"))),'Straight Cutting'!N16,"")</f>
        <v/>
      </c>
      <c r="LK10" s="73" t="str">
        <f>IF(AND('Job Sheet'!Z16="Custom Powdercoat",(OR('Straight Cutting'!M16="Face Fix Bottom Track",'Straight Cutting'!M16="U Channel &amp; Face Fix Bottom Track"))),'Straight Cutting'!N16,"")</f>
        <v/>
      </c>
      <c r="LL10" s="73" t="str">
        <f>IF(AND('Straight Cutting'!H16&lt;&gt;"",'Mitred Cutting'!D16="APO Grey"),'Straight Cutting'!H16/4300,"")</f>
        <v/>
      </c>
      <c r="LM10" s="73" t="str">
        <f>IF(AND('Straight Cutting'!H16&lt;&gt;"",'Mitred Cutting'!D16="White Birch"),'Straight Cutting'!H16,"")</f>
        <v/>
      </c>
      <c r="LN10" s="73" t="str">
        <f>IF(AND('Straight Cutting'!H16&lt;&gt;"",'Mitred Cutting'!D16="Black"),'Straight Cutting'!H16,"")</f>
        <v/>
      </c>
      <c r="LO10" s="73" t="str">
        <f>IF(AND('Straight Cutting'!H16&lt;&gt;"",'Mitred Cutting'!D16="Brown"),'Straight Cutting'!H16,"")</f>
        <v/>
      </c>
      <c r="LP10" s="73" t="str">
        <f>IF(AND('Straight Cutting'!H16&lt;&gt;"",'Mitred Cutting'!D16="Deep Ocean"),'Straight Cutting'!H16,"")</f>
        <v/>
      </c>
      <c r="LQ10" s="73" t="str">
        <f>IF(AND('Straight Cutting'!H16&lt;&gt;"",'Mitred Cutting'!D16="Jasper"),'Straight Cutting'!H16,"")</f>
        <v/>
      </c>
      <c r="LR10" s="73" t="str">
        <f>IF(AND('Straight Cutting'!H16&lt;&gt;"",'Mitred Cutting'!D16="Paperbark"),'Straight Cutting'!H16,"")</f>
        <v/>
      </c>
      <c r="LS10" s="73" t="str">
        <f>IF(AND('Straight Cutting'!H16&lt;&gt;"",'Mitred Cutting'!D16="Mist Green"),'Straight Cutting'!H16,"")</f>
        <v/>
      </c>
      <c r="LT10" s="73" t="str">
        <f>IF(AND('Straight Cutting'!H16&lt;&gt;"",'Mitred Cutting'!D16="Primrose"),'Straight Cutting'!H16,"")</f>
        <v/>
      </c>
      <c r="LU10" s="73" t="str">
        <f>IF(AND('Straight Cutting'!H16&lt;&gt;"",'Mitred Cutting'!D16="Ultra Silver"),'Straight Cutting'!H16,"")</f>
        <v/>
      </c>
      <c r="LV10" s="73" t="str">
        <f>IF(AND('Straight Cutting'!H16&lt;&gt;"",'Mitred Cutting'!D16="Woodland Grey(Green Tone)"),'Straight Cutting'!H16,"")</f>
        <v/>
      </c>
      <c r="LW10" s="73" t="str">
        <f>IF(AND('Straight Cutting'!H16&lt;&gt;"",'Mitred Cutting'!D16="Pearl White"),'Straight Cutting'!H16,"")</f>
        <v/>
      </c>
      <c r="LX10" s="73" t="str">
        <f>IF(AND('Straight Cutting'!H16&lt;&gt;"",'Mitred Cutting'!D16="Monument"),'Straight Cutting'!H16,"")</f>
        <v/>
      </c>
      <c r="LY10" s="73" t="str">
        <f>IF(AND('Straight Cutting'!H16&lt;&gt;"",'Mitred Cutting'!D16="Surfmist"),'Straight Cutting'!H16,"")</f>
        <v/>
      </c>
      <c r="LZ10" s="73" t="str">
        <f>IF(AND('Straight Cutting'!H16&lt;&gt;"",'Mitred Cutting'!D16="Dune"),'Straight Cutting'!H16,"")</f>
        <v/>
      </c>
      <c r="MA10" s="73" t="str">
        <f>IF(AND('Straight Cutting'!H16&lt;&gt;"",'Job Sheet'!Z16="Custom Powdercoat"),'Straight Cutting'!H16,"")</f>
        <v/>
      </c>
      <c r="MB10" s="73" t="str">
        <f>IF(AND('Mitred Cutting'!D16="APO Grey",OR('Straight Cutting'!M16="H Shaped Bottom Track",'Straight Cutting'!M16="U Channel &amp; H Shaped Bottom Track")),'Straight Cutting'!N16,"")</f>
        <v/>
      </c>
      <c r="MC10" s="73" t="str">
        <f>IF(AND('Mitred Cutting'!D16="Birch White",OR('Straight Cutting'!M16="H Shaped Bottom Track",'Straight Cutting'!M16="U Channel &amp; H Shaped Bottom Track")),'Straight Cutting'!N16,"")</f>
        <v/>
      </c>
      <c r="MD10" s="73" t="str">
        <f>IF(AND('Mitred Cutting'!D16="Black",OR('Straight Cutting'!M16="H Shaped Bottom Track",'Straight Cutting'!M16="U Channel &amp; H Shaped Bottom Track")),'Straight Cutting'!N16,"")</f>
        <v/>
      </c>
      <c r="ME10" s="73" t="str">
        <f>IF(AND('Mitred Cutting'!D16="Brown",OR('Straight Cutting'!M16="H Shaped Bottom Track",'Straight Cutting'!M16="U Channel &amp; H Shaped Bottom Track")),'Straight Cutting'!N16,"")</f>
        <v/>
      </c>
      <c r="MF10" s="73" t="str">
        <f>IF(AND('Mitred Cutting'!D16="Deep Ocean",OR('Straight Cutting'!M16="H Shaped Bottom Track",'Straight Cutting'!M16="U Channel &amp; H Shaped Bottom Track")),'Straight Cutting'!N16,"")</f>
        <v/>
      </c>
      <c r="MG10" s="73" t="str">
        <f>IF(AND('Mitred Cutting'!D16="Jasper",OR('Straight Cutting'!M16="H Shaped Bottom Track",'Straight Cutting'!M16="U Channel &amp; H Shaped Bottom Track")),'Straight Cutting'!N16,"")</f>
        <v/>
      </c>
      <c r="MH10" s="73" t="str">
        <f>IF(AND('Mitred Cutting'!D16="Paperbark",OR('Straight Cutting'!M16="H Shaped Bottom Track",'Straight Cutting'!M16="U Channel &amp; H Shaped Bottom Track")),'Straight Cutting'!N16,"")</f>
        <v/>
      </c>
      <c r="MI10" s="73" t="str">
        <f>IF(AND('Mitred Cutting'!D16="Mist Green",OR('Straight Cutting'!M16="H Shaped Bottom Track",'Straight Cutting'!M16="U Channel &amp; H Shaped Bottom Track")),'Straight Cutting'!N16,"")</f>
        <v/>
      </c>
      <c r="MJ10" s="73" t="str">
        <f>IF(AND('Mitred Cutting'!D16="Primrose",OR('Straight Cutting'!M16="H Shaped Bottom Track",'Straight Cutting'!M16="U Channel &amp; H Shaped Bottom Track")),'Straight Cutting'!N16,"")</f>
        <v/>
      </c>
      <c r="MK10" s="73" t="str">
        <f>IF(AND('Mitred Cutting'!D16="Ultra Silver",OR('Straight Cutting'!M16="H Shaped Bottom Track",'Straight Cutting'!M16="U Channel &amp; H Shaped Bottom Track")),'Straight Cutting'!N16,"")</f>
        <v/>
      </c>
      <c r="ML10" s="73" t="str">
        <f>IF(AND('Mitred Cutting'!D16="Woodland Grey(Green Tone)",OR('Straight Cutting'!M16="H Shaped Bottom Track",'Straight Cutting'!M16="U Channel &amp; H Shaped Bottom Track")),'Straight Cutting'!N16,"")</f>
        <v/>
      </c>
      <c r="MM10" s="73" t="str">
        <f>IF(AND('Mitred Cutting'!D16="Pearl White",OR('Straight Cutting'!M16="H Shaped Bottom Track",'Straight Cutting'!M16="U Channel &amp; H Shaped Bottom Track")),'Straight Cutting'!N16,"")</f>
        <v/>
      </c>
      <c r="MN10" s="73" t="str">
        <f>IF(AND('Mitred Cutting'!D16="Monument",OR('Straight Cutting'!M16="H Shaped Bottom Track",'Straight Cutting'!M16="U Channel &amp; H Shaped Bottom Track")),'Straight Cutting'!N16,"")</f>
        <v/>
      </c>
      <c r="MO10" s="73" t="str">
        <f>IF(AND('Mitred Cutting'!D16="Surfmist",OR('Straight Cutting'!M16="H Shaped Bottom Track",'Straight Cutting'!M16="U Channel &amp; H Shaped Bottom Track")),'Straight Cutting'!N16,"")</f>
        <v/>
      </c>
      <c r="MP10" s="73" t="str">
        <f>IF(AND('Mitred Cutting'!D16="Dune",OR('Straight Cutting'!M16="H Shaped Bottom Track",'Straight Cutting'!M16="U Channel &amp; H Shaped Bottom Track")),'Straight Cutting'!N16,"")</f>
        <v/>
      </c>
      <c r="MQ10" s="73" t="str">
        <f>IF(AND('Job Sheet'!Z16="Custom Powdercoat",OR('Straight Cutting'!M16="H Shaped Bottom Track",'Straight Cutting'!M16="U Channel &amp; H Shaped Bottom Track")),'Straight Cutting'!N16,"")</f>
        <v/>
      </c>
      <c r="MR10" s="73" t="str">
        <f>IF(AND('Straight Cutting'!P16="APO Grey",(OR('Job Sheet'!AI16="Yes",'Job Sheet'!AI16="Yes - Centre"))),'Straight Cutting'!Q16,"")</f>
        <v/>
      </c>
      <c r="MS10" s="73" t="str">
        <f>IF(AND('Straight Cutting'!P16="White Birch",(OR('Job Sheet'!AI16="Yes",'Job Sheet'!AI16="Yes - Centre"))),'Straight Cutting'!Q16,"")</f>
        <v/>
      </c>
      <c r="MT10" s="73" t="str">
        <f>IF(AND('Straight Cutting'!P16="Black",(OR('Job Sheet'!AI16="Yes",'Job Sheet'!AI16="Yes - Centre"))),'Straight Cutting'!Q16,"")</f>
        <v/>
      </c>
      <c r="MU10" s="73" t="str">
        <f>IF(AND('Straight Cutting'!P16="Brown",(OR('Job Sheet'!AI16="Yes",'Job Sheet'!AI16="Yes - Centre"))),'Straight Cutting'!Q16,"")</f>
        <v/>
      </c>
      <c r="MV10" s="73" t="str">
        <f>IF(AND('Straight Cutting'!P16="Deep Ocean",(OR('Job Sheet'!AI16="Yes",'Job Sheet'!AI16="Yes - Centre"))),'Straight Cutting'!Q16,"")</f>
        <v/>
      </c>
      <c r="MW10" s="73" t="str">
        <f>IF(AND('Straight Cutting'!P16="Jasper",(OR('Job Sheet'!AI16="Yes",'Job Sheet'!AI16="Yes - Centre"))),'Straight Cutting'!Q16,"")</f>
        <v/>
      </c>
      <c r="MX10" s="73" t="str">
        <f>IF(AND('Straight Cutting'!P16="Paperbark",(OR('Job Sheet'!AI16="Yes",'Job Sheet'!AI16="Yes - Centre"))),'Straight Cutting'!Q16,"")</f>
        <v/>
      </c>
      <c r="MY10" s="73" t="str">
        <f>IF(AND('Straight Cutting'!P16="Mist Green",(OR('Job Sheet'!AI16="Yes",'Job Sheet'!AI16="Yes - Centre"))),'Straight Cutting'!Q16,"")</f>
        <v/>
      </c>
      <c r="MZ10" s="73" t="str">
        <f>IF(AND('Straight Cutting'!P16="Primrose",(OR('Job Sheet'!AI16="Yes",'Job Sheet'!AI16="Yes - Centre"))),'Straight Cutting'!Q16,"")</f>
        <v/>
      </c>
      <c r="NA10" s="73" t="str">
        <f>IF(AND('Straight Cutting'!P16="Ultra Silver",(OR('Job Sheet'!AI16="Yes",'Job Sheet'!AI16="Yes - Centre"))),'Straight Cutting'!Q16,"")</f>
        <v/>
      </c>
      <c r="NB10" s="73" t="str">
        <f>IF(AND('Straight Cutting'!P16="Woodland Grey(Green Tone)",(OR('Job Sheet'!AI16="Yes",'Job Sheet'!AI16="Yes - Centre"))),'Straight Cutting'!Q16,"")</f>
        <v/>
      </c>
      <c r="NC10" s="73" t="str">
        <f>IF(AND('Straight Cutting'!P16="Pearl White",(OR('Job Sheet'!AI16="Yes",'Job Sheet'!AI16="Yes - Centre"))),'Straight Cutting'!Q16,"")</f>
        <v/>
      </c>
      <c r="ND10" s="73" t="str">
        <f>IF(AND('Straight Cutting'!P16="Monument",(OR('Job Sheet'!AI16="Yes",'Job Sheet'!AI16="Yes - Centre"))),'Straight Cutting'!Q16,"")</f>
        <v/>
      </c>
      <c r="NE10" s="73" t="str">
        <f>IF(AND('Straight Cutting'!P16="Surfmist",(OR('Job Sheet'!AI16="Yes",'Job Sheet'!AI16="Yes - Centre"))),'Straight Cutting'!Q16,"")</f>
        <v/>
      </c>
      <c r="NF10" s="73" t="str">
        <f>IF(AND('Straight Cutting'!P16="Dune",(OR('Job Sheet'!AI16="Yes",'Job Sheet'!AI16="Yes - Centre"))),'Straight Cutting'!Q16,"")</f>
        <v/>
      </c>
      <c r="NH10" s="73" t="str">
        <f>IF(AND('Straight Cutting'!P16="APO Grey",(OR('Job Sheet'!AI16="Yes",'Job Sheet'!AI16="Yes - Centre"))),'Straight Cutting'!R16,"")</f>
        <v/>
      </c>
      <c r="NI10" s="73" t="str">
        <f>IF(AND('Straight Cutting'!P16="White Birch",(OR('Job Sheet'!AI16="Yes",'Job Sheet'!AI16="Yes - Centre"))),'Straight Cutting'!R16,"")</f>
        <v/>
      </c>
      <c r="NJ10" s="73" t="str">
        <f>IF(AND('Straight Cutting'!P16="Black",(OR('Job Sheet'!AI16="Yes",'Job Sheet'!AI16="Yes - Centre"))),'Straight Cutting'!R16,"")</f>
        <v/>
      </c>
      <c r="NK10" s="73" t="str">
        <f>IF(AND('Straight Cutting'!P16="Brown",(OR('Job Sheet'!AI16="Yes",'Job Sheet'!AI16="Yes - Centre"))),'Straight Cutting'!R16,"")</f>
        <v/>
      </c>
      <c r="NL10" s="73" t="str">
        <f>IF(AND('Straight Cutting'!P16="Deep Ocean",(OR('Job Sheet'!AI16="Yes",'Job Sheet'!AI16="Yes - Centre"))),'Straight Cutting'!R16,"")</f>
        <v/>
      </c>
      <c r="NM10" s="73" t="str">
        <f>IF(AND('Straight Cutting'!P16="Jasper",(OR('Job Sheet'!AI16="Yes",'Job Sheet'!AI16="Yes - Centre"))),'Straight Cutting'!R16,"")</f>
        <v/>
      </c>
      <c r="NN10" s="73" t="str">
        <f>IF(AND('Straight Cutting'!P16="Paperbark",(OR('Job Sheet'!AI16="Yes",'Job Sheet'!AI16="Yes - Centre"))),'Straight Cutting'!R16,"")</f>
        <v/>
      </c>
      <c r="NO10" s="73" t="str">
        <f>IF(AND('Straight Cutting'!P16="Mist Green",(OR('Job Sheet'!AI16="Yes",'Job Sheet'!AI16="Yes - Centre"))),'Straight Cutting'!R16,"")</f>
        <v/>
      </c>
      <c r="NP10" s="73" t="str">
        <f>IF(AND('Straight Cutting'!P16="Primrose",(OR('Job Sheet'!AI16="Yes",'Job Sheet'!AI16="Yes - Centre"))),'Straight Cutting'!R16,"")</f>
        <v/>
      </c>
      <c r="NQ10" s="73" t="str">
        <f>IF(AND('Straight Cutting'!P16="Ultra Silver",(OR('Job Sheet'!AI16="Yes",'Job Sheet'!AI16="Yes - Centre"))),'Straight Cutting'!R16,"")</f>
        <v/>
      </c>
      <c r="NR10" s="73" t="str">
        <f>IF(AND('Straight Cutting'!P16="Woodland Grey(Green Tone)",(OR('Job Sheet'!AI16="Yes",'Job Sheet'!AI16="Yes - Centre"))),'Straight Cutting'!R16,"")</f>
        <v/>
      </c>
      <c r="NS10" s="73" t="str">
        <f>IF(AND('Straight Cutting'!P16="Pearl White",(OR('Job Sheet'!AI16="Yes",'Job Sheet'!AI16="Yes - Centre"))),'Straight Cutting'!R16,"")</f>
        <v/>
      </c>
      <c r="NT10" s="73" t="str">
        <f>IF(AND('Straight Cutting'!P16="Monument",(OR('Job Sheet'!AI16="Yes",'Job Sheet'!AI16="Yes - Centre"))),'Straight Cutting'!R16,"")</f>
        <v/>
      </c>
      <c r="NU10" s="73" t="str">
        <f>IF(AND('Straight Cutting'!P16="Surfmist",(OR('Job Sheet'!AI16="Yes",'Job Sheet'!AI16="Yes - Centre"))),'Straight Cutting'!R16,"")</f>
        <v/>
      </c>
      <c r="NV10" s="73" t="str">
        <f>IF(AND('Straight Cutting'!P16="Dune",(OR('Job Sheet'!AI16="Yes",'Job Sheet'!AI16="Yes - Centre"))),'Straight Cutting'!R16,"")</f>
        <v/>
      </c>
      <c r="ON10" s="73" t="str">
        <f>IF(Data!AW16="","",IF(VLOOKUP(CONCATENATE(Data!BO16,'Job Sheet'!AE16),DoorType,4,FALSE)="Yes",(('Job Sheet'!BH16-98)*2+('Job Sheet'!BI16-96)*2)/2700,""))</f>
        <v/>
      </c>
      <c r="OO10" s="73" t="str">
        <f>IF(Data!AW16="","",IF('Mitred Cutting'!F16="1.6mm",(('Job Sheet'!BH16-114)*2+('Job Sheet'!BI16-114)*2)/3100,""))</f>
        <v/>
      </c>
      <c r="OP10" s="73" t="str">
        <f>IF(Data!AW16="","",IF('Mitred Cutting'!F16="2mm",(('Job Sheet'!BH16-114)*2+('Job Sheet'!BI16-114)*2)/3100,""))</f>
        <v/>
      </c>
      <c r="OQ10" s="48" t="str">
        <f>IF(Data!AW16="","",IF('Straight Cutting'!R16&lt;&gt;"",(('Job Sheet'!BO16*4)+('Job Sheet'!BQ16*2)+('Job Sheet'!BP16*2))/4000,IF('Mitred Cutting'!C16="Invisi-Gard",(('Job Sheet'!BO16+'Job Sheet'!BP16)*2)/4000,"")))</f>
        <v/>
      </c>
      <c r="OR10" s="48" t="str">
        <f t="shared" si="2"/>
        <v/>
      </c>
      <c r="OS10" s="48" t="str">
        <f t="shared" si="3"/>
        <v/>
      </c>
      <c r="OT10" s="73" t="str">
        <f>IF(D10="","",'Job Sheet'!BH16-2)</f>
        <v/>
      </c>
      <c r="OU10" s="73" t="str">
        <f>IF(OR('Job Sheet'!AE16="Fibreglass Mesh",'Job Sheet'!AE16="Tuff Mesh",'Job Sheet'!AE16="Pet Mesh",'Job Sheet'!AE16="Aluminium Mesh"),'Job Sheet'!BH16*2+'Job Sheet'!BI16*2-200,"")</f>
        <v/>
      </c>
      <c r="OV10" s="73" t="str">
        <f>IF('Job Sheet'!M16="Not Required","",IF(Punching!K16="Hinged High",1,""))</f>
        <v/>
      </c>
      <c r="OW10" s="73" t="str">
        <f>IF('Job Sheet'!M16="Not Required","",IF(Punching!K16="Hinged Low",1,""))</f>
        <v/>
      </c>
      <c r="OX10" s="73" t="str">
        <f>IF('Job Sheet'!M16="Not Required","",IF(Punching!K16="Hinged Pool",1,""))</f>
        <v/>
      </c>
      <c r="OY10" s="73" t="str">
        <f>IF('Job Sheet'!M16="Not Required","",IF(Punching!K16="Hinged Adjustable",1,""))</f>
        <v/>
      </c>
      <c r="OZ10" s="73" t="str">
        <f>IF('Job Sheet'!M16="Not Required","",IF(Punching!K16="Sliding High",1,""))</f>
        <v/>
      </c>
      <c r="PA10" s="73" t="str">
        <f>IF('Job Sheet'!M16="Not Required","",IF(Punching!K16="Sliding Low",1,""))</f>
        <v/>
      </c>
      <c r="PB10" s="73" t="str">
        <f>IF('Job Sheet'!M16="Not Required","",IF(Punching!K16="Sliding Pool",1,""))</f>
        <v/>
      </c>
      <c r="PC10" s="73" t="str">
        <f>IF('Job Sheet'!M16="Not Required","",IF(Punching!K16="Sliding Adjustable",1,""))</f>
        <v/>
      </c>
      <c r="PD10" s="73" t="str">
        <f t="shared" si="0"/>
        <v/>
      </c>
      <c r="PH10" s="73" t="str">
        <f>IF('Job Sheet'!AV16&lt;&gt;"Yes","",IF(OR('Job Sheet'!AY16="Left",'Job Sheet'!AY16="Right"),"1","2"))</f>
        <v/>
      </c>
      <c r="PO10" s="73" t="str">
        <f>IF('Job Sheet'!M16="Bass Latch",1,"")</f>
        <v/>
      </c>
      <c r="PP10" s="73" t="str">
        <f>IF('Job Sheet'!AU16="Yes","2","")</f>
        <v/>
      </c>
      <c r="PQ10" s="73" t="str">
        <f>IF('Job Sheet'!U16="Black",1,"")</f>
        <v/>
      </c>
      <c r="PR10" s="73" t="str">
        <f>IF('Job Sheet'!U16="Dune",1,"")</f>
        <v/>
      </c>
      <c r="PS10" s="73" t="str">
        <f>IF('Job Sheet'!U16="Jasper",1,"")</f>
        <v/>
      </c>
      <c r="PT10" s="73" t="str">
        <f>IF('Job Sheet'!U16="Monument",1,"")</f>
        <v/>
      </c>
      <c r="PU10" s="73" t="str">
        <f>IF('Job Sheet'!U16="Paperbark",1,"")</f>
        <v/>
      </c>
      <c r="PV10" s="73" t="str">
        <f>IF('Job Sheet'!U16="Primrose",1,"")</f>
        <v/>
      </c>
      <c r="PW10" s="73" t="str">
        <f>IF('Job Sheet'!U16="Surfmist",1,"")</f>
        <v/>
      </c>
      <c r="PX10" s="73" t="str">
        <f>IF('Job Sheet'!U16="White",1,"")</f>
        <v/>
      </c>
      <c r="PY10" s="73" t="str">
        <f>IF('Job Sheet'!U16="Woodland Grey(Green Tone)",1,"")</f>
        <v/>
      </c>
      <c r="PZ10" s="73" t="str">
        <f>IF(AND(OR('Job Sheet'!M16="Single Lock",'Job Sheet'!M16="Triple Lock"),'Job Sheet'!J16="Hinged",'Job Sheet'!Q16="Black"),1,"")</f>
        <v/>
      </c>
      <c r="QA10" s="73" t="str">
        <f>IF(AND(OR('Job Sheet'!M16="Single Lock",'Job Sheet'!M16="Triple Lock"),'Job Sheet'!J16="Hinged",'Job Sheet'!Q16="Dune"),1,"")</f>
        <v/>
      </c>
      <c r="QB10" s="73" t="str">
        <f>IF(AND(OR('Job Sheet'!M16="Single Lock",'Job Sheet'!M16="Triple Lock"),'Job Sheet'!J16="Hinged",'Job Sheet'!Q16="Jasper"),1,"")</f>
        <v/>
      </c>
      <c r="QC10" s="73" t="str">
        <f>IF(AND(OR('Job Sheet'!M16="Single Lock",'Job Sheet'!M16="Triple Lock"),'Job Sheet'!J16="Hinged",'Job Sheet'!Q16="Monument"),1,"")</f>
        <v/>
      </c>
      <c r="QD10" s="73" t="str">
        <f>IF(AND(OR('Job Sheet'!M16="Single Lock",'Job Sheet'!M16="Triple Lock"),'Job Sheet'!J16="Hinged",'Job Sheet'!Q16="Paperbark"),1,"")</f>
        <v/>
      </c>
      <c r="QE10" s="73" t="str">
        <f>IF(AND(OR('Job Sheet'!M16="Single Lock",'Job Sheet'!M16="Triple Lock"),'Job Sheet'!J16="Hinged",'Job Sheet'!Q16="Primrose"),1,"")</f>
        <v/>
      </c>
      <c r="QF10" s="73" t="str">
        <f>IF(AND(OR('Job Sheet'!M16="Single Lock",'Job Sheet'!M16="Triple Lock"),'Job Sheet'!J16="Hinged",'Job Sheet'!Q16="Surfmist"),1,"")</f>
        <v/>
      </c>
      <c r="QG10" s="73" t="str">
        <f>IF(AND(OR('Job Sheet'!M16="Single Lock",'Job Sheet'!M16="Triple Lock"),'Job Sheet'!J16="Hinged",'Job Sheet'!Q16="White"),1,"")</f>
        <v/>
      </c>
      <c r="QH10" s="73" t="str">
        <f>IF(AND(OR('Job Sheet'!M16="Single Lock",'Job Sheet'!M16="Triple Lock"),'Job Sheet'!J16="Hinged",'Job Sheet'!Q16="Woodland Grey(Green Tone)"),1,"")</f>
        <v/>
      </c>
      <c r="QI10" s="73" t="str">
        <f>IF(AND(OR('Job Sheet'!M16="Push 2 Go Single Lock",'Job Sheet'!M16="Push 2 Go Triple Lock"),'Job Sheet'!J16="Hinged",'Job Sheet'!Q16="Black"),1,"")</f>
        <v/>
      </c>
      <c r="QJ10" s="73" t="str">
        <f>IF(AND(OR('Job Sheet'!M16="Push 2 Go Single Lock",'Job Sheet'!M16="Push 2 Go Triple Lock"),'Job Sheet'!J16="Hinged",'Job Sheet'!Q16="Dune"),1,"")</f>
        <v/>
      </c>
      <c r="QK10" s="73" t="str">
        <f>IF(AND(OR('Job Sheet'!M16="Push 2 Go Single Lock",'Job Sheet'!M16="Push 2 Go Triple Lock"),'Job Sheet'!J16="Hinged",'Job Sheet'!Q16="Jasper"),1,"")</f>
        <v/>
      </c>
      <c r="QL10" s="73" t="str">
        <f>IF(AND(OR('Job Sheet'!M16="Push 2 Go Single Lock",'Job Sheet'!M16="Push 2 Go Triple Lock"),'Job Sheet'!J16="Hinged",'Job Sheet'!Q16="Monument"),1,"")</f>
        <v/>
      </c>
      <c r="QM10" s="73" t="str">
        <f>IF(AND(OR('Job Sheet'!M16="Push 2 Go Single Lock",'Job Sheet'!M16="Push 2 Go Triple Lock"),'Job Sheet'!J16="Hinged",'Job Sheet'!Q16="Paperbark"),1,"")</f>
        <v/>
      </c>
      <c r="QN10" s="73" t="str">
        <f>IF(AND(OR('Job Sheet'!M16="Push 2 Go Single Lock",'Job Sheet'!M16="Push 2 Go Triple Lock"),'Job Sheet'!J16="Hinged",'Job Sheet'!Q16="Primrose"),1,"")</f>
        <v/>
      </c>
      <c r="QO10" s="73" t="str">
        <f>IF(AND(OR('Job Sheet'!M16="Push 2 Go Single Lock",'Job Sheet'!M16="Push 2 Go Triple Lock"),'Job Sheet'!J16="Hinged",'Job Sheet'!Q16="Surfmist"),1,"")</f>
        <v/>
      </c>
      <c r="QP10" s="73" t="str">
        <f>IF(AND(OR('Job Sheet'!M16="Push 2 Go Single Lock",'Job Sheet'!M16="Push 2 Go Triple Lock"),'Job Sheet'!J16="Hinged",'Job Sheet'!Q16="White"),1,"")</f>
        <v/>
      </c>
      <c r="QQ10" s="73" t="str">
        <f>IF(AND(OR('Job Sheet'!M16="Push 2 Go Single Lock",'Job Sheet'!M16="Push 2 Go Triple Lock"),'Job Sheet'!J16="Hinged",'Job Sheet'!Q16="Woodland Grey(Green Tone)"),1,"")</f>
        <v/>
      </c>
      <c r="QR10" s="73" t="str">
        <f>IF('Job Sheet'!M16="Bass Latch","",IF(AND(OR('Job Sheet'!J16="Sliding",'Job Sheet'!J16="Stacker"),'Job Sheet'!Q16="Black"),1,""))</f>
        <v/>
      </c>
      <c r="QS10" s="73" t="str">
        <f>IF('Job Sheet'!M16="Bass Latch","",IF(AND(OR('Job Sheet'!J16="Sliding",'Job Sheet'!J16="Stacker"),'Job Sheet'!Q16="Dune"),1,""))</f>
        <v/>
      </c>
      <c r="QT10" s="73" t="str">
        <f>IF('Job Sheet'!M16="Bass Latch","",IF(AND(OR('Job Sheet'!J16="Sliding",'Job Sheet'!J16="Stacker"),'Job Sheet'!Q16="Jasper"),1,""))</f>
        <v/>
      </c>
      <c r="QU10" s="73" t="str">
        <f>IF('Job Sheet'!M16="Bass Latch","",IF(AND(OR('Job Sheet'!J16="Sliding",'Job Sheet'!J16="Stacker"),'Job Sheet'!Q16="Monument"),1,""))</f>
        <v/>
      </c>
      <c r="QV10" s="73" t="str">
        <f>IF('Job Sheet'!M16="Bass Latch","",IF(AND(OR('Job Sheet'!J16="Sliding",'Job Sheet'!J16="Stacker"),'Job Sheet'!Q16="Paperbark"),1,""))</f>
        <v/>
      </c>
      <c r="QW10" s="73" t="str">
        <f>IF('Job Sheet'!M16="Bass Latch","",IF(AND(OR('Job Sheet'!J16="Sliding",'Job Sheet'!J16="Stacker"),'Job Sheet'!Q16="Primrose"),1,""))</f>
        <v/>
      </c>
      <c r="QX10" s="73" t="str">
        <f>IF('Job Sheet'!M16="Bass Latch","",IF(AND(OR('Job Sheet'!J16="Sliding",'Job Sheet'!J16="Stacker"),'Job Sheet'!Q16="Surfmist"),1,""))</f>
        <v/>
      </c>
      <c r="QY10" s="73" t="str">
        <f>IF('Job Sheet'!M16="Bass Latch","",IF(AND('Job Sheet'!J16="Sliding",'Job Sheet'!Q16="White"),1,""))</f>
        <v/>
      </c>
      <c r="QZ10" s="73" t="str">
        <f>IF('Job Sheet'!M16="Bass Latch","",IF(AND(OR('Job Sheet'!J16="Sliding",'Job Sheet'!J16="Stacker"),'Job Sheet'!Q16="Woodland Grey(Green Tone)"),1,""))</f>
        <v/>
      </c>
      <c r="RA10" s="73" t="str">
        <f>IF(OR('Job Sheet'!M16="Single Lock",'Job Sheet'!M16="Triple Lock"),1,"")</f>
        <v/>
      </c>
      <c r="RB10" s="73" t="str">
        <f>IF('Job Sheet'!R16="Extended",1,"")</f>
        <v/>
      </c>
      <c r="RC10" s="73" t="str">
        <f>IF(OR('Job Sheet'!J16="Sliding",'Job Sheet'!J16="Stacker"),4,"")</f>
        <v/>
      </c>
      <c r="RD10" s="73" t="str">
        <f>IF('Job Sheet'!J16="Hinged",3,"")</f>
        <v/>
      </c>
      <c r="RF10" s="73" t="str">
        <f>IF(AND('Job Sheet'!AW16="Small 190mm x 240mm",'Job Sheet'!AX16="Black"),1,"")</f>
        <v/>
      </c>
      <c r="RG10" s="73" t="str">
        <f>IF(AND('Job Sheet'!AW16="Medium 225mm x 305mm",'Job Sheet'!AX16="Black"),1,"")</f>
        <v/>
      </c>
      <c r="RH10" s="73" t="str">
        <f>IF(AND('Job Sheet'!AW16="Large 260mm x 400mm",'Job Sheet'!AX16="Black"),1,"")</f>
        <v/>
      </c>
      <c r="RI10" s="73" t="str">
        <f>IF(AND('Job Sheet'!AW16="Small 190mm x 240mm",'Job Sheet'!AX16="White"),1,"")</f>
        <v/>
      </c>
      <c r="RJ10" s="73" t="str">
        <f>IF(AND('Job Sheet'!AW16="Medium 225mm x 305mm",'Job Sheet'!AX16="White"),1,"")</f>
        <v/>
      </c>
      <c r="RK10" s="73" t="str">
        <f>IF(AND('Job Sheet'!AW16="Large 260mm x 400mm",'Job Sheet'!AX16="White"),1,"")</f>
        <v/>
      </c>
      <c r="RL10" s="73" t="str">
        <f>IF('Job Sheet'!AQ16="T Mullion with Cutouts and 2 Lock Bolts",2,"")</f>
        <v/>
      </c>
      <c r="RM10" s="73" t="str">
        <f>IF('Job Sheet'!U16="Water Closer",1,"")</f>
        <v/>
      </c>
      <c r="RN10" s="73" t="str">
        <f>IF('Job Sheet'!AO16="Yes, Included in other Door","",IF(OR('Mitred Cutting'!I16="Long Leg Left, Right and Top",'Mitred Cutting'!I16="Short Leg Left, Right and Top"),2,""))</f>
        <v/>
      </c>
      <c r="RO10" s="73" t="str">
        <f>IF(AND('Mitred Cutting'!C16="Invisi-Gard",(OR('Job Sheet'!AI16="Yes",'Job Sheet'!AI16="Yes - Centre"))),2,"")</f>
        <v/>
      </c>
      <c r="RQ10" s="73" t="str">
        <f>IF('Job Sheet'!M16="Ultra Secua Digital Triple Lock",1,"")</f>
        <v/>
      </c>
      <c r="RT10" s="73" t="str">
        <f>IF(AND('Job Sheet'!BL16="750 x 2000",(OR('Job Sheet'!BK16="Woven Stainless Steel",'Job Sheet'!BK16="Invisi-Gard Woven Stainless Steel"))),1,"")</f>
        <v/>
      </c>
      <c r="RU10" s="73" t="str">
        <f>IF(AND('Job Sheet'!BL16="750 x 2400",(OR('Job Sheet'!BK16="Woven Stainless Steel",'Job Sheet'!BK16="Invisi-Gard Woven Stainless Steel"))),1,"")</f>
        <v/>
      </c>
      <c r="RV10" s="73" t="str">
        <f>IF(AND('Job Sheet'!BL16="750 x 3000",(OR('Job Sheet'!BK16="Woven Stainless Steel",'Job Sheet'!BK16="Invisi-Gard Woven Stainless Steel"))),1,"")</f>
        <v/>
      </c>
      <c r="RW10" s="73" t="str">
        <f>IF(AND('Job Sheet'!BL16="900 x 2000",(OR('Job Sheet'!BK16="Woven Stainless Steel",'Job Sheet'!BK16="Invisi-Gard Woven Stainless Steel"))),1,"")</f>
        <v/>
      </c>
      <c r="RX10" s="73" t="str">
        <f>IF(AND('Job Sheet'!BL16="900 x 2400",(OR('Job Sheet'!BK16="Woven Stainless Steel",'Job Sheet'!BK16="Invisi-Gard Woven Stainless Steel"))),1,"")</f>
        <v/>
      </c>
      <c r="RY10" s="73" t="str">
        <f>IF(AND('Job Sheet'!BL16="900 x 3000",(OR('Job Sheet'!BK16="Woven Stainless Steel",'Job Sheet'!BK16="Invisi-Gard Woven Stainless Steel"))),1,"")</f>
        <v/>
      </c>
      <c r="RZ10" s="73" t="str">
        <f>IF(AND('Job Sheet'!BL16="1200 x 2000",(OR('Job Sheet'!BK16="Woven Stainless Steel",'Job Sheet'!BK16="Invisi-Gard Woven Stainless Steel"))),1,"")</f>
        <v/>
      </c>
      <c r="SA10" s="73" t="str">
        <f>IF(AND('Job Sheet'!BL16="1200 x 2400",(OR('Job Sheet'!BK16="Woven Stainless Steel",'Job Sheet'!BK16="Invisi-Gard Woven Stainless Steel"))),1,"")</f>
        <v/>
      </c>
      <c r="SB10" s="73" t="str">
        <f>IF(AND('Job Sheet'!BL16="1200 x 3000",(OR('Job Sheet'!BK16="Woven Stainless Steel",'Job Sheet'!BK16="Invisi-Gard Woven Stainless Steel"))),1,"")</f>
        <v/>
      </c>
      <c r="SC10" s="73" t="str">
        <f>IF(AND('Job Sheet'!BL16="1500 x 2000",(OR('Job Sheet'!BK16="Woven Stainless Steel",'Job Sheet'!BK16="Invisi-Gard Woven Stainless Steel"))),1,"")</f>
        <v/>
      </c>
      <c r="SD10" s="73" t="str">
        <f>IF(AND('Job Sheet'!BL16="1500 x 2400",(OR('Job Sheet'!BK16="Woven Stainless Steel",'Job Sheet'!BK16="Invisi-Gard Woven Stainless Steel"))),1,"")</f>
        <v/>
      </c>
      <c r="SE10" s="73" t="str">
        <f>IF(AND('Job Sheet'!BL16="1500 x 3000",(OR('Job Sheet'!BK16="Woven Stainless Steel",'Job Sheet'!BK16="Invisi-Gard Woven Stainless Steel"))),1,"")</f>
        <v/>
      </c>
      <c r="SF10" s="73" t="str">
        <f>IF(AND('Job Sheet'!BK16="Alu-Gard Perforated Aluminium",'Job Sheet'!BL16="750 x 2000"),1,"")</f>
        <v/>
      </c>
      <c r="SG10" s="73" t="str">
        <f>IF(AND('Job Sheet'!BK16="Alu-Gard Perforated Aluminium",'Job Sheet'!BL16="750 x 2400"),1,"")</f>
        <v/>
      </c>
      <c r="SH10" s="73" t="str">
        <f>IF(AND('Job Sheet'!BK16="Alu-Gard Perforated Aluminium",'Job Sheet'!BL16="750 x 3000"),1,"")</f>
        <v/>
      </c>
      <c r="SI10" s="73" t="str">
        <f>IF(AND('Job Sheet'!BK16="Alu-Gard Perforated Aluminium",'Job Sheet'!BL16="900 x 2000"),1,"")</f>
        <v/>
      </c>
      <c r="SJ10" s="73" t="str">
        <f>IF(AND('Job Sheet'!BK16="Alu-Gard Perforated Aluminium",'Job Sheet'!BL16="900 x 2400"),1,"")</f>
        <v/>
      </c>
      <c r="SK10" s="73" t="str">
        <f>IF(AND('Job Sheet'!BK16="Alu-Gard Perforated Aluminium",'Job Sheet'!BL16="900 x 3000"),1,"")</f>
        <v/>
      </c>
      <c r="SL10" s="73" t="str">
        <f>IF(AND('Job Sheet'!BK16="Alu-Gard Perforated Aluminium",'Job Sheet'!BL16="1200 x 2000"),1,"")</f>
        <v/>
      </c>
      <c r="SM10" s="73" t="str">
        <f>IF(AND('Job Sheet'!BK16="Alu-Gard Perforated Aluminium",'Job Sheet'!BL16="1200 x 2400"),1,"")</f>
        <v/>
      </c>
      <c r="SN10" s="73" t="str">
        <f>IF(AND('Job Sheet'!BK16="Alu-Gard Perforated Aluminium",'Job Sheet'!BL16="1200 x 3000"),1,"")</f>
        <v/>
      </c>
      <c r="SO10" s="73" t="str">
        <f>IF(AND('Job Sheet'!BK16="Alu-Gard Perforated Aluminium",'Job Sheet'!BL16="1500 x 2000"),1,"")</f>
        <v/>
      </c>
      <c r="SP10" s="73" t="str">
        <f>IF(AND('Job Sheet'!BK16="Alu-Gard Perforated Aluminium",'Job Sheet'!BL16="1500 x 2400"),1,"")</f>
        <v/>
      </c>
      <c r="SQ10" s="73" t="str">
        <f>IF(AND('Job Sheet'!BK16="Alu-Gard Perforated Aluminium",'Job Sheet'!BL16="1500 x 3000"),1,"")</f>
        <v/>
      </c>
      <c r="SR10" s="73" t="str">
        <f>IF(AND('Job Sheet'!BK16="Privacy-Gard",'Job Sheet'!BL16="750 x 2000"),1,"")</f>
        <v/>
      </c>
      <c r="SS10" s="73" t="str">
        <f>IF(AND('Job Sheet'!BK16="Privacy-Gard",'Job Sheet'!BL16="750 x 2400"),1,"")</f>
        <v/>
      </c>
      <c r="ST10" s="73" t="str">
        <f>IF(AND('Job Sheet'!BK16="Privacy-Gard",'Job Sheet'!BL16="900 x 2000"),1,"")</f>
        <v/>
      </c>
      <c r="SU10" s="73" t="str">
        <f>IF(AND('Job Sheet'!BK16="Privacy-Gard",'Job Sheet'!BL16="900 x 2400"),1,"")</f>
        <v/>
      </c>
      <c r="SV10" s="73" t="str">
        <f>IF(AND('Job Sheet'!BK16="Privacy-Gard",'Job Sheet'!BL16="1200 x 2000"),1,"")</f>
        <v/>
      </c>
      <c r="SW10" s="73" t="str">
        <f>IF(AND('Job Sheet'!BK16="Privacy-Gard",'Job Sheet'!BL16="1200 x 2400"),1,"")</f>
        <v/>
      </c>
      <c r="SX10" s="73" t="str">
        <f>IF(AND('Job Sheet'!BK16="Standard Diamond",'Job Sheet'!BL16="750 x 2050",'Job Sheet'!AB16="APO Grey"),1,"")</f>
        <v/>
      </c>
      <c r="SY10" s="73" t="str">
        <f>IF(AND('Job Sheet'!BK16="Standard Diamond",'Job Sheet'!BL16="750 x 2050",'Job Sheet'!AB16="White Birch"),1,"")</f>
        <v/>
      </c>
      <c r="SZ10" s="73" t="str">
        <f>IF(AND('Job Sheet'!BK16="Standard Diamond",'Job Sheet'!BL16="750 x 2050",'Job Sheet'!AB16="Black"),1,"")</f>
        <v/>
      </c>
      <c r="TA10" s="73" t="str">
        <f>IF(AND('Job Sheet'!BK16="Standard Diamond",'Job Sheet'!BL16="750 x 2050",'Job Sheet'!AB16="Brown"),1,"")</f>
        <v/>
      </c>
      <c r="TB10" s="73" t="str">
        <f>IF(AND('Job Sheet'!BK16="Standard Diamond",'Job Sheet'!BL16="750 x 2050",'Job Sheet'!AB16="Deep Ocean"),1,"")</f>
        <v/>
      </c>
      <c r="TC10" s="73" t="str">
        <f>IF(AND('Job Sheet'!BK16="Standard Diamond",'Job Sheet'!BL16="750 x 2050",'Job Sheet'!AB16="Jasper"),1,"")</f>
        <v/>
      </c>
      <c r="TD10" s="73" t="str">
        <f>IF(AND('Job Sheet'!BK16="Standard Diamond",'Job Sheet'!BL16="750 x 2050",'Job Sheet'!AB16="Paperbark"),1,"")</f>
        <v/>
      </c>
      <c r="TE10" s="73" t="str">
        <f>IF(AND('Job Sheet'!BK16="Standard Diamond",'Job Sheet'!BL16="750 x 2050",'Job Sheet'!AB16="Mist Green"),1,"")</f>
        <v/>
      </c>
      <c r="TF10" s="73" t="str">
        <f>IF(AND('Job Sheet'!BK16="Standard Diamond",'Job Sheet'!BL16="750 x 2050",'Job Sheet'!AB16="Primrose"),1,"")</f>
        <v/>
      </c>
      <c r="TG10" s="73" t="str">
        <f>IF(AND('Job Sheet'!BK16="Standard Diamond",'Job Sheet'!BL16="750 x 2050",'Job Sheet'!AB16="Ultra Silver"),1,"")</f>
        <v/>
      </c>
      <c r="TH10" s="73" t="str">
        <f>IF(AND('Job Sheet'!BK16="Standard Diamond",'Job Sheet'!BL16="750 x 2050",'Job Sheet'!AB16="Woodland Grey(Green Tone)"),1,"")</f>
        <v/>
      </c>
      <c r="TI10" s="73" t="str">
        <f>IF(AND('Job Sheet'!BK16="Standard Diamond",'Job Sheet'!BL16="750 x 2050",'Job Sheet'!AB16="Pearl White"),1,"")</f>
        <v/>
      </c>
      <c r="TJ10" s="73" t="str">
        <f>IF(AND('Job Sheet'!BK16="Standard Diamond",'Job Sheet'!BL16="750 x 2050",'Job Sheet'!AB16="Monument"),1,"")</f>
        <v/>
      </c>
      <c r="TK10" s="73" t="str">
        <f>IF(AND('Job Sheet'!BK16="Standard Diamond",'Job Sheet'!BL16="750 x 2050",'Job Sheet'!AB16="Surfmist"),1,"")</f>
        <v/>
      </c>
      <c r="TL10" s="73" t="str">
        <f>IF(AND('Job Sheet'!BK16="Standard Diamond",'Job Sheet'!BL16="750 x 2050",'Job Sheet'!AB16="Dune"),1,"")</f>
        <v/>
      </c>
      <c r="TM10" s="73" t="str">
        <f>IF(AND('Job Sheet'!BK16="Standard Diamond",'Job Sheet'!BL16="750 x 2050",'Job Sheet'!AB16="Custom Powdercoat"),1,"")</f>
        <v/>
      </c>
      <c r="TN10" s="73" t="str">
        <f>IF(AND('Job Sheet'!BK16="Standard Diamond",'Job Sheet'!BL16="835 x 2050",'Job Sheet'!AB16="APO Grey"),1,"")</f>
        <v/>
      </c>
      <c r="TO10" s="73" t="str">
        <f>IF(AND('Job Sheet'!BK16="Standard Diamond",'Job Sheet'!BL16="835 x 2050",'Job Sheet'!AB16="White Birch"),1,"")</f>
        <v/>
      </c>
      <c r="TP10" s="73" t="str">
        <f>IF(AND('Job Sheet'!BK16="Standard Diamond",'Job Sheet'!BL16="835 x 2050",'Job Sheet'!AB16="Black"),1,"")</f>
        <v/>
      </c>
      <c r="TQ10" s="73" t="str">
        <f>IF(AND('Job Sheet'!BK16="Standard Diamond",'Job Sheet'!BL16="835 x 2050",'Job Sheet'!AB16="Brown"),1,"")</f>
        <v/>
      </c>
      <c r="TR10" s="73" t="str">
        <f>IF(AND('Job Sheet'!BK16="Standard Diamond",'Job Sheet'!BL16="835 x 2050",'Job Sheet'!AB16="Deep Ocean"),1,"")</f>
        <v/>
      </c>
      <c r="TS10" s="73" t="str">
        <f>IF(AND('Job Sheet'!BK16="Standard Diamond",'Job Sheet'!BL16="835 x 2050",'Job Sheet'!AB16="Jasper"),1,"")</f>
        <v/>
      </c>
      <c r="TT10" s="73" t="str">
        <f>IF(AND('Job Sheet'!BK16="Standard Diamond",'Job Sheet'!BL16="835 x 2050",'Job Sheet'!AB16="Paperbark"),1,"")</f>
        <v/>
      </c>
      <c r="TU10" s="73" t="str">
        <f>IF(AND('Job Sheet'!BK16="Standard Diamond",'Job Sheet'!BL16="835 x 2050",'Job Sheet'!AB16="Mist Green"),1,"")</f>
        <v/>
      </c>
      <c r="TV10" s="73" t="str">
        <f>IF(AND('Job Sheet'!BK16="Standard Diamond",'Job Sheet'!BL16="835 x 2050",'Job Sheet'!AB16="Primrose"),1,"")</f>
        <v/>
      </c>
      <c r="TW10" s="73" t="str">
        <f>IF(AND('Job Sheet'!BK16="Standard Diamond",'Job Sheet'!BL16="835 x 2050",'Job Sheet'!AB16="Ultra Silver"),1,"")</f>
        <v/>
      </c>
      <c r="TX10" s="73" t="str">
        <f>IF(AND('Job Sheet'!BK16="Standard Diamond",'Job Sheet'!BL16="835 x 2050",'Job Sheet'!AB16="Woodland Grey(Green Tone)"),1,"")</f>
        <v/>
      </c>
      <c r="TY10" s="73" t="str">
        <f>IF(AND('Job Sheet'!BK16="Standard Diamond",'Job Sheet'!BL16="835 x 2050",'Job Sheet'!AB16="Pearl White"),1,"")</f>
        <v/>
      </c>
      <c r="TZ10" s="73" t="str">
        <f>IF(AND('Job Sheet'!BK16="Standard Diamond",'Job Sheet'!BL16="835 x 2050",'Job Sheet'!AB16="Monument"),1,"")</f>
        <v/>
      </c>
      <c r="UA10" s="73" t="str">
        <f>IF(AND('Job Sheet'!BK16="Standard Diamond",'Job Sheet'!BL16="835 x 2050",'Job Sheet'!AB16="Surfmist"),1,"")</f>
        <v/>
      </c>
      <c r="UB10" s="73" t="str">
        <f>IF(AND('Job Sheet'!BK16="Standard Diamond",'Job Sheet'!BL16="835 x 2050",'Job Sheet'!AB16="Dune"),1,"")</f>
        <v/>
      </c>
      <c r="UC10" s="73" t="str">
        <f>IF(AND('Job Sheet'!BK16="Standard Diamond",'Job Sheet'!BL16="835 x 2050",'Job Sheet'!AB16="Custom Powdercoat"),1,"")</f>
        <v/>
      </c>
      <c r="UD10" s="73" t="str">
        <f>IF(AND('Job Sheet'!BK16="Standard Diamond",'Job Sheet'!BL16="920 x 2050",'Job Sheet'!AB16="APO Grey"),1,"")</f>
        <v/>
      </c>
      <c r="UE10" s="73" t="str">
        <f>IF(AND('Job Sheet'!BK16="Standard Diamond",'Job Sheet'!BL16="920 x 2050",'Job Sheet'!AB16="White Birch"),1,"")</f>
        <v/>
      </c>
      <c r="UF10" s="73" t="str">
        <f>IF(AND('Job Sheet'!BK16="Standard Diamond",'Job Sheet'!BL16="920 x 2050",'Job Sheet'!AB16="Black"),1,"")</f>
        <v/>
      </c>
      <c r="UG10" s="73" t="str">
        <f>IF(AND('Job Sheet'!BK16="Standard Diamond",'Job Sheet'!BL16="920 x 2050",'Job Sheet'!AB16="Brown"),1,"")</f>
        <v/>
      </c>
      <c r="UH10" s="73" t="str">
        <f>IF(AND('Job Sheet'!BK16="Standard Diamond",'Job Sheet'!BL16="920 x 2050",'Job Sheet'!AB16="Deep Ocean"),1,"")</f>
        <v/>
      </c>
      <c r="UI10" s="73" t="str">
        <f>IF(AND('Job Sheet'!BK16="Standard Diamond",'Job Sheet'!BL16="920 x 2050",'Job Sheet'!AB16="Jasper"),1,"")</f>
        <v/>
      </c>
      <c r="UJ10" s="73" t="str">
        <f>IF(AND('Job Sheet'!BK16="Standard Diamond",'Job Sheet'!BL16="920 x 2050",'Job Sheet'!AB16="Paperbark"),1,"")</f>
        <v/>
      </c>
      <c r="UK10" s="73" t="str">
        <f>IF(AND('Job Sheet'!BK16="Standard Diamond",'Job Sheet'!BL16="920 x 2050",'Job Sheet'!AB16="Mist Green"),1,"")</f>
        <v/>
      </c>
      <c r="UL10" s="73" t="str">
        <f>IF(AND('Job Sheet'!BK16="Standard Diamond",'Job Sheet'!BL16="920 x 2050",'Job Sheet'!AB16="Primrose"),1,"")</f>
        <v/>
      </c>
      <c r="UM10" s="73" t="str">
        <f>IF(AND('Job Sheet'!BK16="Standard Diamond",'Job Sheet'!BL16="920 x 2050",'Job Sheet'!AB16="Ultra Silver"),1,"")</f>
        <v/>
      </c>
      <c r="UN10" s="73" t="str">
        <f>IF(AND('Job Sheet'!BK16="Standard Diamond",'Job Sheet'!BL16="920 x 2050",'Job Sheet'!AB16="Woodland Grey(Green Tone)"),1,"")</f>
        <v/>
      </c>
      <c r="UO10" s="73" t="str">
        <f>IF(AND('Job Sheet'!BK16="Standard Diamond",'Job Sheet'!BL16="920 x 2050",'Job Sheet'!AB16="Pearl White"),1,"")</f>
        <v/>
      </c>
      <c r="UP10" s="73" t="str">
        <f>IF(AND('Job Sheet'!BK16="Standard Diamond",'Job Sheet'!BL16="920 x 2050",'Job Sheet'!AB16="Monument"),1,"")</f>
        <v/>
      </c>
      <c r="UQ10" s="73" t="str">
        <f>IF(AND('Job Sheet'!BK16="Standard Diamond",'Job Sheet'!BL16="920 x 2050",'Job Sheet'!AB16="Surfmist"),1,"")</f>
        <v/>
      </c>
      <c r="UR10" s="73" t="str">
        <f>IF(AND('Job Sheet'!BK16="Standard Diamond",'Job Sheet'!BL16="920 x 2050",'Job Sheet'!AB16="Dune"),1,"")</f>
        <v/>
      </c>
      <c r="US10" s="73" t="str">
        <f>IF(AND('Job Sheet'!BK16="Standard Diamond",'Job Sheet'!BL16="920 x 2050",'Job Sheet'!AB16="Custom Powdercoat"),1,"")</f>
        <v/>
      </c>
      <c r="UT10" s="73" t="str">
        <f>IF(AND('Job Sheet'!BK16="Standard Diamond",'Job Sheet'!BL16="1200 x 2050",'Job Sheet'!AB16="APO Grey"),1,"")</f>
        <v/>
      </c>
      <c r="UU10" s="73" t="str">
        <f>IF(AND('Job Sheet'!BK16="Standard Diamond",'Job Sheet'!BL16="1200 x 2050",'Job Sheet'!AB16="White Birch"),1,"")</f>
        <v/>
      </c>
      <c r="UV10" s="73" t="str">
        <f>IF(AND('Job Sheet'!BK16="Standard Diamond",'Job Sheet'!BL16="1200 x 2050",'Job Sheet'!AB16="Black"),1,"")</f>
        <v/>
      </c>
      <c r="UW10" s="73" t="str">
        <f>IF(AND('Job Sheet'!BK16="Standard Diamond",'Job Sheet'!BL16="1200 x 2050",'Job Sheet'!AB16="Brown"),1,"")</f>
        <v/>
      </c>
      <c r="UX10" s="73" t="str">
        <f>IF(AND('Job Sheet'!BK16="Standard Diamond",'Job Sheet'!BL16="1200 x 2050",'Job Sheet'!AB16="Deep Ocean"),1,"")</f>
        <v/>
      </c>
      <c r="UY10" s="73" t="str">
        <f>IF(AND('Job Sheet'!BK16="Standard Diamond",'Job Sheet'!BL16="1200 x 2050",'Job Sheet'!AB16="Jasper"),1,"")</f>
        <v/>
      </c>
      <c r="UZ10" s="73" t="str">
        <f>IF(AND('Job Sheet'!BK16="Standard Diamond",'Job Sheet'!BL16="1200 x 2050",'Job Sheet'!AB16="Paperbark"),1,"")</f>
        <v/>
      </c>
      <c r="VA10" s="73" t="str">
        <f>IF(AND('Job Sheet'!BK16="Standard Diamond",'Job Sheet'!BL16="1200 x 2050",'Job Sheet'!AB16="Mist Green"),1,"")</f>
        <v/>
      </c>
      <c r="VB10" s="73" t="str">
        <f>IF(AND('Job Sheet'!BK16="Standard Diamond",'Job Sheet'!BL16="1200 x 2050",'Job Sheet'!AB16="Primrose"),1,"")</f>
        <v/>
      </c>
      <c r="VC10" s="73" t="str">
        <f>IF(AND('Job Sheet'!BK16="Standard Diamond",'Job Sheet'!BL16="1200 x 2050",'Job Sheet'!AB16="Ultra Silver"),1,"")</f>
        <v/>
      </c>
      <c r="VD10" s="73" t="str">
        <f>IF(AND('Job Sheet'!BK16="Standard Diamond",'Job Sheet'!BL16="1200 x 2050",'Job Sheet'!AB16="Woodland Grey(Green Tone)"),1,"")</f>
        <v/>
      </c>
      <c r="VE10" s="73" t="str">
        <f>IF(AND('Job Sheet'!BK16="Standard Diamond",'Job Sheet'!BL16="1200 x 2050",'Job Sheet'!AB16="Pearl White"),1,"")</f>
        <v/>
      </c>
      <c r="VF10" s="73" t="str">
        <f>IF(AND('Job Sheet'!BK16="Standard Diamond",'Job Sheet'!BL16="1200 x 2050",'Job Sheet'!AB16="Monument"),1,"")</f>
        <v/>
      </c>
      <c r="VG10" s="73" t="str">
        <f>IF(AND('Job Sheet'!BK16="Standard Diamond",'Job Sheet'!BL16="1200 x 2050",'Job Sheet'!AB16="Surfmist"),1,"")</f>
        <v/>
      </c>
      <c r="VH10" s="73" t="str">
        <f>IF(AND('Job Sheet'!BK16="Standard Diamond",'Job Sheet'!BL16="1200 x 2050",'Job Sheet'!AB16="Dune"),1,"")</f>
        <v/>
      </c>
      <c r="VI10" s="73" t="str">
        <f>IF(AND('Job Sheet'!BK16="Standard Diamond",'Job Sheet'!BL16="1200 x 2050",'Job Sheet'!AB16="Custom Powdercoat"),1,"")</f>
        <v/>
      </c>
      <c r="VJ10" s="73" t="str">
        <f>IF(AND('Job Sheet'!BK16="Standard Diamond",'Job Sheet'!BL16="920 x 2450",'Job Sheet'!AB16="APO Grey"),1,"")</f>
        <v/>
      </c>
      <c r="VK10" s="73" t="str">
        <f>IF(AND('Job Sheet'!BK16="Standard Diamond",'Job Sheet'!BL16="920 x 2450",'Job Sheet'!AB16="White Birch"),1,"")</f>
        <v/>
      </c>
      <c r="VL10" s="73" t="str">
        <f>IF(AND('Job Sheet'!BK16="Standard Diamond",'Job Sheet'!BL16="920 x 2450",'Job Sheet'!AB16="Black"),1,"")</f>
        <v/>
      </c>
      <c r="VM10" s="73" t="str">
        <f>IF(AND('Job Sheet'!BK16="Standard Diamond",'Job Sheet'!BL16="920 x 2450",'Job Sheet'!AB16="Brown"),1,"")</f>
        <v/>
      </c>
      <c r="VN10" s="73" t="str">
        <f>IF(AND('Job Sheet'!BK16="Standard Diamond",'Job Sheet'!BL16="920 x 2450",'Job Sheet'!AB16="Deep Ocean"),1,"")</f>
        <v/>
      </c>
      <c r="VO10" s="73" t="str">
        <f>IF(AND('Job Sheet'!BK16="Standard Diamond",'Job Sheet'!BL16="920 x 2450",'Job Sheet'!AB16="Jasper"),1,"")</f>
        <v/>
      </c>
      <c r="VP10" s="73" t="str">
        <f>IF(AND('Job Sheet'!BK16="Standard Diamond",'Job Sheet'!BL16="920 x 2450",'Job Sheet'!AB16="Paperbark"),1,"")</f>
        <v/>
      </c>
      <c r="VQ10" s="73" t="str">
        <f>IF(AND('Job Sheet'!BK16="Standard Diamond",'Job Sheet'!BL16="920 x 2450",'Job Sheet'!AB16="Mist Green"),1,"")</f>
        <v/>
      </c>
      <c r="VR10" s="73" t="str">
        <f>IF(AND('Job Sheet'!BK16="Standard Diamond",'Job Sheet'!BL16="920 x 2450",'Job Sheet'!AB16="Primrose"),1,"")</f>
        <v/>
      </c>
      <c r="VS10" s="73" t="str">
        <f>IF(AND('Job Sheet'!BK16="Standard Diamond",'Job Sheet'!BL16="920 x 2450",'Job Sheet'!AB16="Ultra Silver"),1,"")</f>
        <v/>
      </c>
      <c r="VT10" s="73" t="str">
        <f>IF(AND('Job Sheet'!BK16="Standard Diamond",'Job Sheet'!BL16="920 x 2450",'Job Sheet'!AB16="Woodland Grey(Green Tone)"),1,"")</f>
        <v/>
      </c>
      <c r="VU10" s="73" t="str">
        <f>IF(AND('Job Sheet'!BK16="Standard Diamond",'Job Sheet'!BL16="920 x 2450",'Job Sheet'!AB16="Pearl White"),1,"")</f>
        <v/>
      </c>
      <c r="VV10" s="73" t="str">
        <f>IF(AND('Job Sheet'!BK16="Standard Diamond",'Job Sheet'!BL16="920 x 2450",'Job Sheet'!AB16="Monument"),1,"")</f>
        <v/>
      </c>
      <c r="VW10" s="73" t="str">
        <f>IF(AND('Job Sheet'!BK16="Standard Diamond",'Job Sheet'!BL16="920 x 2450",'Job Sheet'!AB16="Surfmist"),1,"")</f>
        <v/>
      </c>
      <c r="VX10" s="73" t="str">
        <f>IF(AND('Job Sheet'!BK16="Standard Diamond",'Job Sheet'!BL16="920 x 2450",'Job Sheet'!AB16="Dune"),1,"")</f>
        <v/>
      </c>
      <c r="VY10" s="73" t="str">
        <f>IF(AND('Job Sheet'!BK16="Standard Diamond",'Job Sheet'!BL16="920 x 2450",'Job Sheet'!AB16="Custom Powdercoat"),1,"")</f>
        <v/>
      </c>
      <c r="VZ10" s="73" t="str">
        <f>IF(AND('Job Sheet'!BK16="Standard Diamond",'Job Sheet'!BL16="1200 x 2450",'Job Sheet'!AB16="APO Grey"),1,"")</f>
        <v/>
      </c>
      <c r="WA10" s="73" t="str">
        <f>IF(AND('Job Sheet'!BK16="Standard Diamond",'Job Sheet'!BL16="1200 x 2450",'Job Sheet'!AB16="White Birch"),1,"")</f>
        <v/>
      </c>
      <c r="WB10" s="73" t="str">
        <f>IF(AND('Job Sheet'!BK16="Standard Diamond",'Job Sheet'!BL16="1200 x 2450",'Job Sheet'!AB16="Black"),1,"")</f>
        <v/>
      </c>
      <c r="WC10" s="73" t="str">
        <f>IF(AND('Job Sheet'!BK16="Standard Diamond",'Job Sheet'!BL16="1200 x 2450",'Job Sheet'!AB16="Brown"),1,"")</f>
        <v/>
      </c>
      <c r="WD10" s="73" t="str">
        <f>IF(AND('Job Sheet'!BK16="Standard Diamond",'Job Sheet'!BL16="1200 x 2450",'Job Sheet'!AB16="Deep Ocean"),1,"")</f>
        <v/>
      </c>
      <c r="WE10" s="73" t="str">
        <f>IF(AND('Job Sheet'!BK16="Standard Diamond",'Job Sheet'!BL16="1200 x 2450",'Job Sheet'!AB16="Jasper"),1,"")</f>
        <v/>
      </c>
      <c r="WF10" s="73" t="str">
        <f>IF(AND('Job Sheet'!BK16="Standard Diamond",'Job Sheet'!BL16="1200 x 2450",'Job Sheet'!AB16="Paperbark"),1,"")</f>
        <v/>
      </c>
      <c r="WG10" s="73" t="str">
        <f>IF(AND('Job Sheet'!BK16="Standard Diamond",'Job Sheet'!BL16="1200 x 2450",'Job Sheet'!AB16="Mist Green"),1,"")</f>
        <v/>
      </c>
      <c r="WH10" s="73" t="str">
        <f>IF(AND('Job Sheet'!BK16="Standard Diamond",'Job Sheet'!BL16="1200 x 2450",'Job Sheet'!AB16="Primrose"),1,"")</f>
        <v/>
      </c>
      <c r="WI10" s="73" t="str">
        <f>IF(AND('Job Sheet'!BK16="Standard Diamond",'Job Sheet'!BL16="1200 x 2450",'Job Sheet'!AB16="Ultra Silver"),1,"")</f>
        <v/>
      </c>
      <c r="WJ10" s="73" t="str">
        <f>IF(AND('Job Sheet'!BK16="Standard Diamond",'Job Sheet'!BL16="1200 x 2450",'Job Sheet'!AB16="Woodland Grey(Green Tone)"),1,"")</f>
        <v/>
      </c>
      <c r="WK10" s="73" t="str">
        <f>IF(AND('Job Sheet'!BK16="Standard Diamond",'Job Sheet'!BL16="1200 x 2450",'Job Sheet'!AB16="Pearl White"),1,"")</f>
        <v/>
      </c>
      <c r="WL10" s="73" t="str">
        <f>IF(AND('Job Sheet'!BK16="Standard Diamond",'Job Sheet'!BL16="1200 x 2450",'Job Sheet'!AB16="Monument"),1,"")</f>
        <v/>
      </c>
      <c r="WM10" s="73" t="str">
        <f>IF(AND('Job Sheet'!BK16="Standard Diamond",'Job Sheet'!BL16="1200 x 2450",'Job Sheet'!AB16="Surfmist"),1,"")</f>
        <v/>
      </c>
      <c r="WN10" s="73" t="str">
        <f>IF(AND('Job Sheet'!BK16="Standard Diamond",'Job Sheet'!BL16="1200 x 2450",'Mitred Cutting'!D16="Dune"),1,"")</f>
        <v/>
      </c>
      <c r="WO10" s="73" t="str">
        <f>IF(AND('Job Sheet'!BK16="Standard Diamond",'Job Sheet'!BL16="1200 x 2450",'Job Sheet'!AB16="Custom Powdercoat"),1,"")</f>
        <v/>
      </c>
      <c r="WP10" s="73" t="str">
        <f>IF(AND('Job Sheet'!BK16="Decorative Diamond",'Job Sheet'!BL16="770 x 2050",'Job Sheet'!AB16="APO Grey"),1,"")</f>
        <v/>
      </c>
      <c r="WQ10" s="73" t="str">
        <f>IF(AND('Job Sheet'!BK16="Decorative Diamond",'Job Sheet'!BL16="770 x 2050",'Job Sheet'!AB16="White Birch"),1,"")</f>
        <v/>
      </c>
      <c r="WR10" s="73" t="str">
        <f>IF(AND('Job Sheet'!BK16="Decorative Diamond",'Job Sheet'!BL16="770 x 2050",'Job Sheet'!AB16="Black"),1,"")</f>
        <v/>
      </c>
      <c r="WS10" s="73" t="str">
        <f>IF(AND('Job Sheet'!BK16="Decorative Diamond",'Job Sheet'!BL16="770 x 2050",'Job Sheet'!AB16="Brown"),1,"")</f>
        <v/>
      </c>
      <c r="WT10" s="73" t="str">
        <f>IF(AND('Job Sheet'!BK16="Decorative Diamond",'Job Sheet'!BL16="770 x 2050",'Job Sheet'!AB16="Deep Ocean"),1,"")</f>
        <v/>
      </c>
      <c r="WU10" s="73" t="str">
        <f>IF(AND('Job Sheet'!BK16="Decorative Diamond",'Job Sheet'!BL16="770 x 2050",'Job Sheet'!AB16="Jasper"),1,"")</f>
        <v/>
      </c>
      <c r="WV10" s="73" t="str">
        <f>IF(AND('Job Sheet'!BK16="Decorative Diamond",'Job Sheet'!BL16="770 x 2050",'Job Sheet'!AB16="Paperbark"),1,"")</f>
        <v/>
      </c>
      <c r="WW10" s="73" t="str">
        <f>IF(AND('Job Sheet'!BK16="Decorative Diamond",'Job Sheet'!BL16="770 x 2050",'Job Sheet'!AB16="Mist Green"),1,"")</f>
        <v/>
      </c>
      <c r="WX10" s="73" t="str">
        <f>IF(AND('Job Sheet'!BK16="Decorative Diamond",'Job Sheet'!BL16="770 x 2050",'Job Sheet'!AB16="Primrose"),1,"")</f>
        <v/>
      </c>
      <c r="WY10" s="73" t="str">
        <f>IF(AND('Job Sheet'!BK16="Decorative Diamond",'Job Sheet'!BL16="770 x 2050",'Job Sheet'!AB16="Ultra Silver"),1,"")</f>
        <v/>
      </c>
      <c r="WZ10" s="73" t="str">
        <f>IF(AND('Job Sheet'!BK16="Decorative Diamond",'Job Sheet'!BL16="770 x 2050",'Job Sheet'!AB16="Woodland Grey(Green Tone)"),1,"")</f>
        <v/>
      </c>
      <c r="XA10" s="73" t="str">
        <f>IF(AND('Job Sheet'!BK16="Decorative Diamond",'Job Sheet'!BL16="770 x 2050",'Job Sheet'!AB16="Pearl White"),1,"")</f>
        <v/>
      </c>
      <c r="XB10" s="73" t="str">
        <f>IF(AND('Job Sheet'!BK16="Decorative Diamond",'Job Sheet'!BL16="770 x 2050",'Job Sheet'!AB16="Monument"),1,"")</f>
        <v/>
      </c>
      <c r="XC10" s="73" t="str">
        <f>IF(AND('Job Sheet'!BK16="Decorative Diamond",'Job Sheet'!BL16="770 x 2050",'Job Sheet'!AB16="Surfmist"),1,"")</f>
        <v/>
      </c>
      <c r="XD10" s="73" t="str">
        <f>IF(AND('Job Sheet'!BK16="Decorative Diamond",'Job Sheet'!BL16="770 x 2050",'Job Sheet'!AB16="Dune"),1,"")</f>
        <v/>
      </c>
      <c r="XE10" s="73" t="str">
        <f>IF(AND('Job Sheet'!BK16="Decorative Diamond",'Job Sheet'!BL16="770 x 2050",'Job Sheet'!AB16="Custom Powdercoat"),1,"")</f>
        <v/>
      </c>
      <c r="XF10" s="73" t="str">
        <f>IF(AND('Job Sheet'!BK16="Decorative Diamond",'Job Sheet'!BL16="900 x 2050",'Job Sheet'!AB16="APO Grey"),1,"")</f>
        <v/>
      </c>
      <c r="XG10" s="73" t="str">
        <f>IF(AND('Job Sheet'!BK16="Decorative Diamond",'Job Sheet'!BL16="900 x 2050",'Job Sheet'!AB16="White Birch"),1,"")</f>
        <v/>
      </c>
      <c r="XH10" s="73" t="str">
        <f>IF(AND('Job Sheet'!BK16="Decorative Diamond",'Job Sheet'!BL16="900 x 2050",'Job Sheet'!AB16="Black"),1,"")</f>
        <v/>
      </c>
      <c r="XI10" s="73" t="str">
        <f>IF(AND('Job Sheet'!BK16="Decorative Diamond",'Job Sheet'!BL16="900 x 2050",'Job Sheet'!AB16="Brown"),1,"")</f>
        <v/>
      </c>
      <c r="XJ10" s="73" t="str">
        <f>IF(AND('Job Sheet'!BK16="Decorative Diamond",'Job Sheet'!BL16="900 x 2050",'Job Sheet'!AB16="Deep Ocean"),1,"")</f>
        <v/>
      </c>
      <c r="XK10" s="73" t="str">
        <f>IF(AND('Job Sheet'!BK16="Decorative Diamond",'Job Sheet'!BL16="900 x 2050",'Job Sheet'!AB16="Jasper"),1,"")</f>
        <v/>
      </c>
      <c r="XL10" s="73" t="str">
        <f>IF(AND('Job Sheet'!BK16="Decorative Diamond",'Job Sheet'!BL16="900 x 2050",'Job Sheet'!AB16="Paperbark"),1,"")</f>
        <v/>
      </c>
      <c r="XM10" s="73" t="str">
        <f>IF(AND('Job Sheet'!BK16="Decorative Diamond",'Job Sheet'!BL16="900 x 2050",'Job Sheet'!AB16="Mist Green"),1,"")</f>
        <v/>
      </c>
      <c r="XN10" s="73" t="str">
        <f>IF(AND('Job Sheet'!BK16="Decorative Diamond",'Job Sheet'!BL16="900 x 2050",'Job Sheet'!AB16="Primrose"),1,"")</f>
        <v/>
      </c>
      <c r="XO10" s="73" t="str">
        <f>IF(AND('Job Sheet'!BK16="Decorative Diamond",'Job Sheet'!BL16="900 x 2050",'Job Sheet'!AB16="Ultra Silver"),1,"")</f>
        <v/>
      </c>
      <c r="XP10" s="73" t="str">
        <f>IF(AND('Job Sheet'!BK16="Decorative Diamond",'Job Sheet'!BL16="900 x 2050",'Job Sheet'!AB16="Woodland Grey(Green Tone)"),1,"")</f>
        <v/>
      </c>
      <c r="XQ10" s="73" t="str">
        <f>IF(AND('Job Sheet'!BK16="Decorative Diamond",'Job Sheet'!BL16="900 x 2050",'Job Sheet'!AB16="Pearl White"),1,"")</f>
        <v/>
      </c>
      <c r="XR10" s="73" t="str">
        <f>IF(AND('Job Sheet'!BK16="Decorative Diamond",'Job Sheet'!BL16="900 x 2050",'Job Sheet'!AB16="Monument"),1,"")</f>
        <v/>
      </c>
      <c r="XS10" s="73" t="str">
        <f>IF(AND('Job Sheet'!BK16="Decorative Diamond",'Job Sheet'!BL16="900 x 2050",'Job Sheet'!AB16="Surfmist"),1,"")</f>
        <v/>
      </c>
      <c r="XT10" s="73" t="str">
        <f>IF(AND('Job Sheet'!BK16="Decorative Diamond",'Job Sheet'!BL16="900 x 2050",'Job Sheet'!AB16="Dune"),1,"")</f>
        <v/>
      </c>
      <c r="XU10" s="73" t="str">
        <f>IF(AND('Job Sheet'!BK16="Decorative Diamond",'Job Sheet'!BL16="900 x 2050",'Job Sheet'!AB16="Custom Powdercoat"),1,"")</f>
        <v/>
      </c>
      <c r="XV10" s="73" t="str">
        <f>IF(AND('Job Sheet'!BK16="Decorative Diamond",'Job Sheet'!BL16="1150 x 2050",'Job Sheet'!AB16="APO Grey"),1,"")</f>
        <v/>
      </c>
      <c r="XW10" s="73" t="str">
        <f>IF(AND('Job Sheet'!BK16="Decorative Diamond",'Job Sheet'!BL16="1150 x 2050",'Job Sheet'!AB16="White Birch"),1,"")</f>
        <v/>
      </c>
      <c r="XX10" s="73" t="str">
        <f>IF(AND('Job Sheet'!BK16="Decorative Diamond",'Job Sheet'!BL16="1150 x 2050",'Job Sheet'!AB16="Black"),1,"")</f>
        <v/>
      </c>
      <c r="XY10" s="73" t="str">
        <f>IF(AND('Job Sheet'!BK16="Decorative Diamond",'Job Sheet'!BL16="1150 x 2050",'Job Sheet'!AB16="Brown"),1,"")</f>
        <v/>
      </c>
      <c r="XZ10" s="73" t="str">
        <f>IF(AND('Job Sheet'!BK16="Decorative Diamond",'Job Sheet'!BL16="1150 x 2050",'Job Sheet'!AB16="Deep Ocean"),1,"")</f>
        <v/>
      </c>
      <c r="YA10" s="73" t="str">
        <f>IF(AND('Job Sheet'!BK16="Decorative Diamond",'Job Sheet'!BL16="1150 x 2050",'Job Sheet'!AB16="Jasper"),1,"")</f>
        <v/>
      </c>
      <c r="YB10" s="73" t="str">
        <f>IF(AND('Job Sheet'!BK16="Decorative Diamond",'Job Sheet'!BL16="1150 x 2050",'Job Sheet'!AB16="Paperbark"),1,"")</f>
        <v/>
      </c>
      <c r="YC10" s="73" t="str">
        <f>IF(AND('Job Sheet'!BK16="Decorative Diamond",'Job Sheet'!BL16="1150 x 2050",'Job Sheet'!AB16="Mist Green"),1,"")</f>
        <v/>
      </c>
      <c r="YD10" s="73" t="str">
        <f>IF(AND('Job Sheet'!BK16="Decorative Diamond",'Job Sheet'!BL16="1150 x 2050",'Job Sheet'!AB16="Primrose"),1,"")</f>
        <v/>
      </c>
      <c r="YE10" s="73" t="str">
        <f>IF(AND('Job Sheet'!BK16="Decorative Diamond",'Job Sheet'!BL16="1150 x 2050",'Job Sheet'!AB16="Ultra Silver"),1,"")</f>
        <v/>
      </c>
      <c r="YF10" s="73" t="str">
        <f>IF(AND('Job Sheet'!BK16="Decorative Diamond",'Job Sheet'!BL16="1150 x 2050",'Job Sheet'!AB16="Woodland Grey(Green Tone)"),1,"")</f>
        <v/>
      </c>
      <c r="YG10" s="73" t="str">
        <f>IF(AND('Job Sheet'!BK16="Decorative Diamond",'Job Sheet'!BL16="1150 x 2050",'Job Sheet'!AB16="Pearl White"),1,"")</f>
        <v/>
      </c>
      <c r="YH10" s="73" t="str">
        <f>IF(AND('Job Sheet'!BK16="Decorative Diamond",'Job Sheet'!BL16="1150 x 2050",'Job Sheet'!AB16="Monument"),1,"")</f>
        <v/>
      </c>
      <c r="YI10" s="73" t="str">
        <f>IF(AND('Job Sheet'!BK16="Decorative Diamond",'Job Sheet'!BL16="1150 x 2050",'Job Sheet'!AB16="Surfmist"),1,"")</f>
        <v/>
      </c>
      <c r="YJ10" s="73" t="str">
        <f>IF(AND('Job Sheet'!BK16="Decorative Diamond",'Job Sheet'!BL16="1150 x 2050",'Job Sheet'!AB16="Dune"),1,"")</f>
        <v/>
      </c>
      <c r="YK10" s="73" t="str">
        <f>IF(AND('Job Sheet'!BK16="Decorative Diamond",'Job Sheet'!BL16="1150 x 2050",'Job Sheet'!AB16="Custom Powdercoat"),1,"")</f>
        <v/>
      </c>
      <c r="YL10" s="73" t="str">
        <f>IF(AND('Job Sheet'!AE16="DVA Mesh",'Job Sheet'!BR16="750 x 2000",'Job Sheet'!AF16="Apo Grey"),1,"")</f>
        <v/>
      </c>
      <c r="YM10" s="73" t="str">
        <f>IF(AND('Job Sheet'!AE16="DVA Mesh",'Job Sheet'!BR16="750 x 2000",'Job Sheet'!AF16="Birch White"),1,"")</f>
        <v/>
      </c>
      <c r="YN10" s="73" t="str">
        <f>IF(AND('Job Sheet'!AE16="DVA Mesh",'Job Sheet'!BR16="750 x 2000",'Job Sheet'!AF16="Black"),1,"")</f>
        <v/>
      </c>
      <c r="YO10" s="73" t="str">
        <f>IF(AND('Job Sheet'!AE16="DVA Mesh",'Job Sheet'!BR16="750 x 2000",'Job Sheet'!AF16="Brown"),1,"")</f>
        <v/>
      </c>
      <c r="YP10" s="73" t="str">
        <f>IF(AND('Job Sheet'!AE16="DVA Mesh",'Job Sheet'!BR16="750 x 2000",'Job Sheet'!AF16="Deep Ocean"),1,"")</f>
        <v/>
      </c>
      <c r="YQ10" s="73" t="str">
        <f>IF(AND('Job Sheet'!AE16="DVA Mesh",'Job Sheet'!BR16="750 x 2000",'Job Sheet'!AF16="Jasper"),1,"")</f>
        <v/>
      </c>
      <c r="YR10" s="73" t="str">
        <f>IF(AND('Job Sheet'!AE16="DVA Mesh",'Job Sheet'!BR16="750 x 2000",'Job Sheet'!AF16="Paperbark"),1,"")</f>
        <v/>
      </c>
      <c r="YS10" s="73" t="str">
        <f>IF(AND('Job Sheet'!AE16="DVA Mesh",'Job Sheet'!BR16="750 x 2000",'Job Sheet'!AF16="Mist Green"),1,"")</f>
        <v/>
      </c>
      <c r="YT10" s="73" t="str">
        <f>IF(AND('Job Sheet'!AE16="DVA Mesh",'Job Sheet'!BR16="750 x 2000",'Job Sheet'!AF16="Primrose"),1,"")</f>
        <v/>
      </c>
      <c r="YU10" s="73" t="str">
        <f>IF(AND('Job Sheet'!AE16="DVA Mesh",'Job Sheet'!BR16="750 x 2000",'Job Sheet'!AF16="Ultra Silver"),1,"")</f>
        <v/>
      </c>
      <c r="YV10" s="73" t="str">
        <f>IF(AND('Job Sheet'!AE16="DVA Mesh",'Job Sheet'!BR16="750 x 2000",'Job Sheet'!AF16="Woodland Grey(Green Tone)"),1,"")</f>
        <v/>
      </c>
      <c r="YW10" s="73" t="str">
        <f>IF(AND('Job Sheet'!AE16="DVA Mesh",'Job Sheet'!BR16="750 x 2000",'Job Sheet'!AF16="Pearl White"),1,"")</f>
        <v/>
      </c>
      <c r="YX10" s="73" t="str">
        <f>IF(AND('Job Sheet'!AE16="DVA Mesh",'Job Sheet'!BR16="750 x 2000",'Job Sheet'!AF16="Monument"),1,"")</f>
        <v/>
      </c>
      <c r="YY10" s="73" t="str">
        <f>IF(AND('Job Sheet'!AE16="DVA Mesh",'Job Sheet'!BR16="750 x 2000",'Job Sheet'!AF16="Surfmist"),1,"")</f>
        <v/>
      </c>
      <c r="YZ10" s="73" t="str">
        <f>IF(AND('Job Sheet'!AE16="DVA Mesh",'Job Sheet'!BR16="750 x 2000",'Job Sheet'!AF16="Dune"),1,"")</f>
        <v/>
      </c>
      <c r="ZA10" s="73" t="str">
        <f>IF(AND('Job Sheet'!AE16="DVA Mesh",'Job Sheet'!BR16="750 x 2000",'Job Sheet'!AF16="Custom Powdercoat"),1,"")</f>
        <v/>
      </c>
      <c r="ZB10" s="73" t="str">
        <f>IF(AND('Job Sheet'!AE16="DVA Mesh",'Job Sheet'!BR16="825 x 2000",'Job Sheet'!AF16="Apo Grey"),1,"")</f>
        <v/>
      </c>
      <c r="ZC10" s="73" t="str">
        <f>IF(AND('Job Sheet'!AE16="DVA Mesh",'Job Sheet'!BR16="825 x 2000",'Job Sheet'!AF16="Birch White"),1,"")</f>
        <v/>
      </c>
      <c r="ZD10" s="73" t="str">
        <f>IF(AND('Job Sheet'!AE16="DVA Mesh",'Job Sheet'!BR16="825 x 2000",'Job Sheet'!AF16="Black"),1,"")</f>
        <v/>
      </c>
      <c r="ZE10" s="73" t="str">
        <f>IF(AND('Job Sheet'!AE16="DVA Mesh",'Job Sheet'!BR16="825 x 2000",'Job Sheet'!AF16="Brown"),1,"")</f>
        <v/>
      </c>
      <c r="ZF10" s="73" t="str">
        <f>IF(AND('Job Sheet'!AE16="DVA Mesh",'Job Sheet'!BR16="825 x 2000",'Job Sheet'!AF16="Deep Ocean"),1,"")</f>
        <v/>
      </c>
      <c r="ZG10" s="73" t="str">
        <f>IF(AND('Job Sheet'!AE16="DVA Mesh",'Job Sheet'!BR16="825 x 2000",'Job Sheet'!AF16="Jasper"),1,"")</f>
        <v/>
      </c>
      <c r="ZH10" s="73" t="str">
        <f>IF(AND('Job Sheet'!AE16="DVA Mesh",'Job Sheet'!BR16="825 x 2000",'Job Sheet'!AF16="Paperbark"),1,"")</f>
        <v/>
      </c>
      <c r="ZI10" s="73" t="str">
        <f>IF(AND('Job Sheet'!AE16="DVA Mesh",'Job Sheet'!BR16="825 x 2000",'Job Sheet'!AF16="Mist Green"),1,"")</f>
        <v/>
      </c>
      <c r="ZJ10" s="73" t="str">
        <f>IF(AND('Job Sheet'!AE16="DVA Mesh",'Job Sheet'!BR16="825 x 2000",'Job Sheet'!AF16="Primrose"),1,"")</f>
        <v/>
      </c>
      <c r="ZK10" s="73" t="str">
        <f>IF(AND('Job Sheet'!AE16="DVA Mesh",'Job Sheet'!BR16="825 x 2000",'Job Sheet'!AF16="Ultra Silver"),1,"")</f>
        <v/>
      </c>
      <c r="ZL10" s="73" t="str">
        <f>IF(AND('Job Sheet'!AE16="DVA Mesh",'Job Sheet'!BR16="825 x 2000",'Job Sheet'!AF16="Woodland Grey(Green Tone)"),1,"")</f>
        <v/>
      </c>
      <c r="ZM10" s="73" t="str">
        <f>IF(AND('Job Sheet'!AE16="DVA Mesh",'Job Sheet'!BR16="825 x 2000",'Job Sheet'!AF16="Pearl White"),1,"")</f>
        <v/>
      </c>
      <c r="ZN10" s="73" t="str">
        <f>IF(AND('Job Sheet'!AE16="DVA Mesh",'Job Sheet'!BR16="825 x 2000",'Job Sheet'!AF16="Monument"),1,"")</f>
        <v/>
      </c>
      <c r="ZO10" s="73" t="str">
        <f>IF(AND('Job Sheet'!AE16="DVA Mesh",'Job Sheet'!BR16="825 x 2000",'Job Sheet'!AF16="Surfmist"),1,"")</f>
        <v/>
      </c>
      <c r="ZP10" s="73" t="str">
        <f>IF(AND('Job Sheet'!AE16="DVA Mesh",'Job Sheet'!BR16="825 x 2000",'Job Sheet'!AF16="Dune"),1,"")</f>
        <v/>
      </c>
      <c r="ZQ10" s="73" t="str">
        <f>IF(AND('Job Sheet'!AE16="DVA Mesh",'Job Sheet'!BR16="825 x 2000",'Job Sheet'!AF16="Custom Powdercoat"),1,"")</f>
        <v/>
      </c>
      <c r="ZR10" s="73" t="str">
        <f>IF(AND('Job Sheet'!AE16="DVA Mesh",'Job Sheet'!BR16="900 x 2200",'Job Sheet'!AF16="Apo Grey"),1,"")</f>
        <v/>
      </c>
      <c r="ZS10" s="73" t="str">
        <f>IF(AND('Job Sheet'!AE16="DVA Mesh",'Job Sheet'!BR16="900 x 2200",'Job Sheet'!AF16="Birch White"),1,"")</f>
        <v/>
      </c>
      <c r="ZT10" s="73" t="str">
        <f>IF(AND('Job Sheet'!AE16="DVA Mesh",'Job Sheet'!BR16="900 x 2200",'Job Sheet'!AF16="Black"),1,"")</f>
        <v/>
      </c>
      <c r="ZU10" s="73" t="str">
        <f>IF(AND('Job Sheet'!AE16="DVA Mesh",'Job Sheet'!BR16="900 x 2200",'Job Sheet'!AF16="Brown"),1,"")</f>
        <v/>
      </c>
      <c r="ZV10" s="73" t="str">
        <f>IF(AND('Job Sheet'!AE16="DVA Mesh",'Job Sheet'!BR16="900 x 2200",'Job Sheet'!AF16="Deep Ocean"),1,"")</f>
        <v/>
      </c>
      <c r="ZW10" s="73" t="str">
        <f>IF(AND('Job Sheet'!AE16="DVA Mesh",'Job Sheet'!BR16="900 x 2200",'Job Sheet'!AF16="Jasper"),1,"")</f>
        <v/>
      </c>
      <c r="ZX10" s="73" t="str">
        <f>IF(AND('Job Sheet'!AE16="DVA Mesh",'Job Sheet'!BR16="900 x 2200",'Job Sheet'!AF16="Paperbark"),1,"")</f>
        <v/>
      </c>
      <c r="ZY10" s="73" t="str">
        <f>IF(AND('Job Sheet'!AE16="DVA Mesh",'Job Sheet'!BR16="900 x 2200",'Job Sheet'!AF16="Mist Green"),1,"")</f>
        <v/>
      </c>
      <c r="ZZ10" s="73" t="str">
        <f>IF(AND('Job Sheet'!AE16="DVA Mesh",'Job Sheet'!BR16="900 x 2200",'Job Sheet'!AF16="Primrose"),1,"")</f>
        <v/>
      </c>
      <c r="AAA10" s="73" t="str">
        <f>IF(AND('Job Sheet'!AE16="DVA Mesh",'Job Sheet'!BR16="900 x 2200",'Job Sheet'!AF16="Ultra Silver"),1,"")</f>
        <v/>
      </c>
      <c r="AAB10" s="73" t="str">
        <f>IF(AND('Job Sheet'!AE16="DVA Mesh",'Job Sheet'!BR16="900 x 2200",'Job Sheet'!AF16="Woodland Grey(Green Tone)"),1,"")</f>
        <v/>
      </c>
      <c r="AAC10" s="73" t="str">
        <f>IF(AND('Job Sheet'!AE16="DVA Mesh",'Job Sheet'!BR16="900 x 2200",'Job Sheet'!AF16="Pearl White"),1,"")</f>
        <v/>
      </c>
      <c r="AAD10" s="73" t="str">
        <f>IF(AND('Job Sheet'!AE16="DVA Mesh",'Job Sheet'!BR16="900 x 2200",'Job Sheet'!AF16="Monument"),1,"")</f>
        <v/>
      </c>
      <c r="AAE10" s="73" t="str">
        <f>IF(AND('Job Sheet'!AE16="DVA Mesh",'Job Sheet'!BR16="900 x 2200",'Job Sheet'!AF16="Surfmist"),1,"")</f>
        <v/>
      </c>
      <c r="AAF10" s="73" t="str">
        <f>IF(AND('Job Sheet'!AE16="DVA Mesh",'Job Sheet'!BR16="900 x 2200",'Job Sheet'!AF16="Dune"),1,"")</f>
        <v/>
      </c>
      <c r="AAG10" s="73" t="str">
        <f>IF(AND('Job Sheet'!AE16="DVA Mesh",'Job Sheet'!BR16="900 x 2200",'Job Sheet'!AF16="Custom Powdercoat"),1,"")</f>
        <v/>
      </c>
      <c r="AAH10" s="73" t="str">
        <f>IF(AND('Job Sheet'!AE16="DVA Mesh",'Job Sheet'!BR16="900 x 2400",'Job Sheet'!AF16="Apo Grey"),1,"")</f>
        <v/>
      </c>
      <c r="AAI10" s="73" t="str">
        <f>IF(AND('Job Sheet'!AE16="DVA Mesh",'Job Sheet'!BR16="900 x 2400",'Job Sheet'!AF16="Birch White"),1,"")</f>
        <v/>
      </c>
      <c r="AAJ10" s="73" t="str">
        <f>IF(AND('Job Sheet'!AE16="DVA Mesh",'Job Sheet'!BR16="900 x 2400",'Job Sheet'!AF16="Black"),1,"")</f>
        <v/>
      </c>
      <c r="AAK10" s="73" t="str">
        <f>IF(AND('Job Sheet'!AE16="DVA Mesh",'Job Sheet'!BR16="900 x 2400",'Job Sheet'!AF16="Brown"),1,"")</f>
        <v/>
      </c>
      <c r="AAL10" s="73" t="str">
        <f>IF(AND('Job Sheet'!AE16="DVA Mesh",'Job Sheet'!BR16="900 x 2400",'Job Sheet'!AF16="Deep Ocean"),1,"")</f>
        <v/>
      </c>
      <c r="AAM10" s="73" t="str">
        <f>IF(AND('Job Sheet'!AE16="DVA Mesh",'Job Sheet'!BR16="900 x 2400",'Job Sheet'!AF16="Jasper"),1,"")</f>
        <v/>
      </c>
      <c r="AAN10" s="73" t="str">
        <f>IF(AND('Job Sheet'!AE16="DVA Mesh",'Job Sheet'!BR16="900 x 2400",'Job Sheet'!AF16="Paperbark"),1,"")</f>
        <v/>
      </c>
      <c r="AAO10" s="73" t="str">
        <f>IF(AND('Job Sheet'!AE16="DVA Mesh",'Job Sheet'!BR16="900 x 2400",'Job Sheet'!AF16="Mist Green"),1,"")</f>
        <v/>
      </c>
      <c r="AAP10" s="73" t="str">
        <f>IF(AND('Job Sheet'!AE16="DVA Mesh",'Job Sheet'!BR16="900 x 2400",'Job Sheet'!AF16="Primrose"),1,"")</f>
        <v/>
      </c>
      <c r="AAQ10" s="73" t="str">
        <f>IF(AND('Job Sheet'!AE16="DVA Mesh",'Job Sheet'!BR16="900 x 2400",'Job Sheet'!AF16="Ultra Silver"),1,"")</f>
        <v/>
      </c>
      <c r="AAR10" s="73" t="str">
        <f>IF(AND('Job Sheet'!AE16="DVA Mesh",'Job Sheet'!BR16="900 x 2400",'Job Sheet'!AF16="Woodland Grey(Green Tone)"),1,"")</f>
        <v/>
      </c>
      <c r="AAS10" s="73" t="str">
        <f>IF(AND('Job Sheet'!AE16="DVA Mesh",'Job Sheet'!BR16="900 x 2400",'Job Sheet'!AF16="Pearl White"),1,"")</f>
        <v/>
      </c>
      <c r="AAT10" s="73" t="str">
        <f>IF(AND('Job Sheet'!AE16="DVA Mesh",'Job Sheet'!BR16="900 x 2400",'Job Sheet'!AF16="Monument"),1,"")</f>
        <v/>
      </c>
      <c r="AAU10" s="73" t="str">
        <f>IF(AND('Job Sheet'!AE16="DVA Mesh",'Job Sheet'!BR16="900 x 2400",'Job Sheet'!AF16="Surfmist"),1,"")</f>
        <v/>
      </c>
      <c r="AAV10" s="73" t="str">
        <f>IF(AND('Job Sheet'!AE16="DVA Mesh",'Job Sheet'!BR16="900 x 2400",'Job Sheet'!AF16="Dune"),1,"")</f>
        <v/>
      </c>
      <c r="AAW10" s="73" t="str">
        <f>IF(AND('Job Sheet'!AE16="DVA Mesh",'Job Sheet'!BR16="900 x 2400",'Job Sheet'!AF16="Custom Powdercoat"),1,"")</f>
        <v/>
      </c>
      <c r="AAX10" s="73" t="str">
        <f>IF(AND('Job Sheet'!AE16="DVA Mesh",'Job Sheet'!BR16="1200 x 2200",'Job Sheet'!AF16="Apo Grey"),1,"")</f>
        <v/>
      </c>
      <c r="AAY10" s="73" t="str">
        <f>IF(AND('Job Sheet'!AE16="DVA Mesh",'Job Sheet'!BR16="1200 x 2200",'Job Sheet'!AF16="Birch White"),1,"")</f>
        <v/>
      </c>
      <c r="AAZ10" s="73" t="str">
        <f>IF(AND('Job Sheet'!AE16="DVA Mesh",'Job Sheet'!BR16="1200 x 2200",'Job Sheet'!AF16="Black"),1,"")</f>
        <v/>
      </c>
      <c r="ABA10" s="73" t="str">
        <f>IF(AND('Job Sheet'!AE16="DVA Mesh",'Job Sheet'!BR16="1200 x 2200",'Job Sheet'!AF16="Brown"),1,"")</f>
        <v/>
      </c>
      <c r="ABB10" s="73" t="str">
        <f>IF(AND('Job Sheet'!AE16="DVA Mesh",'Job Sheet'!BR16="1200 x 2200",'Job Sheet'!AF16="Deep Ocean"),1,"")</f>
        <v/>
      </c>
      <c r="ABC10" s="73" t="str">
        <f>IF(AND('Job Sheet'!AE16="DVA Mesh",'Job Sheet'!BR16="1200 x 2200",'Job Sheet'!AF16="Jasper"),1,"")</f>
        <v/>
      </c>
      <c r="ABD10" s="73" t="str">
        <f>IF(AND('Job Sheet'!AE16="DVA Mesh",'Job Sheet'!BR16="1200 x 2200",'Job Sheet'!AF16="Paperbark"),1,"")</f>
        <v/>
      </c>
      <c r="ABE10" s="73" t="str">
        <f>IF(AND('Job Sheet'!AE16="DVA Mesh",'Job Sheet'!BR16="1200 x 2200",'Job Sheet'!AF16="Mist Green"),1,"")</f>
        <v/>
      </c>
      <c r="ABF10" s="73" t="str">
        <f>IF(AND('Job Sheet'!AE16="DVA Mesh",'Job Sheet'!BR16="1200 x 2200",'Job Sheet'!AF16="Primrose"),1,"")</f>
        <v/>
      </c>
      <c r="ABG10" s="73" t="str">
        <f>IF(AND('Job Sheet'!AE16="DVA Mesh",'Job Sheet'!BR16="1200 x 2200",'Job Sheet'!AF16="Ultra Silver"),1,"")</f>
        <v/>
      </c>
      <c r="ABH10" s="73" t="str">
        <f>IF(AND('Job Sheet'!AE16="DVA Mesh",'Job Sheet'!BR16="1200 x 2200",'Job Sheet'!AF16="Woodland Grey(Green Tone)"),1,"")</f>
        <v/>
      </c>
      <c r="ABI10" s="73" t="str">
        <f>IF(AND('Job Sheet'!AE16="DVA Mesh",'Job Sheet'!BR16="1200 x 2200",'Job Sheet'!AF16="Pearl White"),1,"")</f>
        <v/>
      </c>
      <c r="ABJ10" s="73" t="str">
        <f>IF(AND('Job Sheet'!AE16="DVA Mesh",'Job Sheet'!BR16="1200 x 2200",'Job Sheet'!AF16="Monument"),1,"")</f>
        <v/>
      </c>
      <c r="ABK10" s="73" t="str">
        <f>IF(AND('Job Sheet'!AE16="DVA Mesh",'Job Sheet'!BR16="1200 x 2200",'Job Sheet'!AF16="Surfmist"),1,"")</f>
        <v/>
      </c>
      <c r="ABL10" s="73" t="str">
        <f>IF(AND('Job Sheet'!AE16="DVA Mesh",'Job Sheet'!BR16="1200 x 2200",'Job Sheet'!AF16="Dune"),1,"")</f>
        <v/>
      </c>
      <c r="ABM10" s="73" t="str">
        <f>IF(AND('Job Sheet'!AE16="DVA Mesh",'Job Sheet'!BR16="1200 x 2200",'Job Sheet'!AF16="Custom Powdercoat"),1,"")</f>
        <v/>
      </c>
      <c r="ABN10" s="73" t="str">
        <f>IF(AND('Job Sheet'!AE16="DVA Mesh",'Job Sheet'!BR16="1200 x 2400",'Job Sheet'!AF16="Apo Grey"),1,"")</f>
        <v/>
      </c>
      <c r="ABO10" s="73" t="str">
        <f>IF(AND('Job Sheet'!AE16="DVA Mesh",'Job Sheet'!BR16="1200 x 2400",'Job Sheet'!AF16="Birch White"),1,"")</f>
        <v/>
      </c>
      <c r="ABP10" s="73" t="str">
        <f>IF(AND('Job Sheet'!AE16="DVA Mesh",'Job Sheet'!BR16="1200 x 2400",'Job Sheet'!AF16="Black"),1,"")</f>
        <v/>
      </c>
      <c r="ABQ10" s="73" t="str">
        <f>IF(AND('Job Sheet'!AE16="DVA Mesh",'Job Sheet'!BR16="1200 x 2400",'Job Sheet'!AF16="Brown"),1,"")</f>
        <v/>
      </c>
      <c r="ABR10" s="73" t="str">
        <f>IF(AND('Job Sheet'!AE16="DVA Mesh",'Job Sheet'!BR16="1200 x 2400",'Job Sheet'!AF16="Deep Ocean"),1,"")</f>
        <v/>
      </c>
      <c r="ABS10" s="73" t="str">
        <f>IF(AND('Job Sheet'!AE16="DVA Mesh",'Job Sheet'!BR16="1200 x 2400",'Job Sheet'!AF16="Jasper"),1,"")</f>
        <v/>
      </c>
      <c r="ABT10" s="73" t="str">
        <f>IF(AND('Job Sheet'!AE16="DVA Mesh",'Job Sheet'!BR16="1200 x 2400",'Job Sheet'!AF16="Paperbark"),1,"")</f>
        <v/>
      </c>
      <c r="ABU10" s="73" t="str">
        <f>IF(AND('Job Sheet'!AE16="DVA Mesh",'Job Sheet'!BR16="1200 x 2400",'Job Sheet'!AF16="Mist Green"),1,"")</f>
        <v/>
      </c>
      <c r="ABV10" s="73" t="str">
        <f>IF(AND('Job Sheet'!AE16="DVA Mesh",'Job Sheet'!BR16="1200 x 2400",'Job Sheet'!AF16="Primrose"),1,"")</f>
        <v/>
      </c>
      <c r="ABW10" s="73" t="str">
        <f>IF(AND('Job Sheet'!AE16="DVA Mesh",'Job Sheet'!BR16="1200 x 2400",'Job Sheet'!AF16="Ultra Silver"),1,"")</f>
        <v/>
      </c>
      <c r="ABX10" s="73" t="str">
        <f>IF(AND('Job Sheet'!AE16="DVA Mesh",'Job Sheet'!BR16="1200 x 2400",'Job Sheet'!AF16="Woodland Grey(Green Tone)"),1,"")</f>
        <v/>
      </c>
      <c r="ABY10" s="73" t="str">
        <f>IF(AND('Job Sheet'!AE16="DVA Mesh",'Job Sheet'!BR16="1200 x 2400",'Job Sheet'!AF16="Pearl White"),1,"")</f>
        <v/>
      </c>
      <c r="ABZ10" s="73" t="str">
        <f>IF(AND('Job Sheet'!AE16="DVA Mesh",'Job Sheet'!BR16="1200 x 2400",'Job Sheet'!AF16="Monument"),1,"")</f>
        <v/>
      </c>
      <c r="ACA10" s="73" t="str">
        <f>IF(AND('Job Sheet'!AE16="DVA Mesh",'Job Sheet'!BR16="1200 x 2400",'Job Sheet'!AF16="Surfmist"),1,"")</f>
        <v/>
      </c>
      <c r="ACB10" s="73" t="str">
        <f>IF(AND('Job Sheet'!AE16="DVA Mesh",'Job Sheet'!BR16="1200 x 2400",'Job Sheet'!AF16="Dune"),1,"")</f>
        <v/>
      </c>
      <c r="ACC10" s="73" t="str">
        <f>IF(AND('Job Sheet'!AE16="DVA Mesh",'Job Sheet'!BR16="1200 x 2400",'Job Sheet'!AF16="Custom Powdercoat"),1,"")</f>
        <v/>
      </c>
      <c r="ACD10" s="73" t="str">
        <f>IF('Job Sheet'!AE16="Fibreglass Mesh",CONCATENATE('Job Sheet'!BH16," x ",'Job Sheet'!BI16),"")</f>
        <v/>
      </c>
      <c r="ACE10" s="73" t="str">
        <f>IF('Job Sheet'!AE16="Aluminium Mesh",CONCATENATE('Job Sheet'!BH16," x ",'Job Sheet'!BI16),"")</f>
        <v/>
      </c>
      <c r="ACF10" s="73" t="str">
        <f>IF('Job Sheet'!AE16="Tuff Mesh",CONCATENATE('Job Sheet'!BH16," x ",'Job Sheet'!BI16),"")</f>
        <v/>
      </c>
      <c r="ACI10" s="73" t="str">
        <f>IF('Job Sheet'!AE16="Pet Mesh",CONCATENATE('Job Sheet'!BH16," x ",'Job Sheet'!BI16),"")</f>
        <v/>
      </c>
      <c r="ACJ10" s="73"/>
      <c r="ACK10" t="str">
        <f>IF(Guillotine!F17="SP13AB Apo Grey",1,"")</f>
        <v/>
      </c>
      <c r="ACL10" t="str">
        <f>IF(Guillotine!F17="SP13AB White Birch",1,"")</f>
        <v/>
      </c>
      <c r="ACM10" t="str">
        <f>IF(Guillotine!F17="SP13AB Black",1,"")</f>
        <v/>
      </c>
      <c r="ACN10" t="str">
        <f>IF(Guillotine!F17="SP13AB Brown",1,"")</f>
        <v/>
      </c>
      <c r="ACO10" t="str">
        <f>IF(Guillotine!F17="SP13AB Deep Ocean",1,"")</f>
        <v/>
      </c>
      <c r="ACP10" t="str">
        <f>IF(Guillotine!F17="SP13AB Jasper",1,"")</f>
        <v/>
      </c>
      <c r="ACQ10" t="str">
        <f>IF(Guillotine!F17="SP13AB Paperbark",1,"")</f>
        <v/>
      </c>
      <c r="ACR10" t="str">
        <f>IF(Guillotine!F17="SP13AB Mist Green",1,"")</f>
        <v/>
      </c>
      <c r="ACS10" t="str">
        <f>IF(Guillotine!F17="SP13AB Primrose",1,"")</f>
        <v/>
      </c>
      <c r="ACT10" t="str">
        <f>IF(Guillotine!F17="SP13AB Ultra Silver",1,"")</f>
        <v/>
      </c>
      <c r="ACU10" t="str">
        <f>IF(Guillotine!F17="SP13AB Woodland Grey(Green Tone)",1,"")</f>
        <v/>
      </c>
      <c r="ACV10" t="str">
        <f>IF(Guillotine!F17="SP13AB Pearl White",1,"")</f>
        <v/>
      </c>
      <c r="ACW10" t="str">
        <f>IF(Guillotine!F17="SP13AB Monument",1,"")</f>
        <v/>
      </c>
      <c r="ACX10" t="str">
        <f>IF(Guillotine!F17="SP13AB Surfmist",1,"")</f>
        <v/>
      </c>
      <c r="ACY10" t="str">
        <f>IF(Guillotine!F17="SP13AB Dune",1,"")</f>
        <v/>
      </c>
      <c r="ACZ10" t="str">
        <f>IF(Guillotine!F17="SP13AB Powdercoat",1,"")</f>
        <v/>
      </c>
      <c r="ADA10" t="str">
        <f>IF(Guillotine!F17="SP13BB Apo Grey",1,"")</f>
        <v/>
      </c>
      <c r="ADB10" t="str">
        <f>IF(Guillotine!F17="SP13BB White Birch",1,"")</f>
        <v/>
      </c>
      <c r="ADC10" t="str">
        <f>IF(Guillotine!F17="SP13BB Black",1,"")</f>
        <v/>
      </c>
      <c r="ADD10" t="str">
        <f>IF(Guillotine!F17="SP13BB Brown",1,"")</f>
        <v/>
      </c>
      <c r="ADE10" t="str">
        <f>IF(Guillotine!F17="SP13BB Deep Ocean",1,"")</f>
        <v/>
      </c>
      <c r="ADF10" t="str">
        <f>IF(Guillotine!F17="SP13BB Jasper",1,"")</f>
        <v/>
      </c>
      <c r="ADG10" t="str">
        <f>IF(Guillotine!F17="SP13BB Paperbark",1,"")</f>
        <v/>
      </c>
      <c r="ADH10" t="str">
        <f>IF(Guillotine!F17="SP13BB Mist Green",1,"")</f>
        <v/>
      </c>
      <c r="ADI10" t="str">
        <f>IF(Guillotine!F17="SP13BB Primrose",1,"")</f>
        <v/>
      </c>
      <c r="ADJ10" t="str">
        <f>IF(Guillotine!F17="SP13BB Ultra Silver",1,"")</f>
        <v/>
      </c>
      <c r="ADK10" t="str">
        <f>IF(Guillotine!F17="SP13BB Woodland Grey(Green Tone)",1,"")</f>
        <v/>
      </c>
      <c r="ADL10" t="str">
        <f>IF(Guillotine!F17="SP13BB Pearl White",1,"")</f>
        <v/>
      </c>
      <c r="ADM10" t="str">
        <f>IF(Guillotine!F17="SP13BB Monument",1,"")</f>
        <v/>
      </c>
      <c r="ADN10" t="str">
        <f>IF(Guillotine!F17="SP13BB Surfmist",1,"")</f>
        <v/>
      </c>
      <c r="ADO10" t="str">
        <f>IF(Guillotine!F17="SP13BB Dune",1,"")</f>
        <v/>
      </c>
      <c r="ADP10" t="str">
        <f>IF(Guillotine!F17="SP13BB Powdercoat",1,"")</f>
        <v/>
      </c>
      <c r="ADQ10" t="str">
        <f>IF(Guillotine!F17="SP14AB Apo Grey",1,"")</f>
        <v/>
      </c>
      <c r="ADR10" t="str">
        <f>IF(Guillotine!F17="SP14AB White Birch",1,"")</f>
        <v/>
      </c>
      <c r="ADS10" t="str">
        <f>IF(Guillotine!F17="SP14AB Black",1,"")</f>
        <v/>
      </c>
      <c r="ADT10" t="str">
        <f>IF(Guillotine!F17="SP14AB Brown",1,"")</f>
        <v/>
      </c>
      <c r="ADU10" t="str">
        <f>IF(Guillotine!F17="SP14AB Deep Ocean",1,"")</f>
        <v/>
      </c>
      <c r="ADV10" t="str">
        <f>IF(Guillotine!F17="SP14AB Jasper",1,"")</f>
        <v/>
      </c>
      <c r="ADW10" t="str">
        <f>IF(Guillotine!F17="SP14AB Paperbark",1,"")</f>
        <v/>
      </c>
      <c r="ADX10" t="str">
        <f>IF(Guillotine!F17="SP14AB Mist Green",1,"")</f>
        <v/>
      </c>
      <c r="ADY10" t="str">
        <f>IF(Guillotine!F17="SP14AB Primrose",1,"")</f>
        <v/>
      </c>
      <c r="ADZ10" t="str">
        <f>IF(Guillotine!F17="SP14AB Ultra Silver",1,"")</f>
        <v/>
      </c>
      <c r="AEA10" t="str">
        <f>IF(Guillotine!F17="SP14AB Woodland Grey(Green Tone)",1,"")</f>
        <v/>
      </c>
      <c r="AEB10" t="str">
        <f>IF(Guillotine!F17="SP14AB Pearl White",1,"")</f>
        <v/>
      </c>
      <c r="AEC10" t="str">
        <f>IF(Guillotine!F17="SP14AB Monument",1,"")</f>
        <v/>
      </c>
      <c r="AED10" t="str">
        <f>IF(Guillotine!F17="SP14AB Surfmist",1,"")</f>
        <v/>
      </c>
      <c r="AEE10" t="str">
        <f>IF(Guillotine!F17="SP14AB Dune",1,"")</f>
        <v/>
      </c>
      <c r="AEF10" t="str">
        <f>IF(Guillotine!F17="SP14AB Powdercoat",1,"")</f>
        <v/>
      </c>
      <c r="AEG10" t="str">
        <f>IF(Guillotine!F17="SP17AB Apo Grey",1,"")</f>
        <v/>
      </c>
      <c r="AEH10" t="str">
        <f>IF(Guillotine!F17="SP17AB White Birch",1,"")</f>
        <v/>
      </c>
      <c r="AEI10" t="str">
        <f>IF(Guillotine!F17="SP17AB Black",1,"")</f>
        <v/>
      </c>
      <c r="AEJ10" t="str">
        <f>IF(Guillotine!F17="SP17AB Brown",1,"")</f>
        <v/>
      </c>
      <c r="AEK10" t="str">
        <f>IF(Guillotine!F17="SP17AB Deep Ocean",1,"")</f>
        <v/>
      </c>
      <c r="AEL10" t="str">
        <f>IF(Guillotine!F17="SP17AB Jasper",1,"")</f>
        <v/>
      </c>
      <c r="AEM10" t="str">
        <f>IF(Guillotine!F17="SP17AB Paperbark",1,"")</f>
        <v/>
      </c>
      <c r="AEN10" t="str">
        <f>IF(Guillotine!F17="SP17AB Mist Green",1,"")</f>
        <v/>
      </c>
      <c r="AEO10" t="str">
        <f>IF(Guillotine!F17="SP17AB Primrose",1,"")</f>
        <v/>
      </c>
      <c r="AEP10" t="str">
        <f>IF(Guillotine!F17="SP17AB Ultra Silver",1,"")</f>
        <v/>
      </c>
      <c r="AEQ10" t="str">
        <f>IF(Guillotine!F17="SP17AB Woodland Grey(Green Tone)",1,"")</f>
        <v/>
      </c>
      <c r="AER10" t="str">
        <f>IF(Guillotine!F17="SP17AB Pearl White",1,"")</f>
        <v/>
      </c>
      <c r="AES10" t="str">
        <f>IF(Guillotine!F17="SP17AB Monument",1,"")</f>
        <v/>
      </c>
      <c r="AET10" t="str">
        <f>IF(Guillotine!F17="SP17AB Surfmist",1,"")</f>
        <v/>
      </c>
      <c r="AEU10" t="str">
        <f>IF(Guillotine!F17="SP17AB Dune",1,"")</f>
        <v/>
      </c>
      <c r="AEV10" t="str">
        <f>IF(Guillotine!F17="SP17AB Powdercoat",1,"")</f>
        <v/>
      </c>
      <c r="AEW10" t="str">
        <f>IF(Guillotine!F17="SP27AB Apo Grey",1,"")</f>
        <v/>
      </c>
      <c r="AEX10" t="str">
        <f>IF(Guillotine!F17="SP27AB White Birch",1,"")</f>
        <v/>
      </c>
      <c r="AEY10" t="str">
        <f>IF(Guillotine!F17="SP27AB Black",1,"")</f>
        <v/>
      </c>
      <c r="AEZ10" t="str">
        <f>IF(Guillotine!F17="SP27AB Brown",1,"")</f>
        <v/>
      </c>
      <c r="AFA10" t="str">
        <f>IF(Guillotine!F17="SP27AB Deep Ocean",1,"")</f>
        <v/>
      </c>
      <c r="AFB10" t="str">
        <f>IF(Guillotine!F17="SP27AB Jasper",1,"")</f>
        <v/>
      </c>
      <c r="AFC10" t="str">
        <f>IF(Guillotine!F17="SP27AB Paperbark",1,"")</f>
        <v/>
      </c>
      <c r="AFD10" t="str">
        <f>IF(Guillotine!F17="SP27AB Mist Green",1,"")</f>
        <v/>
      </c>
      <c r="AFE10" t="str">
        <f>IF(Guillotine!F17="SP27AB Primrose",1,"")</f>
        <v/>
      </c>
      <c r="AFF10" t="str">
        <f>IF(Guillotine!F17="SP27AB Ultra Silver",1,"")</f>
        <v/>
      </c>
      <c r="AFG10" t="str">
        <f>IF(Guillotine!F17="SP27AB Woodland Grey(Green Tone)",1,"")</f>
        <v/>
      </c>
      <c r="AFH10" t="str">
        <f>IF(Guillotine!F17="SP27AB Pearl White",1,"")</f>
        <v/>
      </c>
      <c r="AFI10" t="str">
        <f>IF(Guillotine!F17="SP27AB Monument",1,"")</f>
        <v/>
      </c>
      <c r="AFJ10" t="str">
        <f>IF(Guillotine!F17="SP27AB Surfmist",1,"")</f>
        <v/>
      </c>
      <c r="AFK10" t="str">
        <f>IF(Guillotine!F17="SP27AB Dune",1,"")</f>
        <v/>
      </c>
      <c r="AFL10" t="str">
        <f>IF(Guillotine!F17="SP27AB Powdercoat",1,"")</f>
        <v/>
      </c>
      <c r="AFM10" t="str">
        <f>IF(Guillotine!F17="SP29AB Apo Grey",1,"")</f>
        <v/>
      </c>
      <c r="AFN10" t="str">
        <f>IF(Guillotine!F17="SP29AB White Birch",1,"")</f>
        <v/>
      </c>
      <c r="AFO10" t="str">
        <f>IF(Guillotine!F17="SP29AB Black",1,"")</f>
        <v/>
      </c>
      <c r="AFP10" t="str">
        <f>IF(Guillotine!F17="SP29AB Brown",1,"")</f>
        <v/>
      </c>
      <c r="AFQ10" t="str">
        <f>IF(Guillotine!F17="SP29AB Deep Ocean",1,"")</f>
        <v/>
      </c>
      <c r="AFR10" t="str">
        <f>IF(Guillotine!F17="SP29AB Jasper",1,"")</f>
        <v/>
      </c>
      <c r="AFS10" t="str">
        <f>IF(Guillotine!F17="SP29AB Paperbark",1,"")</f>
        <v/>
      </c>
      <c r="AFT10" t="str">
        <f>IF(Guillotine!F17="SP29AB Mist Green",1,"")</f>
        <v/>
      </c>
      <c r="AFU10" t="str">
        <f>IF(Guillotine!F17="SP29AB Primrose",1,"")</f>
        <v/>
      </c>
      <c r="AFV10" t="str">
        <f>IF(Guillotine!F17="SP29AB Ultra Silver",1,"")</f>
        <v/>
      </c>
      <c r="AFW10" t="str">
        <f>IF(Guillotine!F17="SP29AB Woodland Grey(Green Tone)",1,"")</f>
        <v/>
      </c>
      <c r="AFX10" t="str">
        <f>IF(Guillotine!F17="SP29AB Pearl White",1,"")</f>
        <v/>
      </c>
      <c r="AFY10" t="str">
        <f>IF(Guillotine!F17="SP29AB Monument",1,"")</f>
        <v/>
      </c>
      <c r="AFZ10" t="str">
        <f>IF(Guillotine!F17="SP29AB Surfmist",1,"")</f>
        <v/>
      </c>
      <c r="AGA10" t="str">
        <f>IF(Guillotine!F17="SP29AB Dune",1,"")</f>
        <v/>
      </c>
      <c r="AGB10" t="str">
        <f>IF(Guillotine!F17="SP29AB Powdercoat",1,"")</f>
        <v/>
      </c>
      <c r="AGC10" t="str">
        <f>IF(Guillotine!F17="SP34AB Apo Grey",1,"")</f>
        <v/>
      </c>
      <c r="AGD10" t="str">
        <f>IF(Guillotine!F17="SP34AB White Birch",1,"")</f>
        <v/>
      </c>
      <c r="AGE10" t="str">
        <f>IF(Guillotine!F17="SP34AB Black",1,"")</f>
        <v/>
      </c>
      <c r="AGF10" t="str">
        <f>IF(Guillotine!F17="SP34AB Brown",1,"")</f>
        <v/>
      </c>
      <c r="AGG10" t="str">
        <f>IF(Guillotine!F17="SP34AB Deep Ocean",1,"")</f>
        <v/>
      </c>
      <c r="AGH10" t="str">
        <f>IF(Guillotine!F17="SP34AB Jasper",1,"")</f>
        <v/>
      </c>
      <c r="AGI10" t="str">
        <f>IF(Guillotine!F17="SP34AB Paperbark",1,"")</f>
        <v/>
      </c>
      <c r="AGJ10" t="str">
        <f>IF(Guillotine!F17="SP34AB Mist Green",1,"")</f>
        <v/>
      </c>
      <c r="AGK10" t="str">
        <f>IF(Guillotine!F17="SP34AB Primrose",1,"")</f>
        <v/>
      </c>
      <c r="AGL10" t="str">
        <f>IF(Guillotine!F17="SP34AB Ultra Silver",1,"")</f>
        <v/>
      </c>
      <c r="AGM10" t="str">
        <f>IF(Guillotine!F17="SP34AB Woodland Grey(Green Tone)",1,"")</f>
        <v/>
      </c>
      <c r="AGN10" t="str">
        <f>IF(Guillotine!F17="SP34AB Pearl White",1,"")</f>
        <v/>
      </c>
      <c r="AGO10" t="str">
        <f>IF(Guillotine!F17="SP34AB Monument",1,"")</f>
        <v/>
      </c>
      <c r="AGP10" t="str">
        <f>IF(Guillotine!F17="SP34AB Surfmist",1,"")</f>
        <v/>
      </c>
      <c r="AGQ10" t="str">
        <f>IF(Guillotine!F17="SP34AB Dune",1,"")</f>
        <v/>
      </c>
      <c r="AGR10" t="str">
        <f>IF(Guillotine!F17="SP34AB Powdercoat",1,"")</f>
        <v/>
      </c>
      <c r="AGS10" t="str">
        <f>IF(Guillotine!F17="SP37AB Apo Grey",1,"")</f>
        <v/>
      </c>
      <c r="AGT10" t="str">
        <f>IF(Guillotine!F17="SP37AB White Birch",1,"")</f>
        <v/>
      </c>
      <c r="AGU10" t="str">
        <f>IF(Guillotine!F17="SP37AB Black",1,"")</f>
        <v/>
      </c>
      <c r="AGV10" t="str">
        <f>IF(Guillotine!F17="SP37AB Brown",1,"")</f>
        <v/>
      </c>
      <c r="AGW10" t="str">
        <f>IF(Guillotine!F17="SP37AB Deep Ocean",1,"")</f>
        <v/>
      </c>
      <c r="AGX10" t="str">
        <f>IF(Guillotine!F17="SP37AB Jasper",1,"")</f>
        <v/>
      </c>
      <c r="AGY10" t="str">
        <f>IF(Guillotine!F17="SP37AB Paperbark",1,"")</f>
        <v/>
      </c>
      <c r="AGZ10" t="str">
        <f>IF(Guillotine!F17="SP37AB Mist Green",1,"")</f>
        <v/>
      </c>
      <c r="AHA10" t="str">
        <f>IF(Guillotine!F17="SP37AB Primrose",1,"")</f>
        <v/>
      </c>
      <c r="AHB10" t="str">
        <f>IF(Guillotine!F17="SP37AB Ultra Silver",1,"")</f>
        <v/>
      </c>
      <c r="AHC10" t="str">
        <f>IF(Guillotine!F17="SP37AB Woodland Grey(Green Tone)",1,"")</f>
        <v/>
      </c>
      <c r="AHD10" t="str">
        <f>IF(Guillotine!F17="SP37AB Pearl White",1,"")</f>
        <v/>
      </c>
      <c r="AHE10" t="str">
        <f>IF(Guillotine!F17="SP37AB Monument",1,"")</f>
        <v/>
      </c>
      <c r="AHF10" t="str">
        <f>IF(Guillotine!F17="SP37AB Surfmist",1,"")</f>
        <v/>
      </c>
      <c r="AHG10" t="str">
        <f>IF(Guillotine!F17="SP37AB Dune",1,"")</f>
        <v/>
      </c>
      <c r="AHH10" t="str">
        <f>IF(Guillotine!F17="SP37AB Powdercoat",1,"")</f>
        <v/>
      </c>
      <c r="AHI10" t="str">
        <f>IF(Guillotine!F17="SP52 Apo Grey",1,"")</f>
        <v/>
      </c>
      <c r="AHJ10" t="str">
        <f>IF(Guillotine!F17="SP52 White Birch",1,"")</f>
        <v/>
      </c>
      <c r="AHK10" t="str">
        <f>IF(Guillotine!F17="SP52 Black",1,"")</f>
        <v/>
      </c>
      <c r="AHL10" t="str">
        <f>IF(Guillotine!F17="SP52 Brown",1,"")</f>
        <v/>
      </c>
      <c r="AHM10" t="str">
        <f>IF(Guillotine!F17="SP52 Deep Ocean",1,"")</f>
        <v/>
      </c>
      <c r="AHN10" t="str">
        <f>IF(Guillotine!F17="SP52 Jasper",1,"")</f>
        <v/>
      </c>
      <c r="AHO10" t="str">
        <f>IF(Guillotine!F17="SP52 Paperbark",1,"")</f>
        <v/>
      </c>
      <c r="AHP10" t="str">
        <f>IF(Guillotine!F17="SP52 Mist Green",1,"")</f>
        <v/>
      </c>
      <c r="AHQ10" t="str">
        <f>IF(Guillotine!F17="SP52 Primrose",1,"")</f>
        <v/>
      </c>
      <c r="AHR10" t="str">
        <f>IF(Guillotine!F17="SP52 Ultra Silver",1,"")</f>
        <v/>
      </c>
      <c r="AHS10" t="str">
        <f>IF(Guillotine!F17="SP52 Woodland Grey(Green Tone)",1,"")</f>
        <v/>
      </c>
      <c r="AHT10" t="str">
        <f>IF(Guillotine!F17="SP52 Pearl White",1,"")</f>
        <v/>
      </c>
      <c r="AHU10" t="str">
        <f>IF(Guillotine!F17="SP52 Monument",1,"")</f>
        <v/>
      </c>
      <c r="AHV10" t="str">
        <f>IF(Guillotine!F17="SP52 Surfmist",1,"")</f>
        <v/>
      </c>
      <c r="AHW10" t="str">
        <f>IF(Guillotine!F17="SP52 Dune",1,"")</f>
        <v/>
      </c>
      <c r="AHX10" t="str">
        <f>IF(Guillotine!F17="SP52 Powdercoat",1,"")</f>
        <v/>
      </c>
      <c r="AHY10" t="str">
        <f>IF(Guillotine!F17="SP53 Apo Grey",1,"")</f>
        <v/>
      </c>
      <c r="AHZ10" t="str">
        <f>IF(Guillotine!F17="SP53 White Birch",1,"")</f>
        <v/>
      </c>
      <c r="AIA10" t="str">
        <f>IF(Guillotine!F17="SP53 Black",1,"")</f>
        <v/>
      </c>
      <c r="AIB10" t="str">
        <f>IF(Guillotine!F17="SP53 Brown",1,"")</f>
        <v/>
      </c>
      <c r="AIC10" t="str">
        <f>IF(Guillotine!F17="SP53 Deep Ocean",1,"")</f>
        <v/>
      </c>
      <c r="AID10" t="str">
        <f>IF(Guillotine!F17="SP53 Jasper",1,"")</f>
        <v/>
      </c>
      <c r="AIE10" t="str">
        <f>IF(Guillotine!F17="SP53 Paperbark",1,"")</f>
        <v/>
      </c>
      <c r="AIF10" t="str">
        <f>IF(Guillotine!F17="SP53 Mist Green",1,"")</f>
        <v/>
      </c>
      <c r="AIG10" t="str">
        <f>IF(Guillotine!F17="SP53 Primrose",1,"")</f>
        <v/>
      </c>
      <c r="AIH10" t="str">
        <f>IF(Guillotine!F17="SP53 Ultra Silver",1,"")</f>
        <v/>
      </c>
      <c r="AII10" t="str">
        <f>IF(Guillotine!F17="SP53 Woodland Grey(Green Tone)",1,"")</f>
        <v/>
      </c>
      <c r="AIJ10" t="str">
        <f>IF(Guillotine!F17="SP53 Pearl White",1,"")</f>
        <v/>
      </c>
      <c r="AIK10" t="str">
        <f>IF(Guillotine!F17="SP53 Monument",1,"")</f>
        <v/>
      </c>
      <c r="AIL10" t="str">
        <f>IF(Guillotine!F17="SP53 Surfmist",1,"")</f>
        <v/>
      </c>
      <c r="AIM10" t="str">
        <f>IF(Guillotine!F17="SP53 Dune",1,"")</f>
        <v/>
      </c>
      <c r="AIN10" t="str">
        <f>IF(Guillotine!F17="SP53 Powdercoat",1,"")</f>
        <v/>
      </c>
      <c r="AIO10" t="str">
        <f>IF(Guillotine!F17="SP55 Apo Grey",1,"")</f>
        <v/>
      </c>
      <c r="AIP10" t="str">
        <f>IF(Guillotine!F17="SP55 White Birch",1,"")</f>
        <v/>
      </c>
      <c r="AIQ10" t="str">
        <f>IF(Guillotine!F17="SP55 Black",1,"")</f>
        <v/>
      </c>
      <c r="AIR10" t="str">
        <f>IF(Guillotine!F17="SP55 Brown",1,"")</f>
        <v/>
      </c>
      <c r="AIS10" t="str">
        <f>IF(Guillotine!F17="SP55 Deep Ocean",1,"")</f>
        <v/>
      </c>
      <c r="AIT10" t="str">
        <f>IF(Guillotine!F17="SP55 Jasper",1,"")</f>
        <v/>
      </c>
      <c r="AIU10" t="str">
        <f>IF(Guillotine!F17="SP55 Paperbark",1,"")</f>
        <v/>
      </c>
      <c r="AIV10" t="str">
        <f>IF(Guillotine!F17="SP55 Mist Green",1,"")</f>
        <v/>
      </c>
      <c r="AIW10" t="str">
        <f>IF(Guillotine!F17="SP55 Primrose",1,"")</f>
        <v/>
      </c>
      <c r="AIX10" t="str">
        <f>IF(Guillotine!F17="SP55 Ultra Silver",1,"")</f>
        <v/>
      </c>
      <c r="AIY10" t="str">
        <f>IF(Guillotine!F17="SP55 Woodland Grey(Green Tone)",1,"")</f>
        <v/>
      </c>
      <c r="AIZ10" t="str">
        <f>IF(Guillotine!F17="SP55 Pearl White",1,"")</f>
        <v/>
      </c>
      <c r="AJA10" t="str">
        <f>IF(Guillotine!F17="SP55 Monument",1,"")</f>
        <v/>
      </c>
      <c r="AJB10" t="str">
        <f>IF(Guillotine!F17="SP55 Surfmist",1,"")</f>
        <v/>
      </c>
      <c r="AJC10" t="str">
        <f>IF(Guillotine!F17="SP55 Dune",1,"")</f>
        <v/>
      </c>
      <c r="AJD10" t="str">
        <f>IF(Guillotine!F17="SP55 Powdercoat",1,"")</f>
        <v/>
      </c>
      <c r="AJE10" t="str">
        <f>IF(Guillotine!F17="SP56 Apo Grey",1,"")</f>
        <v/>
      </c>
      <c r="AJF10" t="str">
        <f>IF(Guillotine!F17="SP56 White Birch",1,"")</f>
        <v/>
      </c>
      <c r="AJG10" t="str">
        <f>IF(Guillotine!F17="SP56 Black",1,"")</f>
        <v/>
      </c>
      <c r="AJH10" t="str">
        <f>IF(Guillotine!F17="SP56 Brown",1,"")</f>
        <v/>
      </c>
      <c r="AJI10" t="str">
        <f>IF(Guillotine!F17="SP56 Deep Ocean",1,"")</f>
        <v/>
      </c>
      <c r="AJJ10" t="str">
        <f>IF(Guillotine!F17="SP56 Jasper",1,"")</f>
        <v/>
      </c>
      <c r="AJK10" t="str">
        <f>IF(Guillotine!F17="SP56 Paperbark",1,"")</f>
        <v/>
      </c>
      <c r="AJL10" t="str">
        <f>IF(Guillotine!F17="SP56 Mist Green",1,"")</f>
        <v/>
      </c>
      <c r="AJM10" t="str">
        <f>IF(Guillotine!F17="SP56 Primrose",1,"")</f>
        <v/>
      </c>
      <c r="AJN10" t="str">
        <f>IF(Guillotine!F17="SP56 Ultra Silver",1,"")</f>
        <v/>
      </c>
      <c r="AJO10" t="str">
        <f>IF(Guillotine!F17="SP56 Woodland Grey(Green Tone)",1,"")</f>
        <v/>
      </c>
      <c r="AJP10" t="str">
        <f>IF(Guillotine!F17="SP56 Pearl White",1,"")</f>
        <v/>
      </c>
      <c r="AJQ10" t="str">
        <f>IF(Guillotine!F17="SP56 Monument",1,"")</f>
        <v/>
      </c>
      <c r="AJR10" t="str">
        <f>IF(Guillotine!F17="SP56 Surfmist",1,"")</f>
        <v/>
      </c>
      <c r="AJS10" t="str">
        <f>IF(Guillotine!F17="SP56 Dune",1,"")</f>
        <v/>
      </c>
      <c r="AJT10" t="str">
        <f>IF(Guillotine!F17="SP56 Powdercoat",1,"")</f>
        <v/>
      </c>
      <c r="AJU10" t="str">
        <f>IF(Guillotine!F17="SP65 Apo Grey",1,"")</f>
        <v/>
      </c>
      <c r="AJV10" t="str">
        <f>IF(Guillotine!F17="SP65 White Birch",1,"")</f>
        <v/>
      </c>
      <c r="AJW10" t="str">
        <f>IF(Guillotine!F17="SP65 Black",1,"")</f>
        <v/>
      </c>
      <c r="AJX10" t="str">
        <f>IF(Guillotine!F17="SP65 Brown",1,"")</f>
        <v/>
      </c>
      <c r="AJY10" t="str">
        <f>IF(Guillotine!F17="SP65 Deep Ocean",1,"")</f>
        <v/>
      </c>
      <c r="AJZ10" t="str">
        <f>IF(Guillotine!F17="SP65 Jasper",1,"")</f>
        <v/>
      </c>
      <c r="AKA10" t="str">
        <f>IF(Guillotine!F17="SP65 Paperbark",1,"")</f>
        <v/>
      </c>
      <c r="AKB10" t="str">
        <f>IF(Guillotine!F17="SP65 Mist Green",1,"")</f>
        <v/>
      </c>
      <c r="AKC10" t="str">
        <f>IF(Guillotine!F17="SP65 Primrose",1,"")</f>
        <v/>
      </c>
      <c r="AKD10" t="str">
        <f>IF(Guillotine!F17="SP65 Ultra Silver",1,"")</f>
        <v/>
      </c>
      <c r="AKE10" t="str">
        <f>IF(Guillotine!F17="SP65 Woodland Grey(Green Tone)",1,"")</f>
        <v/>
      </c>
      <c r="AKF10" t="str">
        <f>IF(Guillotine!F17="SP65 Pearl White",1,"")</f>
        <v/>
      </c>
      <c r="AKG10" t="str">
        <f>IF(Guillotine!F17="SP65 Monument",1,"")</f>
        <v/>
      </c>
      <c r="AKH10" t="str">
        <f>IF(Guillotine!F17="SP65 Surfmist",1,"")</f>
        <v/>
      </c>
      <c r="AKI10" t="str">
        <f>IF(Guillotine!F17="SP65 Dune",1,"")</f>
        <v/>
      </c>
      <c r="AKJ10" t="str">
        <f>IF(Guillotine!F17="SP65 Powdercoat",1,"")</f>
        <v/>
      </c>
      <c r="AKK10" t="str">
        <f>IF(Guillotine!F17="SP72 Apo Grey",1,"")</f>
        <v/>
      </c>
      <c r="AKL10" t="str">
        <f>IF(Guillotine!F17="SP72 White Birch",1,"")</f>
        <v/>
      </c>
      <c r="AKM10" t="str">
        <f>IF(Guillotine!F17="SP72 Black",1,"")</f>
        <v/>
      </c>
      <c r="AKN10" t="str">
        <f>IF(Guillotine!F17="SP72 Brown",1,"")</f>
        <v/>
      </c>
      <c r="AKO10" t="str">
        <f>IF(Guillotine!F17="SP72 Deep Ocean",1,"")</f>
        <v/>
      </c>
      <c r="AKP10" t="str">
        <f>IF(Guillotine!F17="SP72 Jasper",1,"")</f>
        <v/>
      </c>
      <c r="AKQ10" t="str">
        <f>IF(Guillotine!F17="SP72 Paperbark",1,"")</f>
        <v/>
      </c>
      <c r="AKR10" t="str">
        <f>IF(Guillotine!F17="SP72 Mist Green",1,"")</f>
        <v/>
      </c>
      <c r="AKS10" t="str">
        <f>IF(Guillotine!F17="SP72 Primrose",1,"")</f>
        <v/>
      </c>
      <c r="AKT10" t="str">
        <f>IF(Guillotine!F17="SP72 Ultra Silver",1,"")</f>
        <v/>
      </c>
      <c r="AKU10" t="str">
        <f>IF(Guillotine!F17="SP72 Woodland Grey(Green Tone)",1,"")</f>
        <v/>
      </c>
      <c r="AKV10" t="str">
        <f>IF(Guillotine!F17="SP72 Pearl White",1,"")</f>
        <v/>
      </c>
      <c r="AKW10" t="str">
        <f>IF(Guillotine!F17="SP72 Monument",1,"")</f>
        <v/>
      </c>
      <c r="AKX10" t="str">
        <f>IF(Guillotine!F17="SP72 Surfmist",1,"")</f>
        <v/>
      </c>
      <c r="AKY10" t="str">
        <f>IF(Guillotine!F17="SP72 Dune",1,"")</f>
        <v/>
      </c>
      <c r="AKZ10" t="str">
        <f>IF(Guillotine!F17="SP72 Powdercoat",1,"")</f>
        <v/>
      </c>
      <c r="ALA10" t="str">
        <f>IF(Guillotine!F17="SP74 Apo Grey",1,"")</f>
        <v/>
      </c>
      <c r="ALB10" t="str">
        <f>IF(Guillotine!F17="SP74 White Birch",1,"")</f>
        <v/>
      </c>
      <c r="ALC10" t="str">
        <f>IF(Guillotine!F17="SP74 Black",1,"")</f>
        <v/>
      </c>
      <c r="ALD10" t="str">
        <f>IF(Guillotine!F17="SP74 Brown",1,"")</f>
        <v/>
      </c>
      <c r="ALE10" t="str">
        <f>IF(Guillotine!F17="SP74 Deep Ocean",1,"")</f>
        <v/>
      </c>
      <c r="ALF10" t="str">
        <f>IF(Guillotine!F17="SP74 Jasper",1,"")</f>
        <v/>
      </c>
      <c r="ALG10" t="str">
        <f>IF(Guillotine!F17="SP74 Paperbark",1,"")</f>
        <v/>
      </c>
      <c r="ALH10" t="str">
        <f>IF(Guillotine!F17="SP74 Mist Green",1,"")</f>
        <v/>
      </c>
      <c r="ALI10" t="str">
        <f>IF(Guillotine!F17="SP74 Primrose",1,"")</f>
        <v/>
      </c>
      <c r="ALJ10" t="str">
        <f>IF(Guillotine!F17="SP74 Ultra Silver",1,"")</f>
        <v/>
      </c>
      <c r="ALK10" t="str">
        <f>IF(Guillotine!F17="SP74 Woodland Grey(Green Tone)",1,"")</f>
        <v/>
      </c>
      <c r="ALL10" t="str">
        <f>IF(Guillotine!F17="SP74 Pearl White",1,"")</f>
        <v/>
      </c>
      <c r="ALM10" t="str">
        <f>IF(Guillotine!F17="SP74 Monument",1,"")</f>
        <v/>
      </c>
      <c r="ALN10" t="str">
        <f>IF(Guillotine!F17="SP74 Surfmist",1,"")</f>
        <v/>
      </c>
      <c r="ALO10" t="str">
        <f>IF(Guillotine!F17="SP74 Dune",1,"")</f>
        <v/>
      </c>
      <c r="ALP10" t="str">
        <f>IF(Guillotine!F17="SP74 Powdercoat",1,"")</f>
        <v/>
      </c>
      <c r="ALQ10" t="str">
        <f>IF(Guillotine!F17="SP78 Apo Grey",1,"")</f>
        <v/>
      </c>
      <c r="ALR10" t="str">
        <f>IF(Guillotine!F17="SP78 White Birch",1,"")</f>
        <v/>
      </c>
      <c r="ALS10" t="str">
        <f>IF(Guillotine!F17="SP78 Black",1,"")</f>
        <v/>
      </c>
      <c r="ALT10" t="str">
        <f>IF(Guillotine!F17="SP78 Brown",1,"")</f>
        <v/>
      </c>
      <c r="ALU10" t="str">
        <f>IF(Guillotine!F17="SP78 Deep Ocean",1,"")</f>
        <v/>
      </c>
      <c r="ALV10" t="str">
        <f>IF(Guillotine!F17="SP78 Jasper",1,"")</f>
        <v/>
      </c>
      <c r="ALW10" t="str">
        <f>IF(Guillotine!F17="SP78 Paperbark",1,"")</f>
        <v/>
      </c>
      <c r="ALX10" t="str">
        <f>IF(Guillotine!F17="SP78 Mist Green",1,"")</f>
        <v/>
      </c>
      <c r="ALY10" t="str">
        <f>IF(Guillotine!F17="SP78 Primrose",1,"")</f>
        <v/>
      </c>
      <c r="ALZ10" t="str">
        <f>IF(Guillotine!F17="SP78 Ultra Silver",1,"")</f>
        <v/>
      </c>
      <c r="AMA10" t="str">
        <f>IF(Guillotine!F17="SP78 Woodland Grey(Green Tone)",1,"")</f>
        <v/>
      </c>
      <c r="AMB10" t="str">
        <f>IF(Guillotine!F17="SP78 Pearl White",1,"")</f>
        <v/>
      </c>
      <c r="AMC10" t="str">
        <f>IF(Guillotine!F17="SP78 Monument",1,"")</f>
        <v/>
      </c>
      <c r="AMD10" t="str">
        <f>IF(Guillotine!F17="SP78 Surfmist",1,"")</f>
        <v/>
      </c>
      <c r="AME10" t="str">
        <f>IF(Guillotine!F17="SP78 Dune",1,"")</f>
        <v/>
      </c>
      <c r="AMF10" t="str">
        <f>IF(Guillotine!F17="SP78 Powdercoat",1,"")</f>
        <v/>
      </c>
    </row>
    <row r="11" spans="4:1020" ht="13.2" customHeight="1">
      <c r="D11" t="str">
        <f>IF(Data!AV17="","",CONCATENATE(Data!BC$5,".",Data!BD$5))</f>
        <v/>
      </c>
      <c r="E11" t="str">
        <f>IF(D11="","",Data!AW17)</f>
        <v/>
      </c>
      <c r="F11" t="str">
        <f>IF(D11="","",Data!AV17)</f>
        <v/>
      </c>
      <c r="G11" t="str">
        <f t="shared" si="1"/>
        <v/>
      </c>
      <c r="H11" t="str">
        <f>IF(D11="","",Data!BF$5)</f>
        <v/>
      </c>
      <c r="I11" t="str">
        <f>IF(D11="","",Data!AX$5)</f>
        <v/>
      </c>
      <c r="J11" s="73" t="str">
        <f>IF(AND('Mitred Cutting'!C17="Standard",'Mitred Cutting'!D17="APO Grey"),(('Job Sheet'!BH17+'Job Sheet'!BI17)*2),"")</f>
        <v/>
      </c>
      <c r="K11" s="73" t="str">
        <f>IF(AND('Mitred Cutting'!C17="Standard",'Mitred Cutting'!D17="White Birch"),(('Job Sheet'!BH17+'Job Sheet'!BI17)*2),"")</f>
        <v/>
      </c>
      <c r="L11" s="73" t="str">
        <f>IF(AND('Mitred Cutting'!C17="Standard",'Mitred Cutting'!D17="Black"),(('Job Sheet'!BH17+'Job Sheet'!BI17)*2),"")</f>
        <v/>
      </c>
      <c r="M11" s="73" t="str">
        <f>IF(AND('Mitred Cutting'!C17="Standard",'Mitred Cutting'!D17="Brown"),(('Job Sheet'!BH17+'Job Sheet'!BI17)*2),"")</f>
        <v/>
      </c>
      <c r="N11" s="73" t="str">
        <f>IF(AND('Mitred Cutting'!C17="Standard",'Mitred Cutting'!D17="Deep Ocean"),(('Job Sheet'!BH17+'Job Sheet'!BI17)*2),"")</f>
        <v/>
      </c>
      <c r="O11" s="73" t="str">
        <f>IF(AND('Mitred Cutting'!C17="Standard",'Mitred Cutting'!D17="Jasper"),(('Job Sheet'!BH17+'Job Sheet'!BI17)*2),"")</f>
        <v/>
      </c>
      <c r="P11" s="73" t="str">
        <f>IF(AND('Mitred Cutting'!C17="Standard",'Mitred Cutting'!D17="Paperbark"),(('Job Sheet'!BH17+'Job Sheet'!BI17)*2),"")</f>
        <v/>
      </c>
      <c r="Q11" s="73" t="str">
        <f>IF(AND('Mitred Cutting'!C17="Standard",'Mitred Cutting'!D17="Mist Green"),(('Job Sheet'!BH17+'Job Sheet'!BI17)*2),"")</f>
        <v/>
      </c>
      <c r="R11" s="73" t="str">
        <f>IF(AND('Mitred Cutting'!C17="Standard",'Mitred Cutting'!D17="Primrose"),(('Job Sheet'!BH17+'Job Sheet'!BI17)*2),"")</f>
        <v/>
      </c>
      <c r="S11" s="73" t="str">
        <f>IF(AND('Mitred Cutting'!C17="Standard",'Mitred Cutting'!D17="Ultra Silver"),(('Job Sheet'!BH17+'Job Sheet'!BI17)*2),"")</f>
        <v/>
      </c>
      <c r="T11" s="73" t="str">
        <f>IF(AND('Mitred Cutting'!C17="Standard",'Mitred Cutting'!D17="Woodland Grey(Green Tone)"),(('Job Sheet'!BH17+'Job Sheet'!BI17)*2),"")</f>
        <v/>
      </c>
      <c r="U11" s="73" t="str">
        <f>IF(AND('Mitred Cutting'!C17="Standard",'Mitred Cutting'!D17="Pearl White"),(('Job Sheet'!BH17+'Job Sheet'!BI17)*2),"")</f>
        <v/>
      </c>
      <c r="V11" s="73" t="str">
        <f>IF(AND('Mitred Cutting'!C17="Standard",'Mitred Cutting'!D17="Monument"),(('Job Sheet'!BH17+'Job Sheet'!BI17)*2),"")</f>
        <v/>
      </c>
      <c r="W11" s="73" t="str">
        <f>IF(AND('Mitred Cutting'!C17="Standard",'Mitred Cutting'!D17="Surfmist"),(('Job Sheet'!BH17+'Job Sheet'!BI17)*2),"")</f>
        <v/>
      </c>
      <c r="X11" s="73" t="str">
        <f>IF(AND('Mitred Cutting'!C17="Standard",'Mitred Cutting'!D17="Dune"),(('Job Sheet'!BH17+'Job Sheet'!BI17)*2),"")</f>
        <v/>
      </c>
      <c r="Y11" s="73" t="str">
        <f>IF(AND('Mitred Cutting'!C17="Standard",'Job Sheet'!AA17="Woodland Grey (Dulux)"),(('Job Sheet'!BH17+'Job Sheet'!BI17)*2),"")</f>
        <v/>
      </c>
      <c r="Z11" s="73" t="str">
        <f>IF(AND('Mitred Cutting'!C17="Standard",Data!BP17="Powdercoat",'Job Sheet'!AA17&lt;&gt;"Woodland Grey (Dulux)"),(('Job Sheet'!BH17+'Job Sheet'!BI17)*2),"")</f>
        <v/>
      </c>
      <c r="AA11" s="73" t="str">
        <f>IF(AND('Mitred Cutting'!C17="Invisi-Gard",'Mitred Cutting'!D17="APO Grey"),(('Job Sheet'!BH17+'Job Sheet'!BI17)*2),"")</f>
        <v/>
      </c>
      <c r="AB11" s="73" t="str">
        <f>IF(AND('Mitred Cutting'!C17="Invisi-Gard",'Mitred Cutting'!D17="White Birch"),(('Job Sheet'!BH17+'Job Sheet'!BI17)*2),"")</f>
        <v/>
      </c>
      <c r="AC11" s="73" t="str">
        <f>IF(AND('Mitred Cutting'!C17="Invisi-Gard",'Mitred Cutting'!D17="Black"),(('Job Sheet'!BH17+'Job Sheet'!BI17)*2),"")</f>
        <v/>
      </c>
      <c r="AD11" s="73" t="str">
        <f>IF(AND('Mitred Cutting'!C17="Invisi-Gard",'Mitred Cutting'!D17="Brown"),(('Job Sheet'!BH17+'Job Sheet'!BI17)*2),"")</f>
        <v/>
      </c>
      <c r="AE11" s="73" t="str">
        <f>IF(AND('Mitred Cutting'!C17="Invisi-Gard",'Mitred Cutting'!D17="Deep Ocean"),(('Job Sheet'!BH17+'Job Sheet'!BI17)*2),"")</f>
        <v/>
      </c>
      <c r="AF11" s="73" t="str">
        <f>IF(AND('Mitred Cutting'!C17="Invisi-Gard",'Mitred Cutting'!D17="Jasper"),(('Job Sheet'!BH17+'Job Sheet'!BI17)*2),"")</f>
        <v/>
      </c>
      <c r="AG11" s="73" t="str">
        <f>IF(AND('Mitred Cutting'!C17="Invisi-Gard",'Mitred Cutting'!D17="Paperbark"),(('Job Sheet'!BH17+'Job Sheet'!BI17)*2),"")</f>
        <v/>
      </c>
      <c r="AH11" s="73" t="str">
        <f>IF(AND('Mitred Cutting'!C17="Invisi-Gard",'Mitred Cutting'!D17="Mist Green"),(('Job Sheet'!BH17+'Job Sheet'!BI17)*2),"")</f>
        <v/>
      </c>
      <c r="AI11" s="73" t="str">
        <f>IF(AND('Mitred Cutting'!C17="Invisi-Gard",'Mitred Cutting'!D17="Primrose"),(('Job Sheet'!BH17+'Job Sheet'!BI17)*2),"")</f>
        <v/>
      </c>
      <c r="AJ11" s="73" t="str">
        <f>IF(AND('Mitred Cutting'!C17="Invisi-Gard",'Mitred Cutting'!D17="Ultra Silver"),(('Job Sheet'!BH17+'Job Sheet'!BI17)*2),"")</f>
        <v/>
      </c>
      <c r="AK11" s="73" t="str">
        <f>IF(AND('Mitred Cutting'!C17="Invisi-Gard",'Mitred Cutting'!D17="Woodland Grey(Green Tone)"),(('Job Sheet'!BH17+'Job Sheet'!BI17)*2),"")</f>
        <v/>
      </c>
      <c r="AL11" s="73" t="str">
        <f>IF(AND('Mitred Cutting'!C17="Invisi-Gard",'Mitred Cutting'!D17="Pearl White"),(('Job Sheet'!BH17+'Job Sheet'!BI17)*2),"")</f>
        <v/>
      </c>
      <c r="AM11" s="73" t="str">
        <f>IF(AND('Mitred Cutting'!C17="Invisi-Gard",'Mitred Cutting'!D17="Monument"),(('Job Sheet'!BH17+'Job Sheet'!BI17)*2),"")</f>
        <v/>
      </c>
      <c r="AN11" s="73" t="str">
        <f>IF(AND('Mitred Cutting'!C17="Invisi-Gard",'Mitred Cutting'!D17="Surfmist"),(('Job Sheet'!BH17+'Job Sheet'!BI17)*2),"")</f>
        <v/>
      </c>
      <c r="AO11" s="73" t="str">
        <f>IF(AND('Mitred Cutting'!C17="Invisi-Gard",'Mitred Cutting'!D17="Dune"),(('Job Sheet'!BH17+'Job Sheet'!BI17)*2),"")</f>
        <v/>
      </c>
      <c r="AP11" s="73" t="str">
        <f>IF(AND('Mitred Cutting'!C17="Invisi-Gard",'Job Sheet'!AA17="Woodland Grey (Dulux)"),(('Job Sheet'!BH17+'Job Sheet'!BI17)*2),"")</f>
        <v/>
      </c>
      <c r="AQ11" s="73" t="str">
        <f>IF(AND('Mitred Cutting'!C17="Invisi-Gard",Data!BP17="Powdercoat",'Job Sheet'!AA17&lt;&gt;"Woodland Grey (Dulux)"),(('Job Sheet'!BH17+'Job Sheet'!BI17)*2),"")</f>
        <v/>
      </c>
      <c r="BZ11" s="73"/>
      <c r="CA11" s="73"/>
      <c r="CB11" s="73"/>
      <c r="CC11" s="73"/>
      <c r="CD11" s="73"/>
      <c r="CE11" s="73"/>
      <c r="CF11" s="73"/>
      <c r="CG11" s="73"/>
      <c r="CH11" s="73"/>
      <c r="CI11" s="73"/>
      <c r="CJ11" s="73"/>
      <c r="CK11" s="73"/>
      <c r="CL11" s="73"/>
      <c r="CM11" s="73"/>
      <c r="CN11" s="73"/>
      <c r="CO11" s="73"/>
      <c r="CP11" s="73"/>
      <c r="CQ11" s="73" t="str">
        <f>IF(D11="","",IF(AND('Job Sheet'!AO17="Yes",'Mitred Cutting'!I17="Short Leg Left, Right and Top",'Mitred Cutting'!J17="APO Grey"),(('Job Sheet'!E17*2+60)+'Job Sheet'!AP17+60),IF(AND('Mitred Cutting'!I17="Short Leg 1 Side",'Mitred Cutting'!J17="APO Grey"),'Job Sheet'!E17+30,IF(AND('Mitred Cutting'!I17="Short Leg Left, Right and Top",'Mitred Cutting'!J17="APO Grey"),(('Job Sheet'!E17*2+60)+'Job Sheet'!D17+60),""))))</f>
        <v/>
      </c>
      <c r="CR11" s="73" t="str">
        <f>IF(D11="","",IF(AND('Job Sheet'!AO17="Yes",'Mitred Cutting'!I17="Short Leg Left, Right and Top",'Mitred Cutting'!J17="White Birch"),(('Job Sheet'!E17*2+60)+'Job Sheet'!AP17+60),IF(AND('Mitred Cutting'!I17="Short Leg 1 Side",'Mitred Cutting'!J17="White Birch"),'Job Sheet'!E17+30,IF(AND('Mitred Cutting'!I17="Short Leg Left, Right and Top",'Mitred Cutting'!J17="White Birch"),(('Job Sheet'!E17*2+60)+'Job Sheet'!D17+60),""))))</f>
        <v/>
      </c>
      <c r="CS11" s="73" t="str">
        <f>IF(D11="","",IF(AND('Job Sheet'!AO17="Yes",'Mitred Cutting'!I17="Short Leg Left, Right and Top",'Mitred Cutting'!J17="Black"),(('Job Sheet'!E17*2+60)+'Job Sheet'!AP17+60),IF(AND('Mitred Cutting'!I17="Short Leg 1 Side",'Mitred Cutting'!J17="Black"),'Job Sheet'!E17+30,IF(AND('Mitred Cutting'!I17="Short Leg Left, Right and Top",'Mitred Cutting'!J17="Black"),(('Job Sheet'!E17*2+60)+'Job Sheet'!D17+60),""))))</f>
        <v/>
      </c>
      <c r="CT11" s="73" t="str">
        <f>IF(D11="","",IF(AND('Job Sheet'!AO17="Yes",'Mitred Cutting'!I17="Short Leg Left, Right and Top",'Mitred Cutting'!J17="Brown"),(('Job Sheet'!E17*2+60)+'Job Sheet'!AP17+60),IF(AND('Mitred Cutting'!I17="Short Leg 1 Side",'Mitred Cutting'!J17="Brown"),'Job Sheet'!E17+30,IF(AND('Mitred Cutting'!I17="Short Leg Left, Right and Top",'Mitred Cutting'!J17="Brown"),(('Job Sheet'!E17*2+60)+'Job Sheet'!D17+60),""))))</f>
        <v/>
      </c>
      <c r="CU11" s="73" t="str">
        <f>IF(D11="","",IF(AND('Job Sheet'!AO17="Yes",'Mitred Cutting'!I17="Short Leg Left, Right and Top",'Mitred Cutting'!J17="Deep Ocean"),(('Job Sheet'!E17*2+60)+'Job Sheet'!AP17+60),IF(AND('Mitred Cutting'!I17="Short Leg 1 Side",'Mitred Cutting'!J17="Deep Ocean"),'Job Sheet'!E17+30,IF(AND('Mitred Cutting'!I17="Short Leg Left, Right and Top",'Mitred Cutting'!J17="Deep Ocean"),(('Job Sheet'!E17*2+60)+'Job Sheet'!D17+60),""))))</f>
        <v/>
      </c>
      <c r="CV11" s="73" t="str">
        <f>IF(D11="","",IF(AND('Job Sheet'!AO17="Yes",'Mitred Cutting'!I17="Short Leg Left, Right and Top",'Mitred Cutting'!J17="Jasper"),(('Job Sheet'!E17*2+60)+'Job Sheet'!AP17+60),IF(AND('Mitred Cutting'!I17="Short Leg 1 Side",'Mitred Cutting'!J17="Jasper"),'Job Sheet'!E17+30,IF(AND('Mitred Cutting'!I17="Short Leg Left, Right and Top",'Mitred Cutting'!J17="Jasper"),(('Job Sheet'!E17*2+60)+'Job Sheet'!D17+60),""))))</f>
        <v/>
      </c>
      <c r="CW11" s="73" t="str">
        <f>IF(D11="","",IF(AND('Job Sheet'!AO17="Yes",'Mitred Cutting'!I17="Short Leg Left, Right and Top",'Mitred Cutting'!J17="Paperbark"),(('Job Sheet'!E17*2+60)+'Job Sheet'!AP17+60),IF(AND('Mitred Cutting'!I17="Short Leg 1 Side",'Mitred Cutting'!J17="Paperbark"),'Job Sheet'!E17+30,IF(AND('Mitred Cutting'!I17="Short Leg Left, Right and Top",'Mitred Cutting'!J17="Paperbark"),(('Job Sheet'!E17*2+60)+'Job Sheet'!D17+60),""))))</f>
        <v/>
      </c>
      <c r="CX11" s="73" t="str">
        <f>IF(D11="","",IF(AND('Job Sheet'!AO17="Yes",'Mitred Cutting'!I17="Short Leg Left, Right and Top",'Mitred Cutting'!J17="Mist Green"),(('Job Sheet'!E17*2+60)+'Job Sheet'!AP17+60),IF(AND('Mitred Cutting'!I17="Short Leg 1 Side",'Mitred Cutting'!J17="Mist Green"),'Job Sheet'!E17+30,IF(AND('Mitred Cutting'!I17="Short Leg Left, Right and Top",'Mitred Cutting'!J17="Mist Green"),(('Job Sheet'!E17*2+60)+'Job Sheet'!D17+60),""))))</f>
        <v/>
      </c>
      <c r="CY11" s="73" t="str">
        <f>IF(D11="","",IF(AND('Job Sheet'!AO17="Yes",'Mitred Cutting'!I17="Short Leg Left, Right and Top",'Mitred Cutting'!J17="Primrose"),(('Job Sheet'!E17*2+60)+'Job Sheet'!AP17+60),IF(AND('Mitred Cutting'!I17="Short Leg 1 Side",'Mitred Cutting'!J17="Primrose"),'Job Sheet'!E17+30,IF(AND('Mitred Cutting'!I17="Short Leg Left, Right and Top",'Mitred Cutting'!J17="Primrose"),(('Job Sheet'!E17*2+60)+'Job Sheet'!D17+60),""))))</f>
        <v/>
      </c>
      <c r="CZ11" s="73" t="str">
        <f>IF(D11="","",IF(AND('Job Sheet'!AO17="Yes",'Mitred Cutting'!I17="Short Leg Left, Right and Top",'Mitred Cutting'!J17="Ultra Silver"),(('Job Sheet'!E17*2+60)+'Job Sheet'!AP17+60),IF(AND('Mitred Cutting'!I17="Short Leg 1 Side",'Mitred Cutting'!J17="Ultra Silver"),'Job Sheet'!E17+30,IF(AND('Mitred Cutting'!I17="Short Leg Left, Right and Top",'Mitred Cutting'!J17="Ultra Silver"),(('Job Sheet'!E17*2+60)+'Job Sheet'!D17+60),""))))</f>
        <v/>
      </c>
      <c r="DA11" s="73" t="str">
        <f>IF(D11="","",IF(AND('Job Sheet'!AO17="Yes",'Mitred Cutting'!I17="Short Leg Left, Right and Top",'Mitred Cutting'!J17="Woodland Grey(Green Tone)"),(('Job Sheet'!E17*2+60)+'Job Sheet'!AP17+60),IF(AND('Mitred Cutting'!I17="Short Leg 1 Side",'Mitred Cutting'!J17="Woodland Grey(Green Tone)"),'Job Sheet'!E17+30,IF(AND('Mitred Cutting'!I17="Short Leg Left, Right and Top",'Mitred Cutting'!J17="Woodland Grey(Green Tone)"),(('Job Sheet'!E17*2+60)+'Job Sheet'!D17+60),""))))</f>
        <v/>
      </c>
      <c r="DB11" s="73" t="str">
        <f>IF(D11="","",IF(AND('Job Sheet'!AO17="Yes",'Mitred Cutting'!I17="Short Leg Left, Right and Top",'Mitred Cutting'!J17="Pearl White"),(('Job Sheet'!E17*2+60)+'Job Sheet'!AP17+60),IF(AND('Mitred Cutting'!I17="Short Leg 1 Side",'Mitred Cutting'!J17="Pearl White"),'Job Sheet'!E17+30,IF(AND('Mitred Cutting'!I17="Short Leg Left, Right and Top",'Mitred Cutting'!J17="Pearl White"),(('Job Sheet'!E17*2+60)+'Job Sheet'!D17+60),""))))</f>
        <v/>
      </c>
      <c r="DC11" s="73" t="str">
        <f>IF(D11="","",IF(AND('Job Sheet'!AO17="Yes",'Mitred Cutting'!I17="Short Leg Left, Right and Top",'Mitred Cutting'!J17="Monument"),(('Job Sheet'!E17*2+60)+'Job Sheet'!AP17+60),IF(AND('Mitred Cutting'!I17="Short Leg 1 Side",'Mitred Cutting'!J17="Monument"),'Job Sheet'!E17+30,IF(AND('Mitred Cutting'!I17="Short Leg Left, Right and Top",'Mitred Cutting'!J17="Monument"),(('Job Sheet'!E17*2+60)+'Job Sheet'!D17+60),""))))</f>
        <v/>
      </c>
      <c r="DD11" s="73" t="str">
        <f>IF(D11="","",IF(AND('Job Sheet'!AO17="Yes",'Mitred Cutting'!I17="Short Leg Left, Right and Top",'Mitred Cutting'!J17="Surfmist"),(('Job Sheet'!E17*2+60)+'Job Sheet'!AP17+60),IF(AND('Mitred Cutting'!I17="Short Leg 1 Side",'Mitred Cutting'!J17="Surfmist"),'Job Sheet'!E17+30,IF(AND('Mitred Cutting'!I17="Short Leg Left, Right and Top",'Mitred Cutting'!J17="Surfmist"),(('Job Sheet'!E17*2+60)+'Job Sheet'!D17+60),""))))</f>
        <v/>
      </c>
      <c r="DE11" s="73" t="str">
        <f>IF(D11="","",IF(AND('Job Sheet'!AO17="Yes",'Mitred Cutting'!I17="Short Leg Left, Right and Top",'Mitred Cutting'!J17="Dune"),(('Job Sheet'!E17*2+60)+'Job Sheet'!AP17+60),IF(AND('Mitred Cutting'!I17="Short Leg 1 Side",'Mitred Cutting'!J17="Dune"),'Job Sheet'!E17+30,IF(AND('Mitred Cutting'!I17="Short Leg Left, Right and Top",'Mitred Cutting'!J17="Dune"),(('Job Sheet'!E17*2+60)+'Job Sheet'!D17+60),""))))</f>
        <v/>
      </c>
      <c r="DG11" s="73" t="str">
        <f>IF(D11="","",IF(AND('Job Sheet'!AO17="Yes",'Mitred Cutting'!I17="Short Leg Left, Right and Top",Data!BP17="Powdercoat"),(('Job Sheet'!E17*2+60)+'Job Sheet'!AP17+60),IF(AND('Mitred Cutting'!I17="Short Leg 1 Side",Data!BP17="Powdercoat"),'Job Sheet'!E17+30,IF(AND('Mitred Cutting'!I17="Short Leg Left, Right and Top",Data!BP17="Powdercoat"),(('Job Sheet'!E17*2+60)+'Job Sheet'!D17+60),""))))</f>
        <v/>
      </c>
      <c r="DH11" s="73" t="str">
        <f>IF(D11="","",IF(AND('Job Sheet'!AO17="Yes",'Mitred Cutting'!I17="Long Leg Left, Right and Top",'Mitred Cutting'!J17="APO Grey"),(('Job Sheet'!E17*2+60)+'Job Sheet'!AP17+60),IF(AND('Mitred Cutting'!I17="Long Leg 1 Side",'Mitred Cutting'!J17="APO Grey"),'Job Sheet'!E17+30,IF(AND('Mitred Cutting'!I17="Long Leg Left, Right and Top",'Mitred Cutting'!J17="APO Grey"),(('Job Sheet'!E17*2+60)+'Job Sheet'!D17+60),""))))</f>
        <v/>
      </c>
      <c r="DI11" s="73" t="str">
        <f>IF(D11="","",IF(AND('Job Sheet'!AO17="Yes",'Mitred Cutting'!I17="Long Leg Left, Right and Top",'Mitred Cutting'!J17="White Birch"),(('Job Sheet'!E17*2+60)+'Job Sheet'!AP17+60),IF(AND('Mitred Cutting'!I17="Long Leg 1 Side",'Mitred Cutting'!J17="White Birch"),'Job Sheet'!E17+30,IF(AND('Mitred Cutting'!I17="Long Leg Left, Right and Top",'Mitred Cutting'!J17="White Birch"),(('Job Sheet'!E17*2+60)+'Job Sheet'!D17+60),""))))</f>
        <v/>
      </c>
      <c r="DJ11" s="73" t="str">
        <f>IF(D11="","",IF(AND('Job Sheet'!AO17="Yes",'Mitred Cutting'!I17="Long Leg Left, Right and Top",'Mitred Cutting'!J17="Black"),(('Job Sheet'!E17*2+60)+'Job Sheet'!AP17+60),IF(AND('Mitred Cutting'!I17="Long Leg 1 Side",'Mitred Cutting'!J17="Black"),'Job Sheet'!E17+30,IF(AND('Mitred Cutting'!I17="Long Leg Left, Right and Top",'Mitred Cutting'!J17="Black"),(('Job Sheet'!E17*2+60)+'Job Sheet'!D17+60),""))))</f>
        <v/>
      </c>
      <c r="DK11" s="73" t="str">
        <f>IF(D11="","",IF(AND('Job Sheet'!AO17="Yes",'Mitred Cutting'!I17="Long Leg Left, Right and Top",'Mitred Cutting'!J17="Brown"),(('Job Sheet'!E17*2+60)+'Job Sheet'!AP17+60),IF(AND('Mitred Cutting'!I17="Long Leg 1 Side",'Mitred Cutting'!J17="Brown"),'Job Sheet'!E17+30,IF(AND('Mitred Cutting'!I17="Long Leg Left, Right and Top",'Mitred Cutting'!J17="Brown"),(('Job Sheet'!E17*2+60)+'Job Sheet'!D17+60),""))))</f>
        <v/>
      </c>
      <c r="DL11" s="73" t="str">
        <f>IF(D11="","",IF(AND('Job Sheet'!AO17="Yes",'Mitred Cutting'!I17="Long Leg Left, Right and Top",'Mitred Cutting'!J17="Deep Ocean"),(('Job Sheet'!E17*2+60)+'Job Sheet'!AP17+60),IF(AND('Mitred Cutting'!I17="Long Leg 1 Side",'Mitred Cutting'!J17="Deep Ocean"),'Job Sheet'!E17+30,IF(AND('Mitred Cutting'!I17="Long Leg Left, Right and Top",'Mitred Cutting'!J17="Deep Ocean"),(('Job Sheet'!E17*2+60)+'Job Sheet'!D17+60),""))))</f>
        <v/>
      </c>
      <c r="DM11" s="73" t="str">
        <f>IF(D11="","",IF(AND('Job Sheet'!AO17="Yes",'Mitred Cutting'!I17="Long Leg Left, Right and Top",'Mitred Cutting'!J17="Jasper"),(('Job Sheet'!E17*2+60)+'Job Sheet'!AP17+60),IF(AND('Mitred Cutting'!I17="Long Leg 1 Side",'Mitred Cutting'!J17="Jasper"),'Job Sheet'!E17+30,IF(AND('Mitred Cutting'!I17="Long Leg Left, Right and Top",'Mitred Cutting'!J17="Jasper"),(('Job Sheet'!E17*2+60)+'Job Sheet'!D17+60),""))))</f>
        <v/>
      </c>
      <c r="DN11" s="73" t="str">
        <f>IF(D11="","",IF(AND('Job Sheet'!AO17="Yes",'Mitred Cutting'!I17="Long Leg Left, Right and Top",'Mitred Cutting'!J17="Paperbark"),(('Job Sheet'!E17*2+60)+'Job Sheet'!AP17+60),IF(AND('Mitred Cutting'!I17="Long Leg 1 Side",'Mitred Cutting'!J17="Paperbark"),'Job Sheet'!E17+30,IF(AND('Mitred Cutting'!I17="Long Leg Left, Right and Top",'Mitred Cutting'!J17="Paperbark"),(('Job Sheet'!E17*2+60)+'Job Sheet'!D17+60),""))))</f>
        <v/>
      </c>
      <c r="DO11" s="73" t="str">
        <f>IF(D11="","",IF(AND('Job Sheet'!AO17="Yes",'Mitred Cutting'!I17="Long Leg Left, Right and Top",'Mitred Cutting'!J17="Mist Green"),(('Job Sheet'!E17*2+60)+'Job Sheet'!AP17+60),IF(AND('Mitred Cutting'!I17="Long Leg 1 Side",'Mitred Cutting'!J17="Mist Green"),'Job Sheet'!E17+30,IF(AND('Mitred Cutting'!I17="Long Leg Left, Right and Top",'Mitred Cutting'!J17="Mist Green"),(('Job Sheet'!E17*2+60)+'Job Sheet'!D17+60),""))))</f>
        <v/>
      </c>
      <c r="DP11" s="73" t="str">
        <f>IF(D11="","",IF(AND('Job Sheet'!AO17="Yes",'Mitred Cutting'!I17="Long Leg Left, Right and Top",'Mitred Cutting'!J17="Primrose"),(('Job Sheet'!E17*2+60)+'Job Sheet'!AP17+60),IF(AND('Mitred Cutting'!I17="Long Leg 1 Side",'Mitred Cutting'!J17="Primrose"),'Job Sheet'!E17+30,IF(AND('Mitred Cutting'!I17="Long Leg Left, Right and Top",'Mitred Cutting'!J17="Primrose"),(('Job Sheet'!E17*2+60)+'Job Sheet'!D17+60),""))))</f>
        <v/>
      </c>
      <c r="DQ11" s="73" t="str">
        <f>IF(D11="","",IF(AND('Job Sheet'!AO17="Yes",'Mitred Cutting'!I17="Long Leg Left, Right and Top",'Mitred Cutting'!J17="Ultra Silver"),(('Job Sheet'!E17*2+60)+'Job Sheet'!AP17+60),IF(AND('Mitred Cutting'!I17="Long Leg 1 Side",'Mitred Cutting'!J17="Ultra Silver"),'Job Sheet'!E17+30,IF(AND('Mitred Cutting'!I17="Long Leg Left, Right and Top",'Mitred Cutting'!J17="Ultra Silver"),(('Job Sheet'!E17*2+60)+'Job Sheet'!D17+60),""))))</f>
        <v/>
      </c>
      <c r="DR11" s="73" t="str">
        <f>IF(D11="","",IF(AND('Job Sheet'!AO17="Yes",'Mitred Cutting'!I17="Long Leg Left, Right and Top",'Mitred Cutting'!J17="Woodland Grey(Green Tone)"),(('Job Sheet'!E17*2+60)+'Job Sheet'!AP17+60),IF(AND('Mitred Cutting'!I17="Long Leg 1 Side",'Mitred Cutting'!J17="Woodland Grey(Green Tone)"),'Job Sheet'!E17+30,IF(AND('Mitred Cutting'!I17="Long Leg Left, Right and Top",'Mitred Cutting'!J17="Woodland Grey(Green Tone)"),(('Job Sheet'!E17*2+60)+'Job Sheet'!D17+60),""))))</f>
        <v/>
      </c>
      <c r="DS11" s="73" t="str">
        <f>IF(D11="","",IF(AND('Job Sheet'!AO17="Yes",'Mitred Cutting'!I17="Long Leg Left, Right and Top",'Mitred Cutting'!J17="Pearl White"),(('Job Sheet'!E17*2+60)+'Job Sheet'!AP17+60),IF(AND('Mitred Cutting'!I17="Long Leg 1 Side",'Mitred Cutting'!J17="Pearl White"),'Job Sheet'!E17+30,IF(AND('Mitred Cutting'!I17="Long Leg Left, Right and Top",'Mitred Cutting'!J17="Pearl White"),(('Job Sheet'!E17*2+60)+'Job Sheet'!D17+60),""))))</f>
        <v/>
      </c>
      <c r="DT11" s="73" t="str">
        <f>IF(D11="","",IF(AND('Job Sheet'!AO17="Yes",'Mitred Cutting'!I17="Long Leg Left, Right and Top",'Mitred Cutting'!J17="Monument"),(('Job Sheet'!E17*2+60)+'Job Sheet'!AP17+60),IF(AND('Mitred Cutting'!I17="Long Leg 1 Side",'Mitred Cutting'!J17="Monument"),'Job Sheet'!E17+30,IF(AND('Mitred Cutting'!I17="Long Leg Left, Right and Top",'Mitred Cutting'!J17="Monument"),(('Job Sheet'!E17*2+60)+'Job Sheet'!D17+60),""))))</f>
        <v/>
      </c>
      <c r="DU11" s="73" t="str">
        <f>IF(D11="","",IF(AND('Job Sheet'!AO17="Yes",'Mitred Cutting'!I17="Long Leg Left, Right and Top",'Mitred Cutting'!J17="Surfmist"),(('Job Sheet'!E17*2+60)+'Job Sheet'!AP17+60),IF(AND('Mitred Cutting'!I17="Long Leg 1 Side",'Mitred Cutting'!J17="Surfmist"),'Job Sheet'!E17+30,IF(AND('Mitred Cutting'!I17="Long Leg Left, Right and Top",'Mitred Cutting'!J17="Surfmist"),(('Job Sheet'!E17*2+60)+'Job Sheet'!D17+60),""))))</f>
        <v/>
      </c>
      <c r="DV11" s="73" t="str">
        <f>IF(D11="","",IF(AND('Job Sheet'!AO17="Yes",'Mitred Cutting'!I17="Long Leg Left, Right and Top",'Mitred Cutting'!J17="Dune"),(('Job Sheet'!E17*2+60)+'Job Sheet'!AP17+60),IF(AND('Mitred Cutting'!I17="Long Leg 1 Side",'Mitred Cutting'!J17="Dune"),'Job Sheet'!E17+30,IF(AND('Mitred Cutting'!I17="Long Leg Left, Right and Top",'Mitred Cutting'!J17="Dune"),(('Job Sheet'!E17*2+60)+'Job Sheet'!D17+60),""))))</f>
        <v/>
      </c>
      <c r="DX11" s="73" t="str">
        <f>IF(D11="","",IF(AND('Job Sheet'!AO17="Yes",'Mitred Cutting'!I17="Long Leg Left, Right and Top",Data!BP17="Powdercoat"),(('Job Sheet'!E17*2+60)+'Job Sheet'!AP17+60),IF(AND('Mitred Cutting'!I17="Long Leg 1 Side",Data!BP17="Powdercoat"),'Job Sheet'!E17+30,IF(AND('Mitred Cutting'!I17="Long Leg Left, Right and Top",Data!BP17="Powdercoat"),(('Job Sheet'!E17*2+60)+'Job Sheet'!D17+60),""))))</f>
        <v/>
      </c>
      <c r="EA11" s="73" t="str">
        <f>IF(Data!AV17="","",IF('Job Sheet'!AV17="Yes",VLOOKUP(CONCATENATE('Job Sheet'!AW17,'Job Sheet'!AY17),DogDoor,4,FALSE),""))</f>
        <v/>
      </c>
      <c r="FE11" s="73" t="str">
        <f>IF(AND('Straight Cutting'!F17&lt;&gt;"",'Mitred Cutting'!D17="APO Grey"),'Straight Cutting'!F17,"")</f>
        <v/>
      </c>
      <c r="FF11" s="73" t="str">
        <f>IF(AND('Straight Cutting'!F17&lt;&gt;"",'Mitred Cutting'!D17="White Birch"),'Straight Cutting'!F17,"")</f>
        <v/>
      </c>
      <c r="FG11" s="73" t="str">
        <f>IF(AND('Straight Cutting'!F17&lt;&gt;"",'Mitred Cutting'!D17="Black"),'Straight Cutting'!F17,"")</f>
        <v/>
      </c>
      <c r="FH11" s="73" t="str">
        <f>IF(AND('Straight Cutting'!F17&lt;&gt;"",'Mitred Cutting'!D17="Brown"),'Straight Cutting'!F17,"")</f>
        <v/>
      </c>
      <c r="FI11" s="73" t="str">
        <f>IF(AND('Straight Cutting'!F17&lt;&gt;"",'Mitred Cutting'!D17="Deep Ocean"),'Straight Cutting'!F17,"")</f>
        <v/>
      </c>
      <c r="FJ11" s="73" t="str">
        <f>IF(AND('Straight Cutting'!F17&lt;&gt;"",'Mitred Cutting'!D17="Jasper"),'Straight Cutting'!F17,"")</f>
        <v/>
      </c>
      <c r="FK11" s="73" t="str">
        <f>IF(AND('Straight Cutting'!F17&lt;&gt;"",'Mitred Cutting'!D17="Paperbark"),'Straight Cutting'!F17,"")</f>
        <v/>
      </c>
      <c r="FL11" s="73" t="str">
        <f>IF(AND('Straight Cutting'!F17&lt;&gt;"",'Mitred Cutting'!D17="Mist Green"),'Straight Cutting'!F17,"")</f>
        <v/>
      </c>
      <c r="FM11" s="73" t="str">
        <f>IF(AND('Straight Cutting'!F17&lt;&gt;"",'Mitred Cutting'!D17="Primrose"),'Straight Cutting'!F17,"")</f>
        <v/>
      </c>
      <c r="FN11" s="73" t="str">
        <f>IF(AND('Straight Cutting'!F17&lt;&gt;"",'Mitred Cutting'!D17="Ultra Silver"),'Straight Cutting'!F17,"")</f>
        <v/>
      </c>
      <c r="FO11" s="73" t="str">
        <f>IF(AND('Straight Cutting'!F17&lt;&gt;"",'Mitred Cutting'!D17="Woodland Grey(Green Tone)"),'Straight Cutting'!F17,"")</f>
        <v/>
      </c>
      <c r="FP11" s="73" t="str">
        <f>IF(AND('Straight Cutting'!F17&lt;&gt;"",'Mitred Cutting'!D17="Pearl White"),'Straight Cutting'!F17,"")</f>
        <v/>
      </c>
      <c r="FQ11" s="73" t="str">
        <f>IF(AND('Straight Cutting'!F17&lt;&gt;"",'Mitred Cutting'!D17="Monument"),'Straight Cutting'!F17,"")</f>
        <v/>
      </c>
      <c r="FR11" s="73" t="str">
        <f>IF(AND('Straight Cutting'!F17&lt;&gt;"",'Mitred Cutting'!D17="Surfmist"),'Straight Cutting'!F17,"")</f>
        <v/>
      </c>
      <c r="FS11" s="73" t="str">
        <f>IF(AND('Straight Cutting'!F17&lt;&gt;"",'Mitred Cutting'!D17="Dune"),'Straight Cutting'!F17,"")</f>
        <v/>
      </c>
      <c r="FU11" s="73" t="str">
        <f>IF(AND('Straight Cutting'!F17&lt;&gt;"",Data!BP17="Powdercoat",'Job Sheet'!AA17&lt;&gt;"Woodland Grey (Dulux)"),'Straight Cutting'!F17,"")</f>
        <v/>
      </c>
      <c r="FV11" s="73" t="str">
        <f>IF(AND('Straight Cutting'!E17="F &amp; Z Frames",'Mitred Cutting'!D17="APO Grey"),'Straight Cutting'!G17,"")</f>
        <v/>
      </c>
      <c r="FW11" s="73" t="str">
        <f>IF(AND('Straight Cutting'!E17="F &amp; Z Frames",'Mitred Cutting'!D17="White Birch"),'Straight Cutting'!G17,"")</f>
        <v/>
      </c>
      <c r="FX11" s="73" t="str">
        <f>IF(AND('Straight Cutting'!E17="F &amp; Z Frames",'Mitred Cutting'!D17="Black"),'Straight Cutting'!G17,"")</f>
        <v/>
      </c>
      <c r="FY11" s="73" t="str">
        <f>IF(AND('Straight Cutting'!E17="F &amp; Z Frames",'Mitred Cutting'!D17="Brown"),'Straight Cutting'!G17,"")</f>
        <v/>
      </c>
      <c r="FZ11" s="73" t="str">
        <f>IF(AND('Straight Cutting'!E17="F &amp; Z Frames",'Mitred Cutting'!D17="Deep Ocean"),'Straight Cutting'!G17,"")</f>
        <v/>
      </c>
      <c r="GA11" s="73" t="str">
        <f>IF(AND('Straight Cutting'!E17="F &amp; Z Frames",'Mitred Cutting'!D17="Jasper"),'Straight Cutting'!G17,"")</f>
        <v/>
      </c>
      <c r="GB11" s="73" t="str">
        <f>IF(AND('Straight Cutting'!E17="F &amp; Z Frames",'Mitred Cutting'!D17="Paperbark"),'Straight Cutting'!G17,"")</f>
        <v/>
      </c>
      <c r="GC11" s="73" t="str">
        <f>IF(AND('Straight Cutting'!E17="F &amp; Z Frames",'Mitred Cutting'!D17="Mist Green"),'Straight Cutting'!G17,"")</f>
        <v/>
      </c>
      <c r="GD11" s="73" t="str">
        <f>IF(AND('Straight Cutting'!E17="F &amp; Z Frames",'Mitred Cutting'!D17="Primrose"),'Straight Cutting'!G17,"")</f>
        <v/>
      </c>
      <c r="GE11" s="73" t="str">
        <f>IF(AND('Straight Cutting'!E17="F &amp; Z Frames",'Mitred Cutting'!D17="Ultra Silver"),'Straight Cutting'!G17,"")</f>
        <v/>
      </c>
      <c r="GF11" s="73" t="str">
        <f>IF(AND('Straight Cutting'!E17="F &amp; Z Frames",'Mitred Cutting'!D17="Woodland Grey(Green Tone)"),'Straight Cutting'!G17,"")</f>
        <v/>
      </c>
      <c r="GG11" s="73" t="str">
        <f>IF(AND('Straight Cutting'!E17="F &amp; Z Frames",'Mitred Cutting'!D17="Pearl White"),'Straight Cutting'!G17,"")</f>
        <v/>
      </c>
      <c r="GH11" s="73" t="str">
        <f>IF(AND('Straight Cutting'!E17="F &amp; Z Frames",'Mitred Cutting'!D17="Monument"),'Straight Cutting'!G17,"")</f>
        <v/>
      </c>
      <c r="GI11" s="73" t="str">
        <f>IF(AND('Straight Cutting'!E17="F &amp; Z Frames",'Mitred Cutting'!D17="Surfmist"),'Straight Cutting'!G17,"")</f>
        <v/>
      </c>
      <c r="GJ11" s="73" t="str">
        <f>IF(AND('Straight Cutting'!E17="F &amp; Z Frames",'Mitred Cutting'!D17="Dune"),'Straight Cutting'!G17,"")</f>
        <v/>
      </c>
      <c r="GK11" s="73" t="str">
        <f>IF(AND('Straight Cutting'!E17="F &amp; Z Frames",Data!BP17="Powdercoat"),'Straight Cutting'!G17,"")</f>
        <v/>
      </c>
      <c r="GL11" s="73" t="str">
        <f>IF(AND('Straight Cutting'!E17="F &amp; High Step Z Frame",'Mitred Cutting'!D17="APO Grey"),'Straight Cutting'!G17,"")</f>
        <v/>
      </c>
      <c r="GM11" s="73" t="str">
        <f>IF(AND('Straight Cutting'!E17="F &amp; High Step Z Frame",'Mitred Cutting'!D17="White Birch"),'Straight Cutting'!G17,"")</f>
        <v/>
      </c>
      <c r="GN11" s="73" t="str">
        <f>IF(AND('Straight Cutting'!E17="F &amp; High Step Z Frame",'Mitred Cutting'!D17="Black"),'Straight Cutting'!G17,"")</f>
        <v/>
      </c>
      <c r="GO11" s="73" t="str">
        <f>IF(AND('Straight Cutting'!E17="F &amp; High Step Z Frame",'Mitred Cutting'!D17="Brown"),'Straight Cutting'!G17,"")</f>
        <v/>
      </c>
      <c r="GP11" s="73" t="str">
        <f>IF(AND('Straight Cutting'!E17="F &amp; High Step Z Frame",'Mitred Cutting'!D17="Deep Ocean"),'Straight Cutting'!G17,"")</f>
        <v/>
      </c>
      <c r="GQ11" s="73" t="str">
        <f>IF(AND('Straight Cutting'!E17="F &amp; High Step Z Frame",'Mitred Cutting'!D17="Jasper"),'Straight Cutting'!G17,"")</f>
        <v/>
      </c>
      <c r="GR11" s="73" t="str">
        <f>IF(AND('Straight Cutting'!E17="F &amp; High Step Z Frame",'Mitred Cutting'!D17="Paperbark"),'Straight Cutting'!G17,"")</f>
        <v/>
      </c>
      <c r="GS11" s="73" t="str">
        <f>IF(AND('Straight Cutting'!E17="F &amp; High Step Z Frame",'Mitred Cutting'!D17="Mist Green"),'Straight Cutting'!G17,"")</f>
        <v/>
      </c>
      <c r="GT11" s="73" t="str">
        <f>IF(AND('Straight Cutting'!E17="F &amp; High Step Z Frame",'Mitred Cutting'!D17="Primrose"),'Straight Cutting'!G17,"")</f>
        <v/>
      </c>
      <c r="GU11" s="73" t="str">
        <f>IF(AND('Straight Cutting'!E17="F &amp; High Step Z Frame",'Mitred Cutting'!D17="Ultra Silver"),'Straight Cutting'!G17,"")</f>
        <v/>
      </c>
      <c r="GV11" s="73" t="str">
        <f>IF(AND('Straight Cutting'!E17="F &amp; High Step Z Frame",'Mitred Cutting'!D17="Woodland Grey(Green Tone)"),'Straight Cutting'!G17,"")</f>
        <v/>
      </c>
      <c r="GW11" s="73" t="str">
        <f>IF(AND('Straight Cutting'!E17="F &amp; High Step Z Frame",'Mitred Cutting'!D17="Pearl White"),'Straight Cutting'!G17,"")</f>
        <v/>
      </c>
      <c r="GX11" s="73" t="str">
        <f>IF(AND('Straight Cutting'!E17="F &amp; High Step Z Frame",'Mitred Cutting'!D17="Monument"),'Straight Cutting'!G17,"")</f>
        <v/>
      </c>
      <c r="GY11" s="73" t="str">
        <f>IF(AND('Straight Cutting'!E17="F &amp; High Step Z Frame",'Mitred Cutting'!D17="Surfmist"),'Straight Cutting'!G17,"")</f>
        <v/>
      </c>
      <c r="GZ11" s="73" t="str">
        <f>IF(AND('Straight Cutting'!E17="F &amp; High Step Z Frame",'Mitred Cutting'!D17="Dune"),'Straight Cutting'!G17,"")</f>
        <v/>
      </c>
      <c r="HA11" s="73" t="str">
        <f>IF(AND('Straight Cutting'!E17="F &amp; High Step Z Frame",Data!BP17="Powdercoat"),'Straight Cutting'!G17,"")</f>
        <v/>
      </c>
      <c r="HB11" s="73" t="str">
        <f>IF(AND('Straight Cutting'!I17&lt;&gt;"",'Mitred Cutting'!D17="APO Grey"),'Straight Cutting'!I17,"")</f>
        <v/>
      </c>
      <c r="HC11" s="73" t="str">
        <f>IF(AND('Straight Cutting'!I17&lt;&gt;"",'Mitred Cutting'!D17="White Birch"),'Straight Cutting'!I17,"")</f>
        <v/>
      </c>
      <c r="HD11" s="73" t="str">
        <f>IF(AND('Straight Cutting'!I17&lt;&gt;"",'Mitred Cutting'!D17="Black"),'Straight Cutting'!I17,"")</f>
        <v/>
      </c>
      <c r="HE11" s="73" t="str">
        <f>IF(AND('Straight Cutting'!I17&lt;&gt;"",'Mitred Cutting'!D17="Brown"),'Straight Cutting'!I17,"")</f>
        <v/>
      </c>
      <c r="HF11" s="73" t="str">
        <f>IF(AND('Straight Cutting'!I17&lt;&gt;"",'Mitred Cutting'!D17="Deep Ocean"),'Straight Cutting'!I17,"")</f>
        <v/>
      </c>
      <c r="HG11" s="73" t="str">
        <f>IF(AND('Straight Cutting'!I17&lt;&gt;"",'Mitred Cutting'!D17="Jasper"),'Straight Cutting'!I17,"")</f>
        <v/>
      </c>
      <c r="HH11" s="73" t="str">
        <f>IF(AND('Straight Cutting'!I17&lt;&gt;"",'Mitred Cutting'!D17="Paperbark"),'Straight Cutting'!I17,"")</f>
        <v/>
      </c>
      <c r="HI11" s="73" t="str">
        <f>IF(AND('Straight Cutting'!I17&lt;&gt;"",'Mitred Cutting'!D17="Mist Green"),'Straight Cutting'!I17,"")</f>
        <v/>
      </c>
      <c r="HJ11" s="73" t="str">
        <f>IF(AND('Straight Cutting'!I17&lt;&gt;"",'Mitred Cutting'!D17="Primrose"),'Straight Cutting'!I17,"")</f>
        <v/>
      </c>
      <c r="HK11" s="73" t="str">
        <f>IF(AND('Straight Cutting'!I17&lt;&gt;"",'Mitred Cutting'!D17="Ultra Silver"),'Straight Cutting'!I17,"")</f>
        <v/>
      </c>
      <c r="HL11" s="73" t="str">
        <f>IF(AND('Straight Cutting'!I17&lt;&gt;"",'Mitred Cutting'!D17="Woodland Grey(Green Tone)"),'Straight Cutting'!I17,"")</f>
        <v/>
      </c>
      <c r="HM11" s="73" t="str">
        <f>IF(AND('Straight Cutting'!I17&lt;&gt;"",'Mitred Cutting'!D17="Pearl White"),'Straight Cutting'!I17,"")</f>
        <v/>
      </c>
      <c r="HN11" s="73" t="str">
        <f>IF(AND('Straight Cutting'!I17&lt;&gt;"",'Mitred Cutting'!D17="Monument"),'Straight Cutting'!I17,"")</f>
        <v/>
      </c>
      <c r="HO11" s="73" t="str">
        <f>IF(AND('Straight Cutting'!I17&lt;&gt;"",'Mitred Cutting'!D17="Surfmist"),'Straight Cutting'!I17,"")</f>
        <v/>
      </c>
      <c r="HP11" s="73" t="str">
        <f>IF(AND('Straight Cutting'!I17&lt;&gt;"",'Mitred Cutting'!D17="Dune"),'Straight Cutting'!I17,"")</f>
        <v/>
      </c>
      <c r="HR11" s="73" t="str">
        <f>IF(AND('Straight Cutting'!I17&lt;&gt;"",'Mitred Cutting'!D17="Powdercoat"),'Straight Cutting'!I17,"")</f>
        <v/>
      </c>
      <c r="HS11" s="73" t="str">
        <f>IF(AND('Mitred Cutting'!D17="APO Grey",'Job Sheet'!AQ17="T Mullion with Cutouts and 2 Lock Bolts"),'Straight Cutting'!J17,"")</f>
        <v/>
      </c>
      <c r="HT11" s="73" t="str">
        <f>IF(AND('Mitred Cutting'!D17="White Birch",'Job Sheet'!AQ17="T Mullion with Cutouts and 2 Lock Bolts"),'Straight Cutting'!J17,"")</f>
        <v/>
      </c>
      <c r="HU11" s="73" t="str">
        <f>IF(AND('Mitred Cutting'!D17="Black",'Job Sheet'!AQ17="T Mullion with Cutouts and 2 Lock Bolts"),'Straight Cutting'!J17,"")</f>
        <v/>
      </c>
      <c r="HV11" s="73" t="str">
        <f>IF(AND('Mitred Cutting'!D17="Brown",'Job Sheet'!AQ17="T Mullion with Cutouts and 2 Lock Bolts"),'Straight Cutting'!J17,"")</f>
        <v/>
      </c>
      <c r="HW11" s="73" t="str">
        <f>IF(AND('Mitred Cutting'!D17="Deep Ocean",'Job Sheet'!AQ17="T Mullion with Cutouts and 2 Lock Bolts"),'Straight Cutting'!J17,"")</f>
        <v/>
      </c>
      <c r="HX11" s="73" t="str">
        <f>IF(AND('Mitred Cutting'!D17="Jasper",'Job Sheet'!AQ17="T Mullion with Cutouts and 2 Lock Bolts"),'Straight Cutting'!J17,"")</f>
        <v/>
      </c>
      <c r="HY11" s="73" t="str">
        <f>IF(AND('Mitred Cutting'!D17="Paperbark",'Job Sheet'!AQ17="T Mullion with Cutouts and 2 Lock Bolts"),'Straight Cutting'!J17,"")</f>
        <v/>
      </c>
      <c r="HZ11" s="73" t="str">
        <f>IF(AND('Mitred Cutting'!D17="Mist Green",'Job Sheet'!AQ17="T Mullion with Cutouts and 2 Lock Bolts"),'Straight Cutting'!J17,"")</f>
        <v/>
      </c>
      <c r="IA11" s="73" t="str">
        <f>IF(AND('Mitred Cutting'!D17="Primrose",'Job Sheet'!AQ17="T Mullion with Cutouts and 2 Lock Bolts"),'Straight Cutting'!J17,"")</f>
        <v/>
      </c>
      <c r="IB11" s="73" t="str">
        <f>IF(AND('Mitred Cutting'!D17="Ultra Silver",'Job Sheet'!AQ17="T Mullion with Cutouts and 2 Lock Bolts"),'Straight Cutting'!J17,"")</f>
        <v/>
      </c>
      <c r="IC11" s="73" t="str">
        <f>IF(AND('Mitred Cutting'!D17="Woodland Grey(Green Tone)",'Job Sheet'!AQ17="T Mullion with Cutouts and 2 Lock Bolts"),'Straight Cutting'!J17,"")</f>
        <v/>
      </c>
      <c r="ID11" s="73" t="str">
        <f>IF(AND('Mitred Cutting'!D17="Pearl White",'Job Sheet'!AQ17="T Mullion with Cutouts and 2 Lock Bolts"),'Straight Cutting'!J17,"")</f>
        <v/>
      </c>
      <c r="IE11" s="73" t="str">
        <f>IF(AND('Mitred Cutting'!D17="Monument",'Job Sheet'!AQ17="T Mullion with Cutouts and 2 Lock Bolts"),'Straight Cutting'!J17,"")</f>
        <v/>
      </c>
      <c r="IF11" s="73" t="str">
        <f>IF(AND('Mitred Cutting'!D17="Surfmist",'Job Sheet'!AQ17="T Mullion with Cutouts and 2 Lock Bolts"),'Straight Cutting'!J17,"")</f>
        <v/>
      </c>
      <c r="IG11" s="73" t="str">
        <f>IF(AND('Mitred Cutting'!D17="Dune",'Job Sheet'!AQ17="T Mullion with Cutouts and 2 Lock Bolts"),'Straight Cutting'!J17,"")</f>
        <v/>
      </c>
      <c r="IH11" s="73" t="str">
        <f>IF(AND('Job Sheet'!Z17="Custom Powdercoat",'Job Sheet'!AQ17="T Mullion with Cutouts and 2 Lock Bolts"),'Straight Cutting'!J17,"")</f>
        <v/>
      </c>
      <c r="II11" s="73" t="str">
        <f>IF(AND('Mitred Cutting'!D17="Apo Grey",'Straight Cutting'!E17="Bug Strip Frame"),'Job Sheet'!BH17-2+'Job Sheet'!BI17-50,IF(AND('Mitred Cutting'!D17="Apo Grey",'Straight Cutting'!E17&lt;&gt;"Bug Strip Frame"),'Straight Cutting'!D17,""))</f>
        <v/>
      </c>
      <c r="IJ11" s="73" t="str">
        <f>IF(AND('Mitred Cutting'!D17="White Birch",'Straight Cutting'!E17="Bug Strip Frame"),'Job Sheet'!BH17-2+'Job Sheet'!BI17-50,IF(AND('Mitred Cutting'!D17="White Birch",'Straight Cutting'!E17&lt;&gt;"Bug Strip Frame"),'Straight Cutting'!D17,""))</f>
        <v/>
      </c>
      <c r="IK11" s="73" t="str">
        <f>IF(AND('Mitred Cutting'!D17="Black",'Straight Cutting'!E17="Bug Strip Frame"),'Job Sheet'!BH17-2+'Job Sheet'!BI17-50,IF(AND('Mitred Cutting'!D17="Black",'Straight Cutting'!E17&lt;&gt;"Bug Strip Frame"),'Straight Cutting'!D17,""))</f>
        <v/>
      </c>
      <c r="IL11" s="73" t="str">
        <f>IF(AND('Mitred Cutting'!D17="Brown",'Straight Cutting'!E17="Bug Strip Frame"),'Job Sheet'!BH17-2+'Job Sheet'!BI17-50,IF(AND('Mitred Cutting'!D17="Brown",'Straight Cutting'!E17&lt;&gt;"Bug Strip Frame"),'Straight Cutting'!D17,""))</f>
        <v/>
      </c>
      <c r="IM11" s="73" t="str">
        <f>IF(AND('Mitred Cutting'!D17="Deep Ocean",'Straight Cutting'!E17="Bug Strip Frame"),'Job Sheet'!BH17-2+'Job Sheet'!BI17-50,IF(AND('Mitred Cutting'!D17="Deep Ocean",'Straight Cutting'!E17&lt;&gt;"Bug Strip Frame"),'Straight Cutting'!D17,""))</f>
        <v/>
      </c>
      <c r="IN11" s="73" t="str">
        <f>IF(AND('Mitred Cutting'!D17="Jasper",'Straight Cutting'!E17="Bug Strip Frame"),'Job Sheet'!BH17-2+'Job Sheet'!BI17-50,IF(AND('Mitred Cutting'!D17="Jasper",'Straight Cutting'!E17&lt;&gt;"Bug Strip Frame"),'Straight Cutting'!D17,""))</f>
        <v/>
      </c>
      <c r="IO11" s="73" t="str">
        <f>IF(AND('Mitred Cutting'!D17="Paperbark",'Straight Cutting'!E17="Bug Strip Frame"),'Job Sheet'!BH17-2+'Job Sheet'!BI17-50,IF(AND('Mitred Cutting'!D17="Paperbark",'Straight Cutting'!E17&lt;&gt;"Bug Strip Frame"),'Straight Cutting'!D17,""))</f>
        <v/>
      </c>
      <c r="IP11" s="73" t="str">
        <f>IF(AND('Mitred Cutting'!D17="Mist Green",'Straight Cutting'!E17="Bug Strip Frame"),'Job Sheet'!BH17-2+'Job Sheet'!BI17-50,IF(AND('Mitred Cutting'!D17="Mist Green",'Straight Cutting'!E17&lt;&gt;"Bug Strip Frame"),'Straight Cutting'!D17,""))</f>
        <v/>
      </c>
      <c r="IQ11" s="73" t="str">
        <f>IF(AND('Mitred Cutting'!D17="Primrose",'Straight Cutting'!E17="Bug Strip Frame"),'Job Sheet'!BH17-2+'Job Sheet'!BI17-50,IF(AND('Mitred Cutting'!D17="Primrose",'Straight Cutting'!E17&lt;&gt;"Bug Strip Frame"),'Straight Cutting'!D17,""))</f>
        <v/>
      </c>
      <c r="IR11" s="73" t="str">
        <f>IF(AND('Mitred Cutting'!D17="Ultra Silver",'Straight Cutting'!E17="Bug Strip Frame"),'Job Sheet'!BH17-2+'Job Sheet'!BI17-50,IF(AND('Mitred Cutting'!D17="Ultra Silver",'Straight Cutting'!E17&lt;&gt;"Bug Strip Frame"),'Straight Cutting'!D17,""))</f>
        <v/>
      </c>
      <c r="IS11" s="73" t="str">
        <f>IF(AND('Mitred Cutting'!D17="Woodland Grey(Green Tone)",'Straight Cutting'!E17="Bug Strip Frame"),'Job Sheet'!BH17-2+'Job Sheet'!BI17-50,IF(AND('Mitred Cutting'!D17="Woodland Grey(Green Tone)",'Straight Cutting'!E17&lt;&gt;"Bug Strip Frame"),'Straight Cutting'!D17,""))</f>
        <v/>
      </c>
      <c r="IT11" s="73" t="str">
        <f>IF(AND('Mitred Cutting'!D17="Pearl White",'Straight Cutting'!E17="Bug Strip Frame"),'Job Sheet'!BH17-2+'Job Sheet'!BI17-50,IF(AND('Mitred Cutting'!D17="Pearl White",'Straight Cutting'!E17&lt;&gt;"Bug Strip Frame"),'Straight Cutting'!D17,""))</f>
        <v/>
      </c>
      <c r="IU11" s="73" t="str">
        <f>IF(AND('Mitred Cutting'!D17="Monument",'Straight Cutting'!E17="Bug Strip Frame"),'Job Sheet'!BH17-2+'Job Sheet'!BI17-50,IF(AND('Mitred Cutting'!D17="Monument",'Straight Cutting'!E17&lt;&gt;"Bug Strip Frame"),'Straight Cutting'!D17,""))</f>
        <v/>
      </c>
      <c r="IV11" s="73" t="str">
        <f>IF(AND('Mitred Cutting'!D17="Surfmist",'Straight Cutting'!E17="Bug Strip Frame"),'Job Sheet'!BH17-2+'Job Sheet'!BI17-50,IF(AND('Mitred Cutting'!D17="Surfmist",'Straight Cutting'!E17&lt;&gt;"Bug Strip Frame"),'Straight Cutting'!D17,""))</f>
        <v/>
      </c>
      <c r="IW11" s="73" t="str">
        <f>IF(AND('Mitred Cutting'!D17="Dune",'Straight Cutting'!E17="Bug Strip Frame"),'Job Sheet'!BH17-2+'Job Sheet'!BI17-50,IF(AND('Mitred Cutting'!D17="Dune",'Straight Cutting'!E17&lt;&gt;"Bug Strip Frame"),'Straight Cutting'!D17,""))</f>
        <v/>
      </c>
      <c r="IX11" s="73" t="str">
        <f>IF(AND('Job Sheet'!AA17="Woodland Grey (Dulux)",'Straight Cutting'!E17="Bug Strip Frame"),'Job Sheet'!BH17-2+'Job Sheet'!BI17-50,IF(AND('Job Sheet'!AA17="Woodland Grey (Dulux)",'Straight Cutting'!E17&lt;&gt;"Bug Strip Frame"),'Straight Cutting'!D17,""))</f>
        <v/>
      </c>
      <c r="IY11" s="73" t="str">
        <f>IF(AND('Job Sheet'!Z17="Custom Powdercoat",'Job Sheet'!AA17&lt;&gt;"Woodland Grey (Dulux)",'Straight Cutting'!E17="Bug Strip Frame"),'Job Sheet'!BH17-2+'Job Sheet'!BI17-50,IF(AND('Job Sheet'!Z17="Custom Powdercoat",'Job Sheet'!AA17&lt;&gt;"Woodland Grey (Dulux)",'Straight Cutting'!E17&lt;&gt;"Bug Strip Frame"),'Straight Cutting'!D17,""))</f>
        <v/>
      </c>
      <c r="IZ11" s="73" t="str">
        <f>IF(AND('Straight Cutting'!L17="U Channel",'Mitred Cutting'!D17="APO Grey"),'Straight Cutting'!L17,"")</f>
        <v/>
      </c>
      <c r="JA11" s="73" t="str">
        <f>IF(AND('Straight Cutting'!K17="U Channel",'Mitred Cutting'!D17="White Birch"),'Straight Cutting'!L17,"")</f>
        <v/>
      </c>
      <c r="JB11" s="73" t="str">
        <f>IF(AND('Straight Cutting'!K17="U Channel",'Mitred Cutting'!D17="Black"),'Straight Cutting'!L17,"")</f>
        <v/>
      </c>
      <c r="JC11" s="73" t="str">
        <f>IF(AND('Straight Cutting'!K17="U Channel",'Mitred Cutting'!D17="Brown"),'Straight Cutting'!L17,"")</f>
        <v/>
      </c>
      <c r="JD11" s="73" t="str">
        <f>IF(AND('Straight Cutting'!K17="U Channel",'Mitred Cutting'!D17="Deep Ocean"),'Straight Cutting'!L17,"")</f>
        <v/>
      </c>
      <c r="JE11" s="73" t="str">
        <f>IF(AND('Straight Cutting'!K17="U Channel",'Mitred Cutting'!D17="Jasper"),'Straight Cutting'!L17,"")</f>
        <v/>
      </c>
      <c r="JF11" s="73" t="str">
        <f>IF(AND('Straight Cutting'!K17="U Channel",'Mitred Cutting'!D17="Paperbark"),'Straight Cutting'!L17,"")</f>
        <v/>
      </c>
      <c r="JG11" s="73" t="str">
        <f>IF(AND('Straight Cutting'!K17="U Channel",'Mitred Cutting'!D17="Mist Green"),'Straight Cutting'!L17,"")</f>
        <v/>
      </c>
      <c r="JH11" s="73" t="str">
        <f>IF(AND('Straight Cutting'!K17="U Channel",'Mitred Cutting'!D17="Primrose"),'Straight Cutting'!L17,"")</f>
        <v/>
      </c>
      <c r="JI11" s="73" t="str">
        <f>IF(AND('Straight Cutting'!K17="U Channel",'Mitred Cutting'!D17="Ultra Silver"),'Straight Cutting'!L17,"")</f>
        <v/>
      </c>
      <c r="JJ11" s="73" t="str">
        <f>IF(AND('Straight Cutting'!K17="U Channel",'Mitred Cutting'!D17="Woodland Grey(Green Tone)"),'Straight Cutting'!L17,"")</f>
        <v/>
      </c>
      <c r="JK11" s="73" t="str">
        <f>IF(AND('Straight Cutting'!K17="U Channel",'Mitred Cutting'!D17="Pearl White"),'Straight Cutting'!L17,"")</f>
        <v/>
      </c>
      <c r="JL11" s="73" t="str">
        <f>IF(AND('Straight Cutting'!K17="U Channel",'Mitred Cutting'!D17="Monument"),'Straight Cutting'!L17,"")</f>
        <v/>
      </c>
      <c r="JM11" s="73" t="str">
        <f>IF(AND('Straight Cutting'!K17="U Channel",'Mitred Cutting'!D17="Surfmist"),'Straight Cutting'!L17,"")</f>
        <v/>
      </c>
      <c r="JN11" s="73" t="str">
        <f>IF(AND('Straight Cutting'!K17="U Channel",'Mitred Cutting'!D17="Dune"),'Straight Cutting'!L17,"")</f>
        <v/>
      </c>
      <c r="JO11" s="73" t="str">
        <f>IF(AND('Straight Cutting'!K17="U Channel",'Job Sheet'!Z17="Custom Powdercoat"),'Straight Cutting'!L17,"")</f>
        <v/>
      </c>
      <c r="JP11" s="73" t="str">
        <f>IF(AND('Straight Cutting'!K17="U Channel with Pip",'Mitred Cutting'!D17="APO Grey"),'Straight Cutting'!L17,"")</f>
        <v/>
      </c>
      <c r="JQ11" s="73" t="str">
        <f>IF(AND('Straight Cutting'!K17="U Channel with Pip",'Mitred Cutting'!D17="White Birch"),'Straight Cutting'!L17,"")</f>
        <v/>
      </c>
      <c r="JR11" s="73" t="str">
        <f>IF(AND('Straight Cutting'!K17="U Channel with Pip",'Mitred Cutting'!D17="Black"),'Straight Cutting'!L17,"")</f>
        <v/>
      </c>
      <c r="JS11" s="73" t="str">
        <f>IF(AND('Straight Cutting'!K17="U Channel with Pip",'Mitred Cutting'!D17="Brown"),'Straight Cutting'!L17,"")</f>
        <v/>
      </c>
      <c r="JT11" s="73" t="str">
        <f>IF(AND('Straight Cutting'!K17="U Channel with Pip",'Mitred Cutting'!D17="Deep Ocean"),'Straight Cutting'!L17,"")</f>
        <v/>
      </c>
      <c r="JU11" s="73" t="str">
        <f>IF(AND('Straight Cutting'!K17="U Channel with Pip",'Mitred Cutting'!D17="Jasper"),'Straight Cutting'!L17,"")</f>
        <v/>
      </c>
      <c r="JV11" s="73" t="str">
        <f>IF(AND('Straight Cutting'!K17="U Channel with Pip",'Mitred Cutting'!D17="Paperbark"),'Straight Cutting'!L17,"")</f>
        <v/>
      </c>
      <c r="JW11" s="73" t="str">
        <f>IF(AND('Straight Cutting'!K17="U Channel with Pip",'Mitred Cutting'!D17="Mist Green"),'Straight Cutting'!L17,"")</f>
        <v/>
      </c>
      <c r="JX11" s="73" t="str">
        <f>IF(AND('Straight Cutting'!K17="U Channel with Pip",'Mitred Cutting'!D17="Primrose"),'Straight Cutting'!L17,"")</f>
        <v/>
      </c>
      <c r="JY11" s="73" t="str">
        <f>IF(AND('Straight Cutting'!K17="U Channel with Pip",'Mitred Cutting'!D17="Ultra Silver"),'Straight Cutting'!L17,"")</f>
        <v/>
      </c>
      <c r="JZ11" s="73" t="str">
        <f>IF(AND('Straight Cutting'!K17="U Channel with Pip",'Mitred Cutting'!D17="Woodland Grey(Green Tone)"),'Straight Cutting'!L17,"")</f>
        <v/>
      </c>
      <c r="KA11" s="73" t="str">
        <f>IF(AND('Straight Cutting'!K17="U Channel with Pip",'Mitred Cutting'!D17="Pearl White"),'Straight Cutting'!L17,"")</f>
        <v/>
      </c>
      <c r="KB11" s="73" t="str">
        <f>IF(AND('Straight Cutting'!K17="U Channel with Pip",'Mitred Cutting'!D17="Monument"),'Straight Cutting'!L17,"")</f>
        <v/>
      </c>
      <c r="KC11" s="73" t="str">
        <f>IF(AND('Straight Cutting'!K17="U Channel with Pip",'Mitred Cutting'!D17="Surfmist"),'Straight Cutting'!L17,"")</f>
        <v/>
      </c>
      <c r="KD11" s="73" t="str">
        <f>IF(AND('Straight Cutting'!K17="U Channel with Pip",'Mitred Cutting'!D17="Dune"),'Straight Cutting'!L17,"")</f>
        <v/>
      </c>
      <c r="KE11" s="73" t="str">
        <f>IF(AND('Straight Cutting'!K17="U Channel with Pip",'Job Sheet'!Z17="Custom Powdercoat"),'Straight Cutting'!L17,"")</f>
        <v/>
      </c>
      <c r="KF11" s="73" t="str">
        <f>IF(AND('Mitred Cutting'!D17="APO Grey",(OR('Straight Cutting'!M17="Bottom Fix Bottom Track",'Straight Cutting'!M17="U Channel &amp; Bottom Fix Bottom Track"))),'Straight Cutting'!N17,"")</f>
        <v/>
      </c>
      <c r="KG11" s="73" t="str">
        <f>IF(AND('Mitred Cutting'!D17="White Birch",(OR('Straight Cutting'!M17="Bottom Fix Bottom Track",'Straight Cutting'!M17="U Channel &amp; Bottom Fix Bottom Track"))),'Straight Cutting'!N17,"")</f>
        <v/>
      </c>
      <c r="KH11" s="73" t="str">
        <f>IF(AND('Mitred Cutting'!D17="Black",(OR('Straight Cutting'!M17="Bottom Fix Bottom Track",'Straight Cutting'!M17="U Channel &amp; Bottom Fix Bottom Track"))),'Straight Cutting'!N17,"")</f>
        <v/>
      </c>
      <c r="KI11" s="73" t="str">
        <f>IF(AND('Mitred Cutting'!D17="Brown",(OR('Straight Cutting'!M17="Bottom Fix Bottom Track",'Straight Cutting'!M17="U Channel &amp; Bottom Fix Bottom Track"))),'Straight Cutting'!N17,"")</f>
        <v/>
      </c>
      <c r="KJ11" s="73" t="str">
        <f>IF(AND('Mitred Cutting'!D17="Deep Ocean",(OR('Straight Cutting'!M17="Bottom Fix Bottom Track",'Straight Cutting'!M17="U Channel &amp; Bottom Fix Bottom Track"))),'Straight Cutting'!N17,"")</f>
        <v/>
      </c>
      <c r="KK11" s="73" t="str">
        <f>IF(AND('Mitred Cutting'!D17="Jasper",(OR('Straight Cutting'!M17="Bottom Fix Bottom Track",'Straight Cutting'!M17="U Channel &amp; Bottom Fix Bottom Track"))),'Straight Cutting'!N17,"")</f>
        <v/>
      </c>
      <c r="KL11" s="73" t="str">
        <f>IF(AND('Mitred Cutting'!D17="Paperbark",(OR('Straight Cutting'!M17="Bottom Fix Bottom Track",'Straight Cutting'!M17="U Channel &amp; Bottom Fix Bottom Track"))),'Straight Cutting'!N17,"")</f>
        <v/>
      </c>
      <c r="KM11" s="73" t="str">
        <f>IF(AND('Mitred Cutting'!D17="Mist Green",(OR('Straight Cutting'!M17="Bottom Fix Bottom Track",'Straight Cutting'!M17="U Channel &amp; Bottom Fix Bottom Track"))),'Straight Cutting'!N17,"")</f>
        <v/>
      </c>
      <c r="KN11" s="73" t="str">
        <f>IF(AND('Mitred Cutting'!D17="Primrose",(OR('Straight Cutting'!M17="Bottom Fix Bottom Track",'Straight Cutting'!M17="U Channel &amp; Bottom Fix Bottom Track"))),'Straight Cutting'!N17,"")</f>
        <v/>
      </c>
      <c r="KO11" s="73" t="str">
        <f>IF(AND('Mitred Cutting'!D17="Ultra Silver",(OR('Straight Cutting'!M17="Bottom Fix Bottom Track",'Straight Cutting'!M17="U Channel &amp; Bottom Fix Bottom Track"))),'Straight Cutting'!N17,"")</f>
        <v/>
      </c>
      <c r="KP11" s="73" t="str">
        <f>IF(AND('Mitred Cutting'!D17="Woodland Grey(Green Tone)",(OR('Straight Cutting'!M17="Bottom Fix Bottom Track",'Straight Cutting'!M17="U Channel &amp; Bottom Fix Bottom Track"))),'Straight Cutting'!N17,"")</f>
        <v/>
      </c>
      <c r="KQ11" s="73" t="str">
        <f>IF(AND('Mitred Cutting'!D17="Pearl White",(OR('Straight Cutting'!M17="Bottom Fix Bottom Track",'Straight Cutting'!M17="U Channel &amp; Bottom Fix Bottom Track"))),'Straight Cutting'!N17,"")</f>
        <v/>
      </c>
      <c r="KR11" s="73" t="str">
        <f>IF(AND('Mitred Cutting'!D17="Monument",(OR('Straight Cutting'!M17="Bottom Fix Bottom Track",'Straight Cutting'!M17="U Channel &amp; Bottom Fix Bottom Track"))),'Straight Cutting'!N17,"")</f>
        <v/>
      </c>
      <c r="KS11" s="73" t="str">
        <f>IF(AND('Mitred Cutting'!D17="Surfmist",(OR('Straight Cutting'!M17="Bottom Fix Bottom Track",'Straight Cutting'!M17="U Channel &amp; Bottom Fix Bottom Track"))),'Straight Cutting'!N17,"")</f>
        <v/>
      </c>
      <c r="KT11" s="73" t="str">
        <f>IF(AND('Mitred Cutting'!D17="Dune",(OR('Straight Cutting'!M17="Bottom Fix Bottom Track",'Straight Cutting'!M17="U Channel &amp; Bottom Fix Bottom Track"))),'Straight Cutting'!N17,"")</f>
        <v/>
      </c>
      <c r="KU11" s="73" t="str">
        <f>IF(AND('Job Sheet'!Z17="Custom Powdercoat",(OR('Straight Cutting'!M17="Bottom Fix Bottom Track",'Straight Cutting'!M17="U Channel &amp; Bottom Fix Bottom Track"))),'Straight Cutting'!N17,"")</f>
        <v/>
      </c>
      <c r="KV11" s="73" t="str">
        <f>IF(AND('Mitred Cutting'!D17="APO Grey",(OR('Straight Cutting'!M17="Face Fix Bottom Track",'Straight Cutting'!M17="U Channel &amp; Face Fix Bottom Track"))),'Straight Cutting'!N17,"")</f>
        <v/>
      </c>
      <c r="KW11" s="73" t="str">
        <f>IF(AND('Mitred Cutting'!D17="White Birch",(OR('Straight Cutting'!M17="Face Fix Bottom Track",'Straight Cutting'!M17="U Channel &amp; Face Fix Bottom Track"))),'Straight Cutting'!N17,"")</f>
        <v/>
      </c>
      <c r="KX11" s="73" t="str">
        <f>IF(AND('Mitred Cutting'!D17="Black",(OR('Straight Cutting'!M17="Face Fix Bottom Track",'Straight Cutting'!M17="U Channel &amp; Face Fix Bottom Track"))),'Straight Cutting'!N17,"")</f>
        <v/>
      </c>
      <c r="KY11" s="73" t="str">
        <f>IF(AND('Mitred Cutting'!D17="Brown",(OR('Straight Cutting'!M17="Face Fix Bottom Track",'Straight Cutting'!M17="U Channel &amp; Face Fix Bottom Track"))),'Straight Cutting'!N17,"")</f>
        <v/>
      </c>
      <c r="KZ11" s="73" t="str">
        <f>IF(AND('Mitred Cutting'!D17="Deep Ocean",(OR('Straight Cutting'!M17="Face Fix Bottom Track",'Straight Cutting'!M17="U Channel &amp; Face Fix Bottom Track"))),'Straight Cutting'!N17,"")</f>
        <v/>
      </c>
      <c r="LA11" s="73" t="str">
        <f>IF(AND('Mitred Cutting'!D17="Jasper",(OR('Straight Cutting'!M17="Face Fix Bottom Track",'Straight Cutting'!M17="U Channel &amp; Face Fix Bottom Track"))),'Straight Cutting'!N17,"")</f>
        <v/>
      </c>
      <c r="LB11" s="73" t="str">
        <f>IF(AND('Mitred Cutting'!D17="Paperbark",(OR('Straight Cutting'!M17="Face Fix Bottom Track",'Straight Cutting'!M17="U Channel &amp; Face Fix Bottom Track"))),'Straight Cutting'!N17,"")</f>
        <v/>
      </c>
      <c r="LC11" s="73" t="str">
        <f>IF(AND('Mitred Cutting'!D17="Mist Green",(OR('Straight Cutting'!M17="Face Fix Bottom Track",'Straight Cutting'!M17="U Channel &amp; Face Fix Bottom Track"))),'Straight Cutting'!N17,"")</f>
        <v/>
      </c>
      <c r="LD11" s="73" t="str">
        <f>IF(AND('Mitred Cutting'!D17="Primrose",(OR('Straight Cutting'!M17="Face Fix Bottom Track",'Straight Cutting'!M17="U Channel &amp; Face Fix Bottom Track"))),'Straight Cutting'!N17,"")</f>
        <v/>
      </c>
      <c r="LE11" s="73" t="str">
        <f>IF(AND('Mitred Cutting'!D17="Ultra Silver",(OR('Straight Cutting'!M17="Face Fix Bottom Track",'Straight Cutting'!M17="U Channel &amp; Face Fix Bottom Track"))),'Straight Cutting'!N17,"")</f>
        <v/>
      </c>
      <c r="LF11" s="73" t="str">
        <f>IF(AND('Mitred Cutting'!D17="Woodland Grey(Green Tone)",(OR('Straight Cutting'!M17="Face Fix Bottom Track",'Straight Cutting'!M17="U Channel &amp; Face Fix Bottom Track"))),'Straight Cutting'!N17,"")</f>
        <v/>
      </c>
      <c r="LG11" s="73" t="str">
        <f>IF(AND('Mitred Cutting'!D17="Pearl White",(OR('Straight Cutting'!M17="Face Fix Bottom Track",'Straight Cutting'!M17="U Channel &amp; Face Fix Bottom Track"))),'Straight Cutting'!N17,"")</f>
        <v/>
      </c>
      <c r="LH11" s="73" t="str">
        <f>IF(AND('Mitred Cutting'!D17="Monument",(OR('Straight Cutting'!M17="Face Fix Bottom Track",'Straight Cutting'!M17="U Channel &amp; Face Fix Bottom Track"))),'Straight Cutting'!N17,"")</f>
        <v/>
      </c>
      <c r="LI11" s="73" t="str">
        <f>IF(AND('Mitred Cutting'!D17="Surfmist",(OR('Straight Cutting'!M17="Face Fix Bottom Track",'Straight Cutting'!M17="U Channel &amp; Face Fix Bottom Track"))),'Straight Cutting'!N17,"")</f>
        <v/>
      </c>
      <c r="LJ11" s="73" t="str">
        <f>IF(AND('Mitred Cutting'!D17="Dune",(OR('Straight Cutting'!M17="Face Fix Bottom Track",'Straight Cutting'!M17="U Channel &amp; Face Fix Bottom Track"))),'Straight Cutting'!N17,"")</f>
        <v/>
      </c>
      <c r="LK11" s="73" t="str">
        <f>IF(AND('Job Sheet'!Z17="Custom Powdercoat",(OR('Straight Cutting'!M17="Face Fix Bottom Track",'Straight Cutting'!M17="U Channel &amp; Face Fix Bottom Track"))),'Straight Cutting'!N17,"")</f>
        <v/>
      </c>
      <c r="LL11" s="73" t="str">
        <f>IF(AND('Straight Cutting'!H17&lt;&gt;"",'Mitred Cutting'!D17="APO Grey"),'Straight Cutting'!H17/4300,"")</f>
        <v/>
      </c>
      <c r="LM11" s="73" t="str">
        <f>IF(AND('Straight Cutting'!H17&lt;&gt;"",'Mitred Cutting'!D17="White Birch"),'Straight Cutting'!H17,"")</f>
        <v/>
      </c>
      <c r="LN11" s="73" t="str">
        <f>IF(AND('Straight Cutting'!H17&lt;&gt;"",'Mitred Cutting'!D17="Black"),'Straight Cutting'!H17,"")</f>
        <v/>
      </c>
      <c r="LO11" s="73" t="str">
        <f>IF(AND('Straight Cutting'!H17&lt;&gt;"",'Mitred Cutting'!D17="Brown"),'Straight Cutting'!H17,"")</f>
        <v/>
      </c>
      <c r="LP11" s="73" t="str">
        <f>IF(AND('Straight Cutting'!H17&lt;&gt;"",'Mitred Cutting'!D17="Deep Ocean"),'Straight Cutting'!H17,"")</f>
        <v/>
      </c>
      <c r="LQ11" s="73" t="str">
        <f>IF(AND('Straight Cutting'!H17&lt;&gt;"",'Mitred Cutting'!D17="Jasper"),'Straight Cutting'!H17,"")</f>
        <v/>
      </c>
      <c r="LR11" s="73" t="str">
        <f>IF(AND('Straight Cutting'!H17&lt;&gt;"",'Mitred Cutting'!D17="Paperbark"),'Straight Cutting'!H17,"")</f>
        <v/>
      </c>
      <c r="LS11" s="73" t="str">
        <f>IF(AND('Straight Cutting'!H17&lt;&gt;"",'Mitred Cutting'!D17="Mist Green"),'Straight Cutting'!H17,"")</f>
        <v/>
      </c>
      <c r="LT11" s="73" t="str">
        <f>IF(AND('Straight Cutting'!H17&lt;&gt;"",'Mitred Cutting'!D17="Primrose"),'Straight Cutting'!H17,"")</f>
        <v/>
      </c>
      <c r="LU11" s="73" t="str">
        <f>IF(AND('Straight Cutting'!H17&lt;&gt;"",'Mitred Cutting'!D17="Ultra Silver"),'Straight Cutting'!H17,"")</f>
        <v/>
      </c>
      <c r="LV11" s="73" t="str">
        <f>IF(AND('Straight Cutting'!H17&lt;&gt;"",'Mitred Cutting'!D17="Woodland Grey(Green Tone)"),'Straight Cutting'!H17,"")</f>
        <v/>
      </c>
      <c r="LW11" s="73" t="str">
        <f>IF(AND('Straight Cutting'!H17&lt;&gt;"",'Mitred Cutting'!D17="Pearl White"),'Straight Cutting'!H17,"")</f>
        <v/>
      </c>
      <c r="LX11" s="73" t="str">
        <f>IF(AND('Straight Cutting'!H17&lt;&gt;"",'Mitred Cutting'!D17="Monument"),'Straight Cutting'!H17,"")</f>
        <v/>
      </c>
      <c r="LY11" s="73" t="str">
        <f>IF(AND('Straight Cutting'!H17&lt;&gt;"",'Mitred Cutting'!D17="Surfmist"),'Straight Cutting'!H17,"")</f>
        <v/>
      </c>
      <c r="LZ11" s="73" t="str">
        <f>IF(AND('Straight Cutting'!H17&lt;&gt;"",'Mitred Cutting'!D17="Dune"),'Straight Cutting'!H17,"")</f>
        <v/>
      </c>
      <c r="MA11" s="73" t="str">
        <f>IF(AND('Straight Cutting'!H17&lt;&gt;"",'Job Sheet'!Z17="Custom Powdercoat"),'Straight Cutting'!H17,"")</f>
        <v/>
      </c>
      <c r="MB11" s="73" t="str">
        <f>IF(AND('Mitred Cutting'!D17="APO Grey",OR('Straight Cutting'!M17="H Shaped Bottom Track",'Straight Cutting'!M17="U Channel &amp; H Shaped Bottom Track")),'Straight Cutting'!N17,"")</f>
        <v/>
      </c>
      <c r="MC11" s="73" t="str">
        <f>IF(AND('Mitred Cutting'!D17="Birch White",OR('Straight Cutting'!M17="H Shaped Bottom Track",'Straight Cutting'!M17="U Channel &amp; H Shaped Bottom Track")),'Straight Cutting'!N17,"")</f>
        <v/>
      </c>
      <c r="MD11" s="73" t="str">
        <f>IF(AND('Mitred Cutting'!D17="Black",OR('Straight Cutting'!M17="H Shaped Bottom Track",'Straight Cutting'!M17="U Channel &amp; H Shaped Bottom Track")),'Straight Cutting'!N17,"")</f>
        <v/>
      </c>
      <c r="ME11" s="73" t="str">
        <f>IF(AND('Mitred Cutting'!D17="Brown",OR('Straight Cutting'!M17="H Shaped Bottom Track",'Straight Cutting'!M17="U Channel &amp; H Shaped Bottom Track")),'Straight Cutting'!N17,"")</f>
        <v/>
      </c>
      <c r="MF11" s="73" t="str">
        <f>IF(AND('Mitred Cutting'!D17="Deep Ocean",OR('Straight Cutting'!M17="H Shaped Bottom Track",'Straight Cutting'!M17="U Channel &amp; H Shaped Bottom Track")),'Straight Cutting'!N17,"")</f>
        <v/>
      </c>
      <c r="MG11" s="73" t="str">
        <f>IF(AND('Mitred Cutting'!D17="Jasper",OR('Straight Cutting'!M17="H Shaped Bottom Track",'Straight Cutting'!M17="U Channel &amp; H Shaped Bottom Track")),'Straight Cutting'!N17,"")</f>
        <v/>
      </c>
      <c r="MH11" s="73" t="str">
        <f>IF(AND('Mitred Cutting'!D17="Paperbark",OR('Straight Cutting'!M17="H Shaped Bottom Track",'Straight Cutting'!M17="U Channel &amp; H Shaped Bottom Track")),'Straight Cutting'!N17,"")</f>
        <v/>
      </c>
      <c r="MI11" s="73" t="str">
        <f>IF(AND('Mitred Cutting'!D17="Mist Green",OR('Straight Cutting'!M17="H Shaped Bottom Track",'Straight Cutting'!M17="U Channel &amp; H Shaped Bottom Track")),'Straight Cutting'!N17,"")</f>
        <v/>
      </c>
      <c r="MJ11" s="73" t="str">
        <f>IF(AND('Mitred Cutting'!D17="Primrose",OR('Straight Cutting'!M17="H Shaped Bottom Track",'Straight Cutting'!M17="U Channel &amp; H Shaped Bottom Track")),'Straight Cutting'!N17,"")</f>
        <v/>
      </c>
      <c r="MK11" s="73" t="str">
        <f>IF(AND('Mitred Cutting'!D17="Ultra Silver",OR('Straight Cutting'!M17="H Shaped Bottom Track",'Straight Cutting'!M17="U Channel &amp; H Shaped Bottom Track")),'Straight Cutting'!N17,"")</f>
        <v/>
      </c>
      <c r="ML11" s="73" t="str">
        <f>IF(AND('Mitred Cutting'!D17="Woodland Grey(Green Tone)",OR('Straight Cutting'!M17="H Shaped Bottom Track",'Straight Cutting'!M17="U Channel &amp; H Shaped Bottom Track")),'Straight Cutting'!N17,"")</f>
        <v/>
      </c>
      <c r="MM11" s="73" t="str">
        <f>IF(AND('Mitred Cutting'!D17="Pearl White",OR('Straight Cutting'!M17="H Shaped Bottom Track",'Straight Cutting'!M17="U Channel &amp; H Shaped Bottom Track")),'Straight Cutting'!N17,"")</f>
        <v/>
      </c>
      <c r="MN11" s="73" t="str">
        <f>IF(AND('Mitred Cutting'!D17="Monument",OR('Straight Cutting'!M17="H Shaped Bottom Track",'Straight Cutting'!M17="U Channel &amp; H Shaped Bottom Track")),'Straight Cutting'!N17,"")</f>
        <v/>
      </c>
      <c r="MO11" s="73" t="str">
        <f>IF(AND('Mitred Cutting'!D17="Surfmist",OR('Straight Cutting'!M17="H Shaped Bottom Track",'Straight Cutting'!M17="U Channel &amp; H Shaped Bottom Track")),'Straight Cutting'!N17,"")</f>
        <v/>
      </c>
      <c r="MP11" s="73" t="str">
        <f>IF(AND('Mitred Cutting'!D17="Dune",OR('Straight Cutting'!M17="H Shaped Bottom Track",'Straight Cutting'!M17="U Channel &amp; H Shaped Bottom Track")),'Straight Cutting'!N17,"")</f>
        <v/>
      </c>
      <c r="MQ11" s="73" t="str">
        <f>IF(AND('Job Sheet'!Z17="Custom Powdercoat",OR('Straight Cutting'!M17="H Shaped Bottom Track",'Straight Cutting'!M17="U Channel &amp; H Shaped Bottom Track")),'Straight Cutting'!N17,"")</f>
        <v/>
      </c>
      <c r="MR11" s="73" t="str">
        <f>IF(AND('Straight Cutting'!P17="APO Grey",(OR('Job Sheet'!AI17="Yes",'Job Sheet'!AI17="Yes - Centre"))),'Straight Cutting'!Q17,"")</f>
        <v/>
      </c>
      <c r="MS11" s="73" t="str">
        <f>IF(AND('Straight Cutting'!P17="White Birch",(OR('Job Sheet'!AI17="Yes",'Job Sheet'!AI17="Yes - Centre"))),'Straight Cutting'!Q17,"")</f>
        <v/>
      </c>
      <c r="MT11" s="73" t="str">
        <f>IF(AND('Straight Cutting'!P17="Black",(OR('Job Sheet'!AI17="Yes",'Job Sheet'!AI17="Yes - Centre"))),'Straight Cutting'!Q17,"")</f>
        <v/>
      </c>
      <c r="MU11" s="73" t="str">
        <f>IF(AND('Straight Cutting'!P17="Brown",(OR('Job Sheet'!AI17="Yes",'Job Sheet'!AI17="Yes - Centre"))),'Straight Cutting'!Q17,"")</f>
        <v/>
      </c>
      <c r="MV11" s="73" t="str">
        <f>IF(AND('Straight Cutting'!P17="Deep Ocean",(OR('Job Sheet'!AI17="Yes",'Job Sheet'!AI17="Yes - Centre"))),'Straight Cutting'!Q17,"")</f>
        <v/>
      </c>
      <c r="MW11" s="73" t="str">
        <f>IF(AND('Straight Cutting'!P17="Jasper",(OR('Job Sheet'!AI17="Yes",'Job Sheet'!AI17="Yes - Centre"))),'Straight Cutting'!Q17,"")</f>
        <v/>
      </c>
      <c r="MX11" s="73" t="str">
        <f>IF(AND('Straight Cutting'!P17="Paperbark",(OR('Job Sheet'!AI17="Yes",'Job Sheet'!AI17="Yes - Centre"))),'Straight Cutting'!Q17,"")</f>
        <v/>
      </c>
      <c r="MY11" s="73" t="str">
        <f>IF(AND('Straight Cutting'!P17="Mist Green",(OR('Job Sheet'!AI17="Yes",'Job Sheet'!AI17="Yes - Centre"))),'Straight Cutting'!Q17,"")</f>
        <v/>
      </c>
      <c r="MZ11" s="73" t="str">
        <f>IF(AND('Straight Cutting'!P17="Primrose",(OR('Job Sheet'!AI17="Yes",'Job Sheet'!AI17="Yes - Centre"))),'Straight Cutting'!Q17,"")</f>
        <v/>
      </c>
      <c r="NA11" s="73" t="str">
        <f>IF(AND('Straight Cutting'!P17="Ultra Silver",(OR('Job Sheet'!AI17="Yes",'Job Sheet'!AI17="Yes - Centre"))),'Straight Cutting'!Q17,"")</f>
        <v/>
      </c>
      <c r="NB11" s="73" t="str">
        <f>IF(AND('Straight Cutting'!P17="Woodland Grey(Green Tone)",(OR('Job Sheet'!AI17="Yes",'Job Sheet'!AI17="Yes - Centre"))),'Straight Cutting'!Q17,"")</f>
        <v/>
      </c>
      <c r="NC11" s="73" t="str">
        <f>IF(AND('Straight Cutting'!P17="Pearl White",(OR('Job Sheet'!AI17="Yes",'Job Sheet'!AI17="Yes - Centre"))),'Straight Cutting'!Q17,"")</f>
        <v/>
      </c>
      <c r="ND11" s="73" t="str">
        <f>IF(AND('Straight Cutting'!P17="Monument",(OR('Job Sheet'!AI17="Yes",'Job Sheet'!AI17="Yes - Centre"))),'Straight Cutting'!Q17,"")</f>
        <v/>
      </c>
      <c r="NE11" s="73" t="str">
        <f>IF(AND('Straight Cutting'!P17="Surfmist",(OR('Job Sheet'!AI17="Yes",'Job Sheet'!AI17="Yes - Centre"))),'Straight Cutting'!Q17,"")</f>
        <v/>
      </c>
      <c r="NF11" s="73" t="str">
        <f>IF(AND('Straight Cutting'!P17="Dune",(OR('Job Sheet'!AI17="Yes",'Job Sheet'!AI17="Yes - Centre"))),'Straight Cutting'!Q17,"")</f>
        <v/>
      </c>
      <c r="NH11" s="73" t="str">
        <f>IF(AND('Straight Cutting'!P17="APO Grey",(OR('Job Sheet'!AI17="Yes",'Job Sheet'!AI17="Yes - Centre"))),'Straight Cutting'!R17,"")</f>
        <v/>
      </c>
      <c r="NI11" s="73" t="str">
        <f>IF(AND('Straight Cutting'!P17="White Birch",(OR('Job Sheet'!AI17="Yes",'Job Sheet'!AI17="Yes - Centre"))),'Straight Cutting'!R17,"")</f>
        <v/>
      </c>
      <c r="NJ11" s="73" t="str">
        <f>IF(AND('Straight Cutting'!P17="Black",(OR('Job Sheet'!AI17="Yes",'Job Sheet'!AI17="Yes - Centre"))),'Straight Cutting'!R17,"")</f>
        <v/>
      </c>
      <c r="NK11" s="73" t="str">
        <f>IF(AND('Straight Cutting'!P17="Brown",(OR('Job Sheet'!AI17="Yes",'Job Sheet'!AI17="Yes - Centre"))),'Straight Cutting'!R17,"")</f>
        <v/>
      </c>
      <c r="NL11" s="73" t="str">
        <f>IF(AND('Straight Cutting'!P17="Deep Ocean",(OR('Job Sheet'!AI17="Yes",'Job Sheet'!AI17="Yes - Centre"))),'Straight Cutting'!R17,"")</f>
        <v/>
      </c>
      <c r="NM11" s="73" t="str">
        <f>IF(AND('Straight Cutting'!P17="Jasper",(OR('Job Sheet'!AI17="Yes",'Job Sheet'!AI17="Yes - Centre"))),'Straight Cutting'!R17,"")</f>
        <v/>
      </c>
      <c r="NN11" s="73" t="str">
        <f>IF(AND('Straight Cutting'!P17="Paperbark",(OR('Job Sheet'!AI17="Yes",'Job Sheet'!AI17="Yes - Centre"))),'Straight Cutting'!R17,"")</f>
        <v/>
      </c>
      <c r="NO11" s="73" t="str">
        <f>IF(AND('Straight Cutting'!P17="Mist Green",(OR('Job Sheet'!AI17="Yes",'Job Sheet'!AI17="Yes - Centre"))),'Straight Cutting'!R17,"")</f>
        <v/>
      </c>
      <c r="NP11" s="73" t="str">
        <f>IF(AND('Straight Cutting'!P17="Primrose",(OR('Job Sheet'!AI17="Yes",'Job Sheet'!AI17="Yes - Centre"))),'Straight Cutting'!R17,"")</f>
        <v/>
      </c>
      <c r="NQ11" s="73" t="str">
        <f>IF(AND('Straight Cutting'!P17="Ultra Silver",(OR('Job Sheet'!AI17="Yes",'Job Sheet'!AI17="Yes - Centre"))),'Straight Cutting'!R17,"")</f>
        <v/>
      </c>
      <c r="NR11" s="73" t="str">
        <f>IF(AND('Straight Cutting'!P17="Woodland Grey(Green Tone)",(OR('Job Sheet'!AI17="Yes",'Job Sheet'!AI17="Yes - Centre"))),'Straight Cutting'!R17,"")</f>
        <v/>
      </c>
      <c r="NS11" s="73" t="str">
        <f>IF(AND('Straight Cutting'!P17="Pearl White",(OR('Job Sheet'!AI17="Yes",'Job Sheet'!AI17="Yes - Centre"))),'Straight Cutting'!R17,"")</f>
        <v/>
      </c>
      <c r="NT11" s="73" t="str">
        <f>IF(AND('Straight Cutting'!P17="Monument",(OR('Job Sheet'!AI17="Yes",'Job Sheet'!AI17="Yes - Centre"))),'Straight Cutting'!R17,"")</f>
        <v/>
      </c>
      <c r="NU11" s="73" t="str">
        <f>IF(AND('Straight Cutting'!P17="Surfmist",(OR('Job Sheet'!AI17="Yes",'Job Sheet'!AI17="Yes - Centre"))),'Straight Cutting'!R17,"")</f>
        <v/>
      </c>
      <c r="NV11" s="73" t="str">
        <f>IF(AND('Straight Cutting'!P17="Dune",(OR('Job Sheet'!AI17="Yes",'Job Sheet'!AI17="Yes - Centre"))),'Straight Cutting'!R17,"")</f>
        <v/>
      </c>
      <c r="ON11" s="73" t="str">
        <f>IF(Data!AW17="","",IF(VLOOKUP(CONCATENATE(Data!BO17,'Job Sheet'!AE17),DoorType,4,FALSE)="Yes",(('Job Sheet'!BH17-98)*2+('Job Sheet'!BI17-96)*2)/2700,""))</f>
        <v/>
      </c>
      <c r="OO11" s="73" t="str">
        <f>IF(Data!AW17="","",IF('Mitred Cutting'!F17="1.6mm",(('Job Sheet'!BH17-114)*2+('Job Sheet'!BI17-114)*2)/3100,""))</f>
        <v/>
      </c>
      <c r="OP11" s="73" t="str">
        <f>IF(Data!AW17="","",IF('Mitred Cutting'!F17="2mm",(('Job Sheet'!BH17-114)*2+('Job Sheet'!BI17-114)*2)/3100,""))</f>
        <v/>
      </c>
      <c r="OQ11" s="48" t="str">
        <f>IF(Data!AW17="","",IF('Straight Cutting'!R17&lt;&gt;"",(('Job Sheet'!BO17*4)+('Job Sheet'!BQ17*2)+('Job Sheet'!BP17*2))/4000,IF('Mitred Cutting'!C17="Invisi-Gard",(('Job Sheet'!BO17+'Job Sheet'!BP17)*2)/4000,"")))</f>
        <v/>
      </c>
      <c r="OR11" s="48" t="str">
        <f t="shared" si="2"/>
        <v/>
      </c>
      <c r="OS11" s="48" t="str">
        <f t="shared" si="3"/>
        <v/>
      </c>
      <c r="OT11" s="73" t="str">
        <f>IF(D11="","",'Job Sheet'!BH17-2)</f>
        <v/>
      </c>
      <c r="OU11" s="73" t="str">
        <f>IF(OR('Job Sheet'!AE17="Fibreglass Mesh",'Job Sheet'!AE17="Tuff Mesh",'Job Sheet'!AE17="Pet Mesh",'Job Sheet'!AE17="Aluminium Mesh"),'Job Sheet'!BH17*2+'Job Sheet'!BI17*2-200,"")</f>
        <v/>
      </c>
      <c r="OV11" s="73" t="str">
        <f>IF('Job Sheet'!M17="Not Required","",IF(Punching!K17="Hinged High",1,""))</f>
        <v/>
      </c>
      <c r="OW11" s="73" t="str">
        <f>IF('Job Sheet'!M17="Not Required","",IF(Punching!K17="Hinged Low",1,""))</f>
        <v/>
      </c>
      <c r="OX11" s="73" t="str">
        <f>IF('Job Sheet'!M17="Not Required","",IF(Punching!K17="Hinged Pool",1,""))</f>
        <v/>
      </c>
      <c r="OY11" s="73" t="str">
        <f>IF('Job Sheet'!M17="Not Required","",IF(Punching!K17="Hinged Adjustable",1,""))</f>
        <v/>
      </c>
      <c r="OZ11" s="73" t="str">
        <f>IF('Job Sheet'!M17="Not Required","",IF(Punching!K17="Sliding High",1,""))</f>
        <v/>
      </c>
      <c r="PA11" s="73" t="str">
        <f>IF('Job Sheet'!M17="Not Required","",IF(Punching!K17="Sliding Low",1,""))</f>
        <v/>
      </c>
      <c r="PB11" s="73" t="str">
        <f>IF('Job Sheet'!M17="Not Required","",IF(Punching!K17="Sliding Pool",1,""))</f>
        <v/>
      </c>
      <c r="PC11" s="73" t="str">
        <f>IF('Job Sheet'!M17="Not Required","",IF(Punching!K17="Sliding Adjustable",1,""))</f>
        <v/>
      </c>
      <c r="PD11" s="73" t="str">
        <f t="shared" si="0"/>
        <v/>
      </c>
      <c r="PH11" s="73" t="str">
        <f>IF('Job Sheet'!AV17&lt;&gt;"Yes","",IF(OR('Job Sheet'!AY17="Left",'Job Sheet'!AY17="Right"),"1","2"))</f>
        <v/>
      </c>
      <c r="PO11" s="73" t="str">
        <f>IF('Job Sheet'!M17="Bass Latch",1,"")</f>
        <v/>
      </c>
      <c r="PP11" s="73" t="str">
        <f>IF('Job Sheet'!AU17="Yes","2","")</f>
        <v/>
      </c>
      <c r="PQ11" s="73" t="str">
        <f>IF('Job Sheet'!U17="Black",1,"")</f>
        <v/>
      </c>
      <c r="PR11" s="73" t="str">
        <f>IF('Job Sheet'!U17="Dune",1,"")</f>
        <v/>
      </c>
      <c r="PS11" s="73" t="str">
        <f>IF('Job Sheet'!U17="Jasper",1,"")</f>
        <v/>
      </c>
      <c r="PT11" s="73" t="str">
        <f>IF('Job Sheet'!U17="Monument",1,"")</f>
        <v/>
      </c>
      <c r="PU11" s="73" t="str">
        <f>IF('Job Sheet'!U17="Paperbark",1,"")</f>
        <v/>
      </c>
      <c r="PV11" s="73" t="str">
        <f>IF('Job Sheet'!U17="Primrose",1,"")</f>
        <v/>
      </c>
      <c r="PW11" s="73" t="str">
        <f>IF('Job Sheet'!U17="Surfmist",1,"")</f>
        <v/>
      </c>
      <c r="PX11" s="73" t="str">
        <f>IF('Job Sheet'!U17="White",1,"")</f>
        <v/>
      </c>
      <c r="PY11" s="73" t="str">
        <f>IF('Job Sheet'!U17="Woodland Grey(Green Tone)",1,"")</f>
        <v/>
      </c>
      <c r="PZ11" s="73" t="str">
        <f>IF(AND(OR('Job Sheet'!M17="Single Lock",'Job Sheet'!M17="Triple Lock"),'Job Sheet'!J17="Hinged",'Job Sheet'!Q17="Black"),1,"")</f>
        <v/>
      </c>
      <c r="QA11" s="73" t="str">
        <f>IF(AND(OR('Job Sheet'!M17="Single Lock",'Job Sheet'!M17="Triple Lock"),'Job Sheet'!J17="Hinged",'Job Sheet'!Q17="Dune"),1,"")</f>
        <v/>
      </c>
      <c r="QB11" s="73" t="str">
        <f>IF(AND(OR('Job Sheet'!M17="Single Lock",'Job Sheet'!M17="Triple Lock"),'Job Sheet'!J17="Hinged",'Job Sheet'!Q17="Jasper"),1,"")</f>
        <v/>
      </c>
      <c r="QC11" s="73" t="str">
        <f>IF(AND(OR('Job Sheet'!M17="Single Lock",'Job Sheet'!M17="Triple Lock"),'Job Sheet'!J17="Hinged",'Job Sheet'!Q17="Monument"),1,"")</f>
        <v/>
      </c>
      <c r="QD11" s="73" t="str">
        <f>IF(AND(OR('Job Sheet'!M17="Single Lock",'Job Sheet'!M17="Triple Lock"),'Job Sheet'!J17="Hinged",'Job Sheet'!Q17="Paperbark"),1,"")</f>
        <v/>
      </c>
      <c r="QE11" s="73" t="str">
        <f>IF(AND(OR('Job Sheet'!M17="Single Lock",'Job Sheet'!M17="Triple Lock"),'Job Sheet'!J17="Hinged",'Job Sheet'!Q17="Primrose"),1,"")</f>
        <v/>
      </c>
      <c r="QF11" s="73" t="str">
        <f>IF(AND(OR('Job Sheet'!M17="Single Lock",'Job Sheet'!M17="Triple Lock"),'Job Sheet'!J17="Hinged",'Job Sheet'!Q17="Surfmist"),1,"")</f>
        <v/>
      </c>
      <c r="QG11" s="73" t="str">
        <f>IF(AND(OR('Job Sheet'!M17="Single Lock",'Job Sheet'!M17="Triple Lock"),'Job Sheet'!J17="Hinged",'Job Sheet'!Q17="White"),1,"")</f>
        <v/>
      </c>
      <c r="QH11" s="73" t="str">
        <f>IF(AND(OR('Job Sheet'!M17="Single Lock",'Job Sheet'!M17="Triple Lock"),'Job Sheet'!J17="Hinged",'Job Sheet'!Q17="Woodland Grey(Green Tone)"),1,"")</f>
        <v/>
      </c>
      <c r="QI11" s="73" t="str">
        <f>IF(AND(OR('Job Sheet'!M17="Push 2 Go Single Lock",'Job Sheet'!M17="Push 2 Go Triple Lock"),'Job Sheet'!J17="Hinged",'Job Sheet'!Q17="Black"),1,"")</f>
        <v/>
      </c>
      <c r="QJ11" s="73" t="str">
        <f>IF(AND(OR('Job Sheet'!M17="Push 2 Go Single Lock",'Job Sheet'!M17="Push 2 Go Triple Lock"),'Job Sheet'!J17="Hinged",'Job Sheet'!Q17="Dune"),1,"")</f>
        <v/>
      </c>
      <c r="QK11" s="73" t="str">
        <f>IF(AND(OR('Job Sheet'!M17="Push 2 Go Single Lock",'Job Sheet'!M17="Push 2 Go Triple Lock"),'Job Sheet'!J17="Hinged",'Job Sheet'!Q17="Jasper"),1,"")</f>
        <v/>
      </c>
      <c r="QL11" s="73" t="str">
        <f>IF(AND(OR('Job Sheet'!M17="Push 2 Go Single Lock",'Job Sheet'!M17="Push 2 Go Triple Lock"),'Job Sheet'!J17="Hinged",'Job Sheet'!Q17="Monument"),1,"")</f>
        <v/>
      </c>
      <c r="QM11" s="73" t="str">
        <f>IF(AND(OR('Job Sheet'!M17="Push 2 Go Single Lock",'Job Sheet'!M17="Push 2 Go Triple Lock"),'Job Sheet'!J17="Hinged",'Job Sheet'!Q17="Paperbark"),1,"")</f>
        <v/>
      </c>
      <c r="QN11" s="73" t="str">
        <f>IF(AND(OR('Job Sheet'!M17="Push 2 Go Single Lock",'Job Sheet'!M17="Push 2 Go Triple Lock"),'Job Sheet'!J17="Hinged",'Job Sheet'!Q17="Primrose"),1,"")</f>
        <v/>
      </c>
      <c r="QO11" s="73" t="str">
        <f>IF(AND(OR('Job Sheet'!M17="Push 2 Go Single Lock",'Job Sheet'!M17="Push 2 Go Triple Lock"),'Job Sheet'!J17="Hinged",'Job Sheet'!Q17="Surfmist"),1,"")</f>
        <v/>
      </c>
      <c r="QP11" s="73" t="str">
        <f>IF(AND(OR('Job Sheet'!M17="Push 2 Go Single Lock",'Job Sheet'!M17="Push 2 Go Triple Lock"),'Job Sheet'!J17="Hinged",'Job Sheet'!Q17="White"),1,"")</f>
        <v/>
      </c>
      <c r="QQ11" s="73" t="str">
        <f>IF(AND(OR('Job Sheet'!M17="Push 2 Go Single Lock",'Job Sheet'!M17="Push 2 Go Triple Lock"),'Job Sheet'!J17="Hinged",'Job Sheet'!Q17="Woodland Grey(Green Tone)"),1,"")</f>
        <v/>
      </c>
      <c r="QR11" s="73" t="str">
        <f>IF('Job Sheet'!M17="Bass Latch","",IF(AND(OR('Job Sheet'!J17="Sliding",'Job Sheet'!J17="Stacker"),'Job Sheet'!Q17="Black"),1,""))</f>
        <v/>
      </c>
      <c r="QS11" s="73" t="str">
        <f>IF('Job Sheet'!M17="Bass Latch","",IF(AND(OR('Job Sheet'!J17="Sliding",'Job Sheet'!J17="Stacker"),'Job Sheet'!Q17="Dune"),1,""))</f>
        <v/>
      </c>
      <c r="QT11" s="73" t="str">
        <f>IF('Job Sheet'!M17="Bass Latch","",IF(AND(OR('Job Sheet'!J17="Sliding",'Job Sheet'!J17="Stacker"),'Job Sheet'!Q17="Jasper"),1,""))</f>
        <v/>
      </c>
      <c r="QU11" s="73" t="str">
        <f>IF('Job Sheet'!M17="Bass Latch","",IF(AND(OR('Job Sheet'!J17="Sliding",'Job Sheet'!J17="Stacker"),'Job Sheet'!Q17="Monument"),1,""))</f>
        <v/>
      </c>
      <c r="QV11" s="73" t="str">
        <f>IF('Job Sheet'!M17="Bass Latch","",IF(AND(OR('Job Sheet'!J17="Sliding",'Job Sheet'!J17="Stacker"),'Job Sheet'!Q17="Paperbark"),1,""))</f>
        <v/>
      </c>
      <c r="QW11" s="73" t="str">
        <f>IF('Job Sheet'!M17="Bass Latch","",IF(AND(OR('Job Sheet'!J17="Sliding",'Job Sheet'!J17="Stacker"),'Job Sheet'!Q17="Primrose"),1,""))</f>
        <v/>
      </c>
      <c r="QX11" s="73" t="str">
        <f>IF('Job Sheet'!M17="Bass Latch","",IF(AND(OR('Job Sheet'!J17="Sliding",'Job Sheet'!J17="Stacker"),'Job Sheet'!Q17="Surfmist"),1,""))</f>
        <v/>
      </c>
      <c r="QY11" s="73" t="str">
        <f>IF('Job Sheet'!M17="Bass Latch","",IF(AND('Job Sheet'!J17="Sliding",'Job Sheet'!Q17="White"),1,""))</f>
        <v/>
      </c>
      <c r="QZ11" s="73" t="str">
        <f>IF('Job Sheet'!M17="Bass Latch","",IF(AND(OR('Job Sheet'!J17="Sliding",'Job Sheet'!J17="Stacker"),'Job Sheet'!Q17="Woodland Grey(Green Tone)"),1,""))</f>
        <v/>
      </c>
      <c r="RA11" s="73" t="str">
        <f>IF(OR('Job Sheet'!M17="Single Lock",'Job Sheet'!M17="Triple Lock"),1,"")</f>
        <v/>
      </c>
      <c r="RB11" s="73" t="str">
        <f>IF('Job Sheet'!R17="Extended",1,"")</f>
        <v/>
      </c>
      <c r="RC11" s="73" t="str">
        <f>IF(OR('Job Sheet'!J17="Sliding",'Job Sheet'!J17="Stacker"),4,"")</f>
        <v/>
      </c>
      <c r="RD11" s="73" t="str">
        <f>IF('Job Sheet'!J17="Hinged",3,"")</f>
        <v/>
      </c>
      <c r="RF11" s="73" t="str">
        <f>IF(AND('Job Sheet'!AW17="Small 190mm x 240mm",'Job Sheet'!AX17="Black"),1,"")</f>
        <v/>
      </c>
      <c r="RG11" s="73" t="str">
        <f>IF(AND('Job Sheet'!AW17="Medium 225mm x 305mm",'Job Sheet'!AX17="Black"),1,"")</f>
        <v/>
      </c>
      <c r="RH11" s="73" t="str">
        <f>IF(AND('Job Sheet'!AW17="Large 260mm x 400mm",'Job Sheet'!AX17="Black"),1,"")</f>
        <v/>
      </c>
      <c r="RI11" s="73" t="str">
        <f>IF(AND('Job Sheet'!AW17="Small 190mm x 240mm",'Job Sheet'!AX17="White"),1,"")</f>
        <v/>
      </c>
      <c r="RJ11" s="73" t="str">
        <f>IF(AND('Job Sheet'!AW17="Medium 225mm x 305mm",'Job Sheet'!AX17="White"),1,"")</f>
        <v/>
      </c>
      <c r="RK11" s="73" t="str">
        <f>IF(AND('Job Sheet'!AW17="Large 260mm x 400mm",'Job Sheet'!AX17="White"),1,"")</f>
        <v/>
      </c>
      <c r="RL11" s="73" t="str">
        <f>IF('Job Sheet'!AQ17="T Mullion with Cutouts and 2 Lock Bolts",2,"")</f>
        <v/>
      </c>
      <c r="RM11" s="73" t="str">
        <f>IF('Job Sheet'!U17="Water Closer",1,"")</f>
        <v/>
      </c>
      <c r="RN11" s="73" t="str">
        <f>IF('Job Sheet'!AO17="Yes, Included in other Door","",IF(OR('Mitred Cutting'!I17="Long Leg Left, Right and Top",'Mitred Cutting'!I17="Short Leg Left, Right and Top"),2,""))</f>
        <v/>
      </c>
      <c r="RO11" s="73" t="str">
        <f>IF(AND('Mitred Cutting'!C17="Invisi-Gard",(OR('Job Sheet'!AI17="Yes",'Job Sheet'!AI17="Yes - Centre"))),2,"")</f>
        <v/>
      </c>
      <c r="RQ11" s="73" t="str">
        <f>IF('Job Sheet'!M17="Ultra Secua Digital Triple Lock",1,"")</f>
        <v/>
      </c>
      <c r="RT11" s="73" t="str">
        <f>IF(AND('Job Sheet'!BL17="750 x 2000",(OR('Job Sheet'!BK17="Woven Stainless Steel",'Job Sheet'!BK17="Invisi-Gard Woven Stainless Steel"))),1,"")</f>
        <v/>
      </c>
      <c r="RU11" s="73" t="str">
        <f>IF(AND('Job Sheet'!BL17="750 x 2400",(OR('Job Sheet'!BK17="Woven Stainless Steel",'Job Sheet'!BK17="Invisi-Gard Woven Stainless Steel"))),1,"")</f>
        <v/>
      </c>
      <c r="RV11" s="73" t="str">
        <f>IF(AND('Job Sheet'!BL17="750 x 3000",(OR('Job Sheet'!BK17="Woven Stainless Steel",'Job Sheet'!BK17="Invisi-Gard Woven Stainless Steel"))),1,"")</f>
        <v/>
      </c>
      <c r="RW11" s="73" t="str">
        <f>IF(AND('Job Sheet'!BL17="900 x 2000",(OR('Job Sheet'!BK17="Woven Stainless Steel",'Job Sheet'!BK17="Invisi-Gard Woven Stainless Steel"))),1,"")</f>
        <v/>
      </c>
      <c r="RX11" s="73" t="str">
        <f>IF(AND('Job Sheet'!BL17="900 x 2400",(OR('Job Sheet'!BK17="Woven Stainless Steel",'Job Sheet'!BK17="Invisi-Gard Woven Stainless Steel"))),1,"")</f>
        <v/>
      </c>
      <c r="RY11" s="73" t="str">
        <f>IF(AND('Job Sheet'!BL17="900 x 3000",(OR('Job Sheet'!BK17="Woven Stainless Steel",'Job Sheet'!BK17="Invisi-Gard Woven Stainless Steel"))),1,"")</f>
        <v/>
      </c>
      <c r="RZ11" s="73" t="str">
        <f>IF(AND('Job Sheet'!BL17="1200 x 2000",(OR('Job Sheet'!BK17="Woven Stainless Steel",'Job Sheet'!BK17="Invisi-Gard Woven Stainless Steel"))),1,"")</f>
        <v/>
      </c>
      <c r="SA11" s="73" t="str">
        <f>IF(AND('Job Sheet'!BL17="1200 x 2400",(OR('Job Sheet'!BK17="Woven Stainless Steel",'Job Sheet'!BK17="Invisi-Gard Woven Stainless Steel"))),1,"")</f>
        <v/>
      </c>
      <c r="SB11" s="73" t="str">
        <f>IF(AND('Job Sheet'!BL17="1200 x 3000",(OR('Job Sheet'!BK17="Woven Stainless Steel",'Job Sheet'!BK17="Invisi-Gard Woven Stainless Steel"))),1,"")</f>
        <v/>
      </c>
      <c r="SC11" s="73" t="str">
        <f>IF(AND('Job Sheet'!BL17="1500 x 2000",(OR('Job Sheet'!BK17="Woven Stainless Steel",'Job Sheet'!BK17="Invisi-Gard Woven Stainless Steel"))),1,"")</f>
        <v/>
      </c>
      <c r="SD11" s="73" t="str">
        <f>IF(AND('Job Sheet'!BL17="1500 x 2400",(OR('Job Sheet'!BK17="Woven Stainless Steel",'Job Sheet'!BK17="Invisi-Gard Woven Stainless Steel"))),1,"")</f>
        <v/>
      </c>
      <c r="SE11" s="73" t="str">
        <f>IF(AND('Job Sheet'!BL17="1500 x 3000",(OR('Job Sheet'!BK17="Woven Stainless Steel",'Job Sheet'!BK17="Invisi-Gard Woven Stainless Steel"))),1,"")</f>
        <v/>
      </c>
      <c r="SF11" s="73" t="str">
        <f>IF(AND('Job Sheet'!BK17="Alu-Gard Perforated Aluminium",'Job Sheet'!BL17="750 x 2000"),1,"")</f>
        <v/>
      </c>
      <c r="SG11" s="73" t="str">
        <f>IF(AND('Job Sheet'!BK17="Alu-Gard Perforated Aluminium",'Job Sheet'!BL17="750 x 2400"),1,"")</f>
        <v/>
      </c>
      <c r="SH11" s="73" t="str">
        <f>IF(AND('Job Sheet'!BK17="Alu-Gard Perforated Aluminium",'Job Sheet'!BL17="750 x 3000"),1,"")</f>
        <v/>
      </c>
      <c r="SI11" s="73" t="str">
        <f>IF(AND('Job Sheet'!BK17="Alu-Gard Perforated Aluminium",'Job Sheet'!BL17="900 x 2000"),1,"")</f>
        <v/>
      </c>
      <c r="SJ11" s="73" t="str">
        <f>IF(AND('Job Sheet'!BK17="Alu-Gard Perforated Aluminium",'Job Sheet'!BL17="900 x 2400"),1,"")</f>
        <v/>
      </c>
      <c r="SK11" s="73" t="str">
        <f>IF(AND('Job Sheet'!BK17="Alu-Gard Perforated Aluminium",'Job Sheet'!BL17="900 x 3000"),1,"")</f>
        <v/>
      </c>
      <c r="SL11" s="73" t="str">
        <f>IF(AND('Job Sheet'!BK17="Alu-Gard Perforated Aluminium",'Job Sheet'!BL17="1200 x 2000"),1,"")</f>
        <v/>
      </c>
      <c r="SM11" s="73" t="str">
        <f>IF(AND('Job Sheet'!BK17="Alu-Gard Perforated Aluminium",'Job Sheet'!BL17="1200 x 2400"),1,"")</f>
        <v/>
      </c>
      <c r="SN11" s="73" t="str">
        <f>IF(AND('Job Sheet'!BK17="Alu-Gard Perforated Aluminium",'Job Sheet'!BL17="1200 x 3000"),1,"")</f>
        <v/>
      </c>
      <c r="SO11" s="73" t="str">
        <f>IF(AND('Job Sheet'!BK17="Alu-Gard Perforated Aluminium",'Job Sheet'!BL17="1500 x 2000"),1,"")</f>
        <v/>
      </c>
      <c r="SP11" s="73" t="str">
        <f>IF(AND('Job Sheet'!BK17="Alu-Gard Perforated Aluminium",'Job Sheet'!BL17="1500 x 2400"),1,"")</f>
        <v/>
      </c>
      <c r="SQ11" s="73" t="str">
        <f>IF(AND('Job Sheet'!BK17="Alu-Gard Perforated Aluminium",'Job Sheet'!BL17="1500 x 3000"),1,"")</f>
        <v/>
      </c>
      <c r="SR11" s="73" t="str">
        <f>IF(AND('Job Sheet'!BK17="Privacy-Gard",'Job Sheet'!BL17="750 x 2000"),1,"")</f>
        <v/>
      </c>
      <c r="SS11" s="73" t="str">
        <f>IF(AND('Job Sheet'!BK17="Privacy-Gard",'Job Sheet'!BL17="750 x 2400"),1,"")</f>
        <v/>
      </c>
      <c r="ST11" s="73" t="str">
        <f>IF(AND('Job Sheet'!BK17="Privacy-Gard",'Job Sheet'!BL17="900 x 2000"),1,"")</f>
        <v/>
      </c>
      <c r="SU11" s="73" t="str">
        <f>IF(AND('Job Sheet'!BK17="Privacy-Gard",'Job Sheet'!BL17="900 x 2400"),1,"")</f>
        <v/>
      </c>
      <c r="SV11" s="73" t="str">
        <f>IF(AND('Job Sheet'!BK17="Privacy-Gard",'Job Sheet'!BL17="1200 x 2000"),1,"")</f>
        <v/>
      </c>
      <c r="SW11" s="73" t="str">
        <f>IF(AND('Job Sheet'!BK17="Privacy-Gard",'Job Sheet'!BL17="1200 x 2400"),1,"")</f>
        <v/>
      </c>
      <c r="SX11" s="73" t="str">
        <f>IF(AND('Job Sheet'!BK17="Standard Diamond",'Job Sheet'!BL17="750 x 2050",'Job Sheet'!AB17="APO Grey"),1,"")</f>
        <v/>
      </c>
      <c r="SY11" s="73" t="str">
        <f>IF(AND('Job Sheet'!BK17="Standard Diamond",'Job Sheet'!BL17="750 x 2050",'Job Sheet'!AB17="White Birch"),1,"")</f>
        <v/>
      </c>
      <c r="SZ11" s="73" t="str">
        <f>IF(AND('Job Sheet'!BK17="Standard Diamond",'Job Sheet'!BL17="750 x 2050",'Job Sheet'!AB17="Black"),1,"")</f>
        <v/>
      </c>
      <c r="TA11" s="73" t="str">
        <f>IF(AND('Job Sheet'!BK17="Standard Diamond",'Job Sheet'!BL17="750 x 2050",'Job Sheet'!AB17="Brown"),1,"")</f>
        <v/>
      </c>
      <c r="TB11" s="73" t="str">
        <f>IF(AND('Job Sheet'!BK17="Standard Diamond",'Job Sheet'!BL17="750 x 2050",'Job Sheet'!AB17="Deep Ocean"),1,"")</f>
        <v/>
      </c>
      <c r="TC11" s="73" t="str">
        <f>IF(AND('Job Sheet'!BK17="Standard Diamond",'Job Sheet'!BL17="750 x 2050",'Job Sheet'!AB17="Jasper"),1,"")</f>
        <v/>
      </c>
      <c r="TD11" s="73" t="str">
        <f>IF(AND('Job Sheet'!BK17="Standard Diamond",'Job Sheet'!BL17="750 x 2050",'Job Sheet'!AB17="Paperbark"),1,"")</f>
        <v/>
      </c>
      <c r="TE11" s="73" t="str">
        <f>IF(AND('Job Sheet'!BK17="Standard Diamond",'Job Sheet'!BL17="750 x 2050",'Job Sheet'!AB17="Mist Green"),1,"")</f>
        <v/>
      </c>
      <c r="TF11" s="73" t="str">
        <f>IF(AND('Job Sheet'!BK17="Standard Diamond",'Job Sheet'!BL17="750 x 2050",'Job Sheet'!AB17="Primrose"),1,"")</f>
        <v/>
      </c>
      <c r="TG11" s="73" t="str">
        <f>IF(AND('Job Sheet'!BK17="Standard Diamond",'Job Sheet'!BL17="750 x 2050",'Job Sheet'!AB17="Ultra Silver"),1,"")</f>
        <v/>
      </c>
      <c r="TH11" s="73" t="str">
        <f>IF(AND('Job Sheet'!BK17="Standard Diamond",'Job Sheet'!BL17="750 x 2050",'Job Sheet'!AB17="Woodland Grey(Green Tone)"),1,"")</f>
        <v/>
      </c>
      <c r="TI11" s="73" t="str">
        <f>IF(AND('Job Sheet'!BK17="Standard Diamond",'Job Sheet'!BL17="750 x 2050",'Job Sheet'!AB17="Pearl White"),1,"")</f>
        <v/>
      </c>
      <c r="TJ11" s="73" t="str">
        <f>IF(AND('Job Sheet'!BK17="Standard Diamond",'Job Sheet'!BL17="750 x 2050",'Job Sheet'!AB17="Monument"),1,"")</f>
        <v/>
      </c>
      <c r="TK11" s="73" t="str">
        <f>IF(AND('Job Sheet'!BK17="Standard Diamond",'Job Sheet'!BL17="750 x 2050",'Job Sheet'!AB17="Surfmist"),1,"")</f>
        <v/>
      </c>
      <c r="TL11" s="73" t="str">
        <f>IF(AND('Job Sheet'!BK17="Standard Diamond",'Job Sheet'!BL17="750 x 2050",'Job Sheet'!AB17="Dune"),1,"")</f>
        <v/>
      </c>
      <c r="TM11" s="73" t="str">
        <f>IF(AND('Job Sheet'!BK17="Standard Diamond",'Job Sheet'!BL17="750 x 2050",'Job Sheet'!AB17="Custom Powdercoat"),1,"")</f>
        <v/>
      </c>
      <c r="TN11" s="73" t="str">
        <f>IF(AND('Job Sheet'!BK17="Standard Diamond",'Job Sheet'!BL17="835 x 2050",'Job Sheet'!AB17="APO Grey"),1,"")</f>
        <v/>
      </c>
      <c r="TO11" s="73" t="str">
        <f>IF(AND('Job Sheet'!BK17="Standard Diamond",'Job Sheet'!BL17="835 x 2050",'Job Sheet'!AB17="White Birch"),1,"")</f>
        <v/>
      </c>
      <c r="TP11" s="73" t="str">
        <f>IF(AND('Job Sheet'!BK17="Standard Diamond",'Job Sheet'!BL17="835 x 2050",'Job Sheet'!AB17="Black"),1,"")</f>
        <v/>
      </c>
      <c r="TQ11" s="73" t="str">
        <f>IF(AND('Job Sheet'!BK17="Standard Diamond",'Job Sheet'!BL17="835 x 2050",'Job Sheet'!AB17="Brown"),1,"")</f>
        <v/>
      </c>
      <c r="TR11" s="73" t="str">
        <f>IF(AND('Job Sheet'!BK17="Standard Diamond",'Job Sheet'!BL17="835 x 2050",'Job Sheet'!AB17="Deep Ocean"),1,"")</f>
        <v/>
      </c>
      <c r="TS11" s="73" t="str">
        <f>IF(AND('Job Sheet'!BK17="Standard Diamond",'Job Sheet'!BL17="835 x 2050",'Job Sheet'!AB17="Jasper"),1,"")</f>
        <v/>
      </c>
      <c r="TT11" s="73" t="str">
        <f>IF(AND('Job Sheet'!BK17="Standard Diamond",'Job Sheet'!BL17="835 x 2050",'Job Sheet'!AB17="Paperbark"),1,"")</f>
        <v/>
      </c>
      <c r="TU11" s="73" t="str">
        <f>IF(AND('Job Sheet'!BK17="Standard Diamond",'Job Sheet'!BL17="835 x 2050",'Job Sheet'!AB17="Mist Green"),1,"")</f>
        <v/>
      </c>
      <c r="TV11" s="73" t="str">
        <f>IF(AND('Job Sheet'!BK17="Standard Diamond",'Job Sheet'!BL17="835 x 2050",'Job Sheet'!AB17="Primrose"),1,"")</f>
        <v/>
      </c>
      <c r="TW11" s="73" t="str">
        <f>IF(AND('Job Sheet'!BK17="Standard Diamond",'Job Sheet'!BL17="835 x 2050",'Job Sheet'!AB17="Ultra Silver"),1,"")</f>
        <v/>
      </c>
      <c r="TX11" s="73" t="str">
        <f>IF(AND('Job Sheet'!BK17="Standard Diamond",'Job Sheet'!BL17="835 x 2050",'Job Sheet'!AB17="Woodland Grey(Green Tone)"),1,"")</f>
        <v/>
      </c>
      <c r="TY11" s="73" t="str">
        <f>IF(AND('Job Sheet'!BK17="Standard Diamond",'Job Sheet'!BL17="835 x 2050",'Job Sheet'!AB17="Pearl White"),1,"")</f>
        <v/>
      </c>
      <c r="TZ11" s="73" t="str">
        <f>IF(AND('Job Sheet'!BK17="Standard Diamond",'Job Sheet'!BL17="835 x 2050",'Job Sheet'!AB17="Monument"),1,"")</f>
        <v/>
      </c>
      <c r="UA11" s="73" t="str">
        <f>IF(AND('Job Sheet'!BK17="Standard Diamond",'Job Sheet'!BL17="835 x 2050",'Job Sheet'!AB17="Surfmist"),1,"")</f>
        <v/>
      </c>
      <c r="UB11" s="73" t="str">
        <f>IF(AND('Job Sheet'!BK17="Standard Diamond",'Job Sheet'!BL17="835 x 2050",'Job Sheet'!AB17="Dune"),1,"")</f>
        <v/>
      </c>
      <c r="UC11" s="73" t="str">
        <f>IF(AND('Job Sheet'!BK17="Standard Diamond",'Job Sheet'!BL17="835 x 2050",'Job Sheet'!AB17="Custom Powdercoat"),1,"")</f>
        <v/>
      </c>
      <c r="UD11" s="73" t="str">
        <f>IF(AND('Job Sheet'!BK17="Standard Diamond",'Job Sheet'!BL17="920 x 2050",'Job Sheet'!AB17="APO Grey"),1,"")</f>
        <v/>
      </c>
      <c r="UE11" s="73" t="str">
        <f>IF(AND('Job Sheet'!BK17="Standard Diamond",'Job Sheet'!BL17="920 x 2050",'Job Sheet'!AB17="White Birch"),1,"")</f>
        <v/>
      </c>
      <c r="UF11" s="73" t="str">
        <f>IF(AND('Job Sheet'!BK17="Standard Diamond",'Job Sheet'!BL17="920 x 2050",'Job Sheet'!AB17="Black"),1,"")</f>
        <v/>
      </c>
      <c r="UG11" s="73" t="str">
        <f>IF(AND('Job Sheet'!BK17="Standard Diamond",'Job Sheet'!BL17="920 x 2050",'Job Sheet'!AB17="Brown"),1,"")</f>
        <v/>
      </c>
      <c r="UH11" s="73" t="str">
        <f>IF(AND('Job Sheet'!BK17="Standard Diamond",'Job Sheet'!BL17="920 x 2050",'Job Sheet'!AB17="Deep Ocean"),1,"")</f>
        <v/>
      </c>
      <c r="UI11" s="73" t="str">
        <f>IF(AND('Job Sheet'!BK17="Standard Diamond",'Job Sheet'!BL17="920 x 2050",'Job Sheet'!AB17="Jasper"),1,"")</f>
        <v/>
      </c>
      <c r="UJ11" s="73" t="str">
        <f>IF(AND('Job Sheet'!BK17="Standard Diamond",'Job Sheet'!BL17="920 x 2050",'Job Sheet'!AB17="Paperbark"),1,"")</f>
        <v/>
      </c>
      <c r="UK11" s="73" t="str">
        <f>IF(AND('Job Sheet'!BK17="Standard Diamond",'Job Sheet'!BL17="920 x 2050",'Job Sheet'!AB17="Mist Green"),1,"")</f>
        <v/>
      </c>
      <c r="UL11" s="73" t="str">
        <f>IF(AND('Job Sheet'!BK17="Standard Diamond",'Job Sheet'!BL17="920 x 2050",'Job Sheet'!AB17="Primrose"),1,"")</f>
        <v/>
      </c>
      <c r="UM11" s="73" t="str">
        <f>IF(AND('Job Sheet'!BK17="Standard Diamond",'Job Sheet'!BL17="920 x 2050",'Job Sheet'!AB17="Ultra Silver"),1,"")</f>
        <v/>
      </c>
      <c r="UN11" s="73" t="str">
        <f>IF(AND('Job Sheet'!BK17="Standard Diamond",'Job Sheet'!BL17="920 x 2050",'Job Sheet'!AB17="Woodland Grey(Green Tone)"),1,"")</f>
        <v/>
      </c>
      <c r="UO11" s="73" t="str">
        <f>IF(AND('Job Sheet'!BK17="Standard Diamond",'Job Sheet'!BL17="920 x 2050",'Job Sheet'!AB17="Pearl White"),1,"")</f>
        <v/>
      </c>
      <c r="UP11" s="73" t="str">
        <f>IF(AND('Job Sheet'!BK17="Standard Diamond",'Job Sheet'!BL17="920 x 2050",'Job Sheet'!AB17="Monument"),1,"")</f>
        <v/>
      </c>
      <c r="UQ11" s="73" t="str">
        <f>IF(AND('Job Sheet'!BK17="Standard Diamond",'Job Sheet'!BL17="920 x 2050",'Job Sheet'!AB17="Surfmist"),1,"")</f>
        <v/>
      </c>
      <c r="UR11" s="73" t="str">
        <f>IF(AND('Job Sheet'!BK17="Standard Diamond",'Job Sheet'!BL17="920 x 2050",'Job Sheet'!AB17="Dune"),1,"")</f>
        <v/>
      </c>
      <c r="US11" s="73" t="str">
        <f>IF(AND('Job Sheet'!BK17="Standard Diamond",'Job Sheet'!BL17="920 x 2050",'Job Sheet'!AB17="Custom Powdercoat"),1,"")</f>
        <v/>
      </c>
      <c r="UT11" s="73" t="str">
        <f>IF(AND('Job Sheet'!BK17="Standard Diamond",'Job Sheet'!BL17="1200 x 2050",'Job Sheet'!AB17="APO Grey"),1,"")</f>
        <v/>
      </c>
      <c r="UU11" s="73" t="str">
        <f>IF(AND('Job Sheet'!BK17="Standard Diamond",'Job Sheet'!BL17="1200 x 2050",'Job Sheet'!AB17="White Birch"),1,"")</f>
        <v/>
      </c>
      <c r="UV11" s="73" t="str">
        <f>IF(AND('Job Sheet'!BK17="Standard Diamond",'Job Sheet'!BL17="1200 x 2050",'Job Sheet'!AB17="Black"),1,"")</f>
        <v/>
      </c>
      <c r="UW11" s="73" t="str">
        <f>IF(AND('Job Sheet'!BK17="Standard Diamond",'Job Sheet'!BL17="1200 x 2050",'Job Sheet'!AB17="Brown"),1,"")</f>
        <v/>
      </c>
      <c r="UX11" s="73" t="str">
        <f>IF(AND('Job Sheet'!BK17="Standard Diamond",'Job Sheet'!BL17="1200 x 2050",'Job Sheet'!AB17="Deep Ocean"),1,"")</f>
        <v/>
      </c>
      <c r="UY11" s="73" t="str">
        <f>IF(AND('Job Sheet'!BK17="Standard Diamond",'Job Sheet'!BL17="1200 x 2050",'Job Sheet'!AB17="Jasper"),1,"")</f>
        <v/>
      </c>
      <c r="UZ11" s="73" t="str">
        <f>IF(AND('Job Sheet'!BK17="Standard Diamond",'Job Sheet'!BL17="1200 x 2050",'Job Sheet'!AB17="Paperbark"),1,"")</f>
        <v/>
      </c>
      <c r="VA11" s="73" t="str">
        <f>IF(AND('Job Sheet'!BK17="Standard Diamond",'Job Sheet'!BL17="1200 x 2050",'Job Sheet'!AB17="Mist Green"),1,"")</f>
        <v/>
      </c>
      <c r="VB11" s="73" t="str">
        <f>IF(AND('Job Sheet'!BK17="Standard Diamond",'Job Sheet'!BL17="1200 x 2050",'Job Sheet'!AB17="Primrose"),1,"")</f>
        <v/>
      </c>
      <c r="VC11" s="73" t="str">
        <f>IF(AND('Job Sheet'!BK17="Standard Diamond",'Job Sheet'!BL17="1200 x 2050",'Job Sheet'!AB17="Ultra Silver"),1,"")</f>
        <v/>
      </c>
      <c r="VD11" s="73" t="str">
        <f>IF(AND('Job Sheet'!BK17="Standard Diamond",'Job Sheet'!BL17="1200 x 2050",'Job Sheet'!AB17="Woodland Grey(Green Tone)"),1,"")</f>
        <v/>
      </c>
      <c r="VE11" s="73" t="str">
        <f>IF(AND('Job Sheet'!BK17="Standard Diamond",'Job Sheet'!BL17="1200 x 2050",'Job Sheet'!AB17="Pearl White"),1,"")</f>
        <v/>
      </c>
      <c r="VF11" s="73" t="str">
        <f>IF(AND('Job Sheet'!BK17="Standard Diamond",'Job Sheet'!BL17="1200 x 2050",'Job Sheet'!AB17="Monument"),1,"")</f>
        <v/>
      </c>
      <c r="VG11" s="73" t="str">
        <f>IF(AND('Job Sheet'!BK17="Standard Diamond",'Job Sheet'!BL17="1200 x 2050",'Job Sheet'!AB17="Surfmist"),1,"")</f>
        <v/>
      </c>
      <c r="VH11" s="73" t="str">
        <f>IF(AND('Job Sheet'!BK17="Standard Diamond",'Job Sheet'!BL17="1200 x 2050",'Job Sheet'!AB17="Dune"),1,"")</f>
        <v/>
      </c>
      <c r="VI11" s="73" t="str">
        <f>IF(AND('Job Sheet'!BK17="Standard Diamond",'Job Sheet'!BL17="1200 x 2050",'Job Sheet'!AB17="Custom Powdercoat"),1,"")</f>
        <v/>
      </c>
      <c r="VJ11" s="73" t="str">
        <f>IF(AND('Job Sheet'!BK17="Standard Diamond",'Job Sheet'!BL17="920 x 2450",'Job Sheet'!AB17="APO Grey"),1,"")</f>
        <v/>
      </c>
      <c r="VK11" s="73" t="str">
        <f>IF(AND('Job Sheet'!BK17="Standard Diamond",'Job Sheet'!BL17="920 x 2450",'Job Sheet'!AB17="White Birch"),1,"")</f>
        <v/>
      </c>
      <c r="VL11" s="73" t="str">
        <f>IF(AND('Job Sheet'!BK17="Standard Diamond",'Job Sheet'!BL17="920 x 2450",'Job Sheet'!AB17="Black"),1,"")</f>
        <v/>
      </c>
      <c r="VM11" s="73" t="str">
        <f>IF(AND('Job Sheet'!BK17="Standard Diamond",'Job Sheet'!BL17="920 x 2450",'Job Sheet'!AB17="Brown"),1,"")</f>
        <v/>
      </c>
      <c r="VN11" s="73" t="str">
        <f>IF(AND('Job Sheet'!BK17="Standard Diamond",'Job Sheet'!BL17="920 x 2450",'Job Sheet'!AB17="Deep Ocean"),1,"")</f>
        <v/>
      </c>
      <c r="VO11" s="73" t="str">
        <f>IF(AND('Job Sheet'!BK17="Standard Diamond",'Job Sheet'!BL17="920 x 2450",'Job Sheet'!AB17="Jasper"),1,"")</f>
        <v/>
      </c>
      <c r="VP11" s="73" t="str">
        <f>IF(AND('Job Sheet'!BK17="Standard Diamond",'Job Sheet'!BL17="920 x 2450",'Job Sheet'!AB17="Paperbark"),1,"")</f>
        <v/>
      </c>
      <c r="VQ11" s="73" t="str">
        <f>IF(AND('Job Sheet'!BK17="Standard Diamond",'Job Sheet'!BL17="920 x 2450",'Job Sheet'!AB17="Mist Green"),1,"")</f>
        <v/>
      </c>
      <c r="VR11" s="73" t="str">
        <f>IF(AND('Job Sheet'!BK17="Standard Diamond",'Job Sheet'!BL17="920 x 2450",'Job Sheet'!AB17="Primrose"),1,"")</f>
        <v/>
      </c>
      <c r="VS11" s="73" t="str">
        <f>IF(AND('Job Sheet'!BK17="Standard Diamond",'Job Sheet'!BL17="920 x 2450",'Job Sheet'!AB17="Ultra Silver"),1,"")</f>
        <v/>
      </c>
      <c r="VT11" s="73" t="str">
        <f>IF(AND('Job Sheet'!BK17="Standard Diamond",'Job Sheet'!BL17="920 x 2450",'Job Sheet'!AB17="Woodland Grey(Green Tone)"),1,"")</f>
        <v/>
      </c>
      <c r="VU11" s="73" t="str">
        <f>IF(AND('Job Sheet'!BK17="Standard Diamond",'Job Sheet'!BL17="920 x 2450",'Job Sheet'!AB17="Pearl White"),1,"")</f>
        <v/>
      </c>
      <c r="VV11" s="73" t="str">
        <f>IF(AND('Job Sheet'!BK17="Standard Diamond",'Job Sheet'!BL17="920 x 2450",'Job Sheet'!AB17="Monument"),1,"")</f>
        <v/>
      </c>
      <c r="VW11" s="73" t="str">
        <f>IF(AND('Job Sheet'!BK17="Standard Diamond",'Job Sheet'!BL17="920 x 2450",'Job Sheet'!AB17="Surfmist"),1,"")</f>
        <v/>
      </c>
      <c r="VX11" s="73" t="str">
        <f>IF(AND('Job Sheet'!BK17="Standard Diamond",'Job Sheet'!BL17="920 x 2450",'Job Sheet'!AB17="Dune"),1,"")</f>
        <v/>
      </c>
      <c r="VY11" s="73" t="str">
        <f>IF(AND('Job Sheet'!BK17="Standard Diamond",'Job Sheet'!BL17="920 x 2450",'Job Sheet'!AB17="Custom Powdercoat"),1,"")</f>
        <v/>
      </c>
      <c r="VZ11" s="73" t="str">
        <f>IF(AND('Job Sheet'!BK17="Standard Diamond",'Job Sheet'!BL17="1200 x 2450",'Job Sheet'!AB17="APO Grey"),1,"")</f>
        <v/>
      </c>
      <c r="WA11" s="73" t="str">
        <f>IF(AND('Job Sheet'!BK17="Standard Diamond",'Job Sheet'!BL17="1200 x 2450",'Job Sheet'!AB17="White Birch"),1,"")</f>
        <v/>
      </c>
      <c r="WB11" s="73" t="str">
        <f>IF(AND('Job Sheet'!BK17="Standard Diamond",'Job Sheet'!BL17="1200 x 2450",'Job Sheet'!AB17="Black"),1,"")</f>
        <v/>
      </c>
      <c r="WC11" s="73" t="str">
        <f>IF(AND('Job Sheet'!BK17="Standard Diamond",'Job Sheet'!BL17="1200 x 2450",'Job Sheet'!AB17="Brown"),1,"")</f>
        <v/>
      </c>
      <c r="WD11" s="73" t="str">
        <f>IF(AND('Job Sheet'!BK17="Standard Diamond",'Job Sheet'!BL17="1200 x 2450",'Job Sheet'!AB17="Deep Ocean"),1,"")</f>
        <v/>
      </c>
      <c r="WE11" s="73" t="str">
        <f>IF(AND('Job Sheet'!BK17="Standard Diamond",'Job Sheet'!BL17="1200 x 2450",'Job Sheet'!AB17="Jasper"),1,"")</f>
        <v/>
      </c>
      <c r="WF11" s="73" t="str">
        <f>IF(AND('Job Sheet'!BK17="Standard Diamond",'Job Sheet'!BL17="1200 x 2450",'Job Sheet'!AB17="Paperbark"),1,"")</f>
        <v/>
      </c>
      <c r="WG11" s="73" t="str">
        <f>IF(AND('Job Sheet'!BK17="Standard Diamond",'Job Sheet'!BL17="1200 x 2450",'Job Sheet'!AB17="Mist Green"),1,"")</f>
        <v/>
      </c>
      <c r="WH11" s="73" t="str">
        <f>IF(AND('Job Sheet'!BK17="Standard Diamond",'Job Sheet'!BL17="1200 x 2450",'Job Sheet'!AB17="Primrose"),1,"")</f>
        <v/>
      </c>
      <c r="WI11" s="73" t="str">
        <f>IF(AND('Job Sheet'!BK17="Standard Diamond",'Job Sheet'!BL17="1200 x 2450",'Job Sheet'!AB17="Ultra Silver"),1,"")</f>
        <v/>
      </c>
      <c r="WJ11" s="73" t="str">
        <f>IF(AND('Job Sheet'!BK17="Standard Diamond",'Job Sheet'!BL17="1200 x 2450",'Job Sheet'!AB17="Woodland Grey(Green Tone)"),1,"")</f>
        <v/>
      </c>
      <c r="WK11" s="73" t="str">
        <f>IF(AND('Job Sheet'!BK17="Standard Diamond",'Job Sheet'!BL17="1200 x 2450",'Job Sheet'!AB17="Pearl White"),1,"")</f>
        <v/>
      </c>
      <c r="WL11" s="73" t="str">
        <f>IF(AND('Job Sheet'!BK17="Standard Diamond",'Job Sheet'!BL17="1200 x 2450",'Job Sheet'!AB17="Monument"),1,"")</f>
        <v/>
      </c>
      <c r="WM11" s="73" t="str">
        <f>IF(AND('Job Sheet'!BK17="Standard Diamond",'Job Sheet'!BL17="1200 x 2450",'Job Sheet'!AB17="Surfmist"),1,"")</f>
        <v/>
      </c>
      <c r="WN11" s="73" t="str">
        <f>IF(AND('Job Sheet'!BK17="Standard Diamond",'Job Sheet'!BL17="1200 x 2450",'Mitred Cutting'!D17="Dune"),1,"")</f>
        <v/>
      </c>
      <c r="WO11" s="73" t="str">
        <f>IF(AND('Job Sheet'!BK17="Standard Diamond",'Job Sheet'!BL17="1200 x 2450",'Job Sheet'!AB17="Custom Powdercoat"),1,"")</f>
        <v/>
      </c>
      <c r="WP11" s="73" t="str">
        <f>IF(AND('Job Sheet'!BK17="Decorative Diamond",'Job Sheet'!BL17="770 x 2050",'Job Sheet'!AB17="APO Grey"),1,"")</f>
        <v/>
      </c>
      <c r="WQ11" s="73" t="str">
        <f>IF(AND('Job Sheet'!BK17="Decorative Diamond",'Job Sheet'!BL17="770 x 2050",'Job Sheet'!AB17="White Birch"),1,"")</f>
        <v/>
      </c>
      <c r="WR11" s="73" t="str">
        <f>IF(AND('Job Sheet'!BK17="Decorative Diamond",'Job Sheet'!BL17="770 x 2050",'Job Sheet'!AB17="Black"),1,"")</f>
        <v/>
      </c>
      <c r="WS11" s="73" t="str">
        <f>IF(AND('Job Sheet'!BK17="Decorative Diamond",'Job Sheet'!BL17="770 x 2050",'Job Sheet'!AB17="Brown"),1,"")</f>
        <v/>
      </c>
      <c r="WT11" s="73" t="str">
        <f>IF(AND('Job Sheet'!BK17="Decorative Diamond",'Job Sheet'!BL17="770 x 2050",'Job Sheet'!AB17="Deep Ocean"),1,"")</f>
        <v/>
      </c>
      <c r="WU11" s="73" t="str">
        <f>IF(AND('Job Sheet'!BK17="Decorative Diamond",'Job Sheet'!BL17="770 x 2050",'Job Sheet'!AB17="Jasper"),1,"")</f>
        <v/>
      </c>
      <c r="WV11" s="73" t="str">
        <f>IF(AND('Job Sheet'!BK17="Decorative Diamond",'Job Sheet'!BL17="770 x 2050",'Job Sheet'!AB17="Paperbark"),1,"")</f>
        <v/>
      </c>
      <c r="WW11" s="73" t="str">
        <f>IF(AND('Job Sheet'!BK17="Decorative Diamond",'Job Sheet'!BL17="770 x 2050",'Job Sheet'!AB17="Mist Green"),1,"")</f>
        <v/>
      </c>
      <c r="WX11" s="73" t="str">
        <f>IF(AND('Job Sheet'!BK17="Decorative Diamond",'Job Sheet'!BL17="770 x 2050",'Job Sheet'!AB17="Primrose"),1,"")</f>
        <v/>
      </c>
      <c r="WY11" s="73" t="str">
        <f>IF(AND('Job Sheet'!BK17="Decorative Diamond",'Job Sheet'!BL17="770 x 2050",'Job Sheet'!AB17="Ultra Silver"),1,"")</f>
        <v/>
      </c>
      <c r="WZ11" s="73" t="str">
        <f>IF(AND('Job Sheet'!BK17="Decorative Diamond",'Job Sheet'!BL17="770 x 2050",'Job Sheet'!AB17="Woodland Grey(Green Tone)"),1,"")</f>
        <v/>
      </c>
      <c r="XA11" s="73" t="str">
        <f>IF(AND('Job Sheet'!BK17="Decorative Diamond",'Job Sheet'!BL17="770 x 2050",'Job Sheet'!AB17="Pearl White"),1,"")</f>
        <v/>
      </c>
      <c r="XB11" s="73" t="str">
        <f>IF(AND('Job Sheet'!BK17="Decorative Diamond",'Job Sheet'!BL17="770 x 2050",'Job Sheet'!AB17="Monument"),1,"")</f>
        <v/>
      </c>
      <c r="XC11" s="73" t="str">
        <f>IF(AND('Job Sheet'!BK17="Decorative Diamond",'Job Sheet'!BL17="770 x 2050",'Job Sheet'!AB17="Surfmist"),1,"")</f>
        <v/>
      </c>
      <c r="XD11" s="73" t="str">
        <f>IF(AND('Job Sheet'!BK17="Decorative Diamond",'Job Sheet'!BL17="770 x 2050",'Job Sheet'!AB17="Dune"),1,"")</f>
        <v/>
      </c>
      <c r="XE11" s="73" t="str">
        <f>IF(AND('Job Sheet'!BK17="Decorative Diamond",'Job Sheet'!BL17="770 x 2050",'Job Sheet'!AB17="Custom Powdercoat"),1,"")</f>
        <v/>
      </c>
      <c r="XF11" s="73" t="str">
        <f>IF(AND('Job Sheet'!BK17="Decorative Diamond",'Job Sheet'!BL17="900 x 2050",'Job Sheet'!AB17="APO Grey"),1,"")</f>
        <v/>
      </c>
      <c r="XG11" s="73" t="str">
        <f>IF(AND('Job Sheet'!BK17="Decorative Diamond",'Job Sheet'!BL17="900 x 2050",'Job Sheet'!AB17="White Birch"),1,"")</f>
        <v/>
      </c>
      <c r="XH11" s="73" t="str">
        <f>IF(AND('Job Sheet'!BK17="Decorative Diamond",'Job Sheet'!BL17="900 x 2050",'Job Sheet'!AB17="Black"),1,"")</f>
        <v/>
      </c>
      <c r="XI11" s="73" t="str">
        <f>IF(AND('Job Sheet'!BK17="Decorative Diamond",'Job Sheet'!BL17="900 x 2050",'Job Sheet'!AB17="Brown"),1,"")</f>
        <v/>
      </c>
      <c r="XJ11" s="73" t="str">
        <f>IF(AND('Job Sheet'!BK17="Decorative Diamond",'Job Sheet'!BL17="900 x 2050",'Job Sheet'!AB17="Deep Ocean"),1,"")</f>
        <v/>
      </c>
      <c r="XK11" s="73" t="str">
        <f>IF(AND('Job Sheet'!BK17="Decorative Diamond",'Job Sheet'!BL17="900 x 2050",'Job Sheet'!AB17="Jasper"),1,"")</f>
        <v/>
      </c>
      <c r="XL11" s="73" t="str">
        <f>IF(AND('Job Sheet'!BK17="Decorative Diamond",'Job Sheet'!BL17="900 x 2050",'Job Sheet'!AB17="Paperbark"),1,"")</f>
        <v/>
      </c>
      <c r="XM11" s="73" t="str">
        <f>IF(AND('Job Sheet'!BK17="Decorative Diamond",'Job Sheet'!BL17="900 x 2050",'Job Sheet'!AB17="Mist Green"),1,"")</f>
        <v/>
      </c>
      <c r="XN11" s="73" t="str">
        <f>IF(AND('Job Sheet'!BK17="Decorative Diamond",'Job Sheet'!BL17="900 x 2050",'Job Sheet'!AB17="Primrose"),1,"")</f>
        <v/>
      </c>
      <c r="XO11" s="73" t="str">
        <f>IF(AND('Job Sheet'!BK17="Decorative Diamond",'Job Sheet'!BL17="900 x 2050",'Job Sheet'!AB17="Ultra Silver"),1,"")</f>
        <v/>
      </c>
      <c r="XP11" s="73" t="str">
        <f>IF(AND('Job Sheet'!BK17="Decorative Diamond",'Job Sheet'!BL17="900 x 2050",'Job Sheet'!AB17="Woodland Grey(Green Tone)"),1,"")</f>
        <v/>
      </c>
      <c r="XQ11" s="73" t="str">
        <f>IF(AND('Job Sheet'!BK17="Decorative Diamond",'Job Sheet'!BL17="900 x 2050",'Job Sheet'!AB17="Pearl White"),1,"")</f>
        <v/>
      </c>
      <c r="XR11" s="73" t="str">
        <f>IF(AND('Job Sheet'!BK17="Decorative Diamond",'Job Sheet'!BL17="900 x 2050",'Job Sheet'!AB17="Monument"),1,"")</f>
        <v/>
      </c>
      <c r="XS11" s="73" t="str">
        <f>IF(AND('Job Sheet'!BK17="Decorative Diamond",'Job Sheet'!BL17="900 x 2050",'Job Sheet'!AB17="Surfmist"),1,"")</f>
        <v/>
      </c>
      <c r="XT11" s="73" t="str">
        <f>IF(AND('Job Sheet'!BK17="Decorative Diamond",'Job Sheet'!BL17="900 x 2050",'Job Sheet'!AB17="Dune"),1,"")</f>
        <v/>
      </c>
      <c r="XU11" s="73" t="str">
        <f>IF(AND('Job Sheet'!BK17="Decorative Diamond",'Job Sheet'!BL17="900 x 2050",'Job Sheet'!AB17="Custom Powdercoat"),1,"")</f>
        <v/>
      </c>
      <c r="XV11" s="73" t="str">
        <f>IF(AND('Job Sheet'!BK17="Decorative Diamond",'Job Sheet'!BL17="1150 x 2050",'Job Sheet'!AB17="APO Grey"),1,"")</f>
        <v/>
      </c>
      <c r="XW11" s="73" t="str">
        <f>IF(AND('Job Sheet'!BK17="Decorative Diamond",'Job Sheet'!BL17="1150 x 2050",'Job Sheet'!AB17="White Birch"),1,"")</f>
        <v/>
      </c>
      <c r="XX11" s="73" t="str">
        <f>IF(AND('Job Sheet'!BK17="Decorative Diamond",'Job Sheet'!BL17="1150 x 2050",'Job Sheet'!AB17="Black"),1,"")</f>
        <v/>
      </c>
      <c r="XY11" s="73" t="str">
        <f>IF(AND('Job Sheet'!BK17="Decorative Diamond",'Job Sheet'!BL17="1150 x 2050",'Job Sheet'!AB17="Brown"),1,"")</f>
        <v/>
      </c>
      <c r="XZ11" s="73" t="str">
        <f>IF(AND('Job Sheet'!BK17="Decorative Diamond",'Job Sheet'!BL17="1150 x 2050",'Job Sheet'!AB17="Deep Ocean"),1,"")</f>
        <v/>
      </c>
      <c r="YA11" s="73" t="str">
        <f>IF(AND('Job Sheet'!BK17="Decorative Diamond",'Job Sheet'!BL17="1150 x 2050",'Job Sheet'!AB17="Jasper"),1,"")</f>
        <v/>
      </c>
      <c r="YB11" s="73" t="str">
        <f>IF(AND('Job Sheet'!BK17="Decorative Diamond",'Job Sheet'!BL17="1150 x 2050",'Job Sheet'!AB17="Paperbark"),1,"")</f>
        <v/>
      </c>
      <c r="YC11" s="73" t="str">
        <f>IF(AND('Job Sheet'!BK17="Decorative Diamond",'Job Sheet'!BL17="1150 x 2050",'Job Sheet'!AB17="Mist Green"),1,"")</f>
        <v/>
      </c>
      <c r="YD11" s="73" t="str">
        <f>IF(AND('Job Sheet'!BK17="Decorative Diamond",'Job Sheet'!BL17="1150 x 2050",'Job Sheet'!AB17="Primrose"),1,"")</f>
        <v/>
      </c>
      <c r="YE11" s="73" t="str">
        <f>IF(AND('Job Sheet'!BK17="Decorative Diamond",'Job Sheet'!BL17="1150 x 2050",'Job Sheet'!AB17="Ultra Silver"),1,"")</f>
        <v/>
      </c>
      <c r="YF11" s="73" t="str">
        <f>IF(AND('Job Sheet'!BK17="Decorative Diamond",'Job Sheet'!BL17="1150 x 2050",'Job Sheet'!AB17="Woodland Grey(Green Tone)"),1,"")</f>
        <v/>
      </c>
      <c r="YG11" s="73" t="str">
        <f>IF(AND('Job Sheet'!BK17="Decorative Diamond",'Job Sheet'!BL17="1150 x 2050",'Job Sheet'!AB17="Pearl White"),1,"")</f>
        <v/>
      </c>
      <c r="YH11" s="73" t="str">
        <f>IF(AND('Job Sheet'!BK17="Decorative Diamond",'Job Sheet'!BL17="1150 x 2050",'Job Sheet'!AB17="Monument"),1,"")</f>
        <v/>
      </c>
      <c r="YI11" s="73" t="str">
        <f>IF(AND('Job Sheet'!BK17="Decorative Diamond",'Job Sheet'!BL17="1150 x 2050",'Job Sheet'!AB17="Surfmist"),1,"")</f>
        <v/>
      </c>
      <c r="YJ11" s="73" t="str">
        <f>IF(AND('Job Sheet'!BK17="Decorative Diamond",'Job Sheet'!BL17="1150 x 2050",'Job Sheet'!AB17="Dune"),1,"")</f>
        <v/>
      </c>
      <c r="YK11" s="73" t="str">
        <f>IF(AND('Job Sheet'!BK17="Decorative Diamond",'Job Sheet'!BL17="1150 x 2050",'Job Sheet'!AB17="Custom Powdercoat"),1,"")</f>
        <v/>
      </c>
      <c r="YL11" s="73" t="str">
        <f>IF(AND('Job Sheet'!AE17="DVA Mesh",'Job Sheet'!BR17="750 x 2000",'Job Sheet'!AF17="Apo Grey"),1,"")</f>
        <v/>
      </c>
      <c r="YM11" s="73" t="str">
        <f>IF(AND('Job Sheet'!AE17="DVA Mesh",'Job Sheet'!BR17="750 x 2000",'Job Sheet'!AF17="Birch White"),1,"")</f>
        <v/>
      </c>
      <c r="YN11" s="73" t="str">
        <f>IF(AND('Job Sheet'!AE17="DVA Mesh",'Job Sheet'!BR17="750 x 2000",'Job Sheet'!AF17="Black"),1,"")</f>
        <v/>
      </c>
      <c r="YO11" s="73" t="str">
        <f>IF(AND('Job Sheet'!AE17="DVA Mesh",'Job Sheet'!BR17="750 x 2000",'Job Sheet'!AF17="Brown"),1,"")</f>
        <v/>
      </c>
      <c r="YP11" s="73" t="str">
        <f>IF(AND('Job Sheet'!AE17="DVA Mesh",'Job Sheet'!BR17="750 x 2000",'Job Sheet'!AF17="Deep Ocean"),1,"")</f>
        <v/>
      </c>
      <c r="YQ11" s="73" t="str">
        <f>IF(AND('Job Sheet'!AE17="DVA Mesh",'Job Sheet'!BR17="750 x 2000",'Job Sheet'!AF17="Jasper"),1,"")</f>
        <v/>
      </c>
      <c r="YR11" s="73" t="str">
        <f>IF(AND('Job Sheet'!AE17="DVA Mesh",'Job Sheet'!BR17="750 x 2000",'Job Sheet'!AF17="Paperbark"),1,"")</f>
        <v/>
      </c>
      <c r="YS11" s="73" t="str">
        <f>IF(AND('Job Sheet'!AE17="DVA Mesh",'Job Sheet'!BR17="750 x 2000",'Job Sheet'!AF17="Mist Green"),1,"")</f>
        <v/>
      </c>
      <c r="YT11" s="73" t="str">
        <f>IF(AND('Job Sheet'!AE17="DVA Mesh",'Job Sheet'!BR17="750 x 2000",'Job Sheet'!AF17="Primrose"),1,"")</f>
        <v/>
      </c>
      <c r="YU11" s="73" t="str">
        <f>IF(AND('Job Sheet'!AE17="DVA Mesh",'Job Sheet'!BR17="750 x 2000",'Job Sheet'!AF17="Ultra Silver"),1,"")</f>
        <v/>
      </c>
      <c r="YV11" s="73" t="str">
        <f>IF(AND('Job Sheet'!AE17="DVA Mesh",'Job Sheet'!BR17="750 x 2000",'Job Sheet'!AF17="Woodland Grey(Green Tone)"),1,"")</f>
        <v/>
      </c>
      <c r="YW11" s="73" t="str">
        <f>IF(AND('Job Sheet'!AE17="DVA Mesh",'Job Sheet'!BR17="750 x 2000",'Job Sheet'!AF17="Pearl White"),1,"")</f>
        <v/>
      </c>
      <c r="YX11" s="73" t="str">
        <f>IF(AND('Job Sheet'!AE17="DVA Mesh",'Job Sheet'!BR17="750 x 2000",'Job Sheet'!AF17="Monument"),1,"")</f>
        <v/>
      </c>
      <c r="YY11" s="73" t="str">
        <f>IF(AND('Job Sheet'!AE17="DVA Mesh",'Job Sheet'!BR17="750 x 2000",'Job Sheet'!AF17="Surfmist"),1,"")</f>
        <v/>
      </c>
      <c r="YZ11" s="73" t="str">
        <f>IF(AND('Job Sheet'!AE17="DVA Mesh",'Job Sheet'!BR17="750 x 2000",'Job Sheet'!AF17="Dune"),1,"")</f>
        <v/>
      </c>
      <c r="ZA11" s="73" t="str">
        <f>IF(AND('Job Sheet'!AE17="DVA Mesh",'Job Sheet'!BR17="750 x 2000",'Job Sheet'!AF17="Custom Powdercoat"),1,"")</f>
        <v/>
      </c>
      <c r="ZB11" s="73" t="str">
        <f>IF(AND('Job Sheet'!AE17="DVA Mesh",'Job Sheet'!BR17="825 x 2000",'Job Sheet'!AF17="Apo Grey"),1,"")</f>
        <v/>
      </c>
      <c r="ZC11" s="73" t="str">
        <f>IF(AND('Job Sheet'!AE17="DVA Mesh",'Job Sheet'!BR17="825 x 2000",'Job Sheet'!AF17="Birch White"),1,"")</f>
        <v/>
      </c>
      <c r="ZD11" s="73" t="str">
        <f>IF(AND('Job Sheet'!AE17="DVA Mesh",'Job Sheet'!BR17="825 x 2000",'Job Sheet'!AF17="Black"),1,"")</f>
        <v/>
      </c>
      <c r="ZE11" s="73" t="str">
        <f>IF(AND('Job Sheet'!AE17="DVA Mesh",'Job Sheet'!BR17="825 x 2000",'Job Sheet'!AF17="Brown"),1,"")</f>
        <v/>
      </c>
      <c r="ZF11" s="73" t="str">
        <f>IF(AND('Job Sheet'!AE17="DVA Mesh",'Job Sheet'!BR17="825 x 2000",'Job Sheet'!AF17="Deep Ocean"),1,"")</f>
        <v/>
      </c>
      <c r="ZG11" s="73" t="str">
        <f>IF(AND('Job Sheet'!AE17="DVA Mesh",'Job Sheet'!BR17="825 x 2000",'Job Sheet'!AF17="Jasper"),1,"")</f>
        <v/>
      </c>
      <c r="ZH11" s="73" t="str">
        <f>IF(AND('Job Sheet'!AE17="DVA Mesh",'Job Sheet'!BR17="825 x 2000",'Job Sheet'!AF17="Paperbark"),1,"")</f>
        <v/>
      </c>
      <c r="ZI11" s="73" t="str">
        <f>IF(AND('Job Sheet'!AE17="DVA Mesh",'Job Sheet'!BR17="825 x 2000",'Job Sheet'!AF17="Mist Green"),1,"")</f>
        <v/>
      </c>
      <c r="ZJ11" s="73" t="str">
        <f>IF(AND('Job Sheet'!AE17="DVA Mesh",'Job Sheet'!BR17="825 x 2000",'Job Sheet'!AF17="Primrose"),1,"")</f>
        <v/>
      </c>
      <c r="ZK11" s="73" t="str">
        <f>IF(AND('Job Sheet'!AE17="DVA Mesh",'Job Sheet'!BR17="825 x 2000",'Job Sheet'!AF17="Ultra Silver"),1,"")</f>
        <v/>
      </c>
      <c r="ZL11" s="73" t="str">
        <f>IF(AND('Job Sheet'!AE17="DVA Mesh",'Job Sheet'!BR17="825 x 2000",'Job Sheet'!AF17="Woodland Grey(Green Tone)"),1,"")</f>
        <v/>
      </c>
      <c r="ZM11" s="73" t="str">
        <f>IF(AND('Job Sheet'!AE17="DVA Mesh",'Job Sheet'!BR17="825 x 2000",'Job Sheet'!AF17="Pearl White"),1,"")</f>
        <v/>
      </c>
      <c r="ZN11" s="73" t="str">
        <f>IF(AND('Job Sheet'!AE17="DVA Mesh",'Job Sheet'!BR17="825 x 2000",'Job Sheet'!AF17="Monument"),1,"")</f>
        <v/>
      </c>
      <c r="ZO11" s="73" t="str">
        <f>IF(AND('Job Sheet'!AE17="DVA Mesh",'Job Sheet'!BR17="825 x 2000",'Job Sheet'!AF17="Surfmist"),1,"")</f>
        <v/>
      </c>
      <c r="ZP11" s="73" t="str">
        <f>IF(AND('Job Sheet'!AE17="DVA Mesh",'Job Sheet'!BR17="825 x 2000",'Job Sheet'!AF17="Dune"),1,"")</f>
        <v/>
      </c>
      <c r="ZQ11" s="73" t="str">
        <f>IF(AND('Job Sheet'!AE17="DVA Mesh",'Job Sheet'!BR17="825 x 2000",'Job Sheet'!AF17="Custom Powdercoat"),1,"")</f>
        <v/>
      </c>
      <c r="ZR11" s="73" t="str">
        <f>IF(AND('Job Sheet'!AE17="DVA Mesh",'Job Sheet'!BR17="900 x 2200",'Job Sheet'!AF17="Apo Grey"),1,"")</f>
        <v/>
      </c>
      <c r="ZS11" s="73" t="str">
        <f>IF(AND('Job Sheet'!AE17="DVA Mesh",'Job Sheet'!BR17="900 x 2200",'Job Sheet'!AF17="Birch White"),1,"")</f>
        <v/>
      </c>
      <c r="ZT11" s="73" t="str">
        <f>IF(AND('Job Sheet'!AE17="DVA Mesh",'Job Sheet'!BR17="900 x 2200",'Job Sheet'!AF17="Black"),1,"")</f>
        <v/>
      </c>
      <c r="ZU11" s="73" t="str">
        <f>IF(AND('Job Sheet'!AE17="DVA Mesh",'Job Sheet'!BR17="900 x 2200",'Job Sheet'!AF17="Brown"),1,"")</f>
        <v/>
      </c>
      <c r="ZV11" s="73" t="str">
        <f>IF(AND('Job Sheet'!AE17="DVA Mesh",'Job Sheet'!BR17="900 x 2200",'Job Sheet'!AF17="Deep Ocean"),1,"")</f>
        <v/>
      </c>
      <c r="ZW11" s="73" t="str">
        <f>IF(AND('Job Sheet'!AE17="DVA Mesh",'Job Sheet'!BR17="900 x 2200",'Job Sheet'!AF17="Jasper"),1,"")</f>
        <v/>
      </c>
      <c r="ZX11" s="73" t="str">
        <f>IF(AND('Job Sheet'!AE17="DVA Mesh",'Job Sheet'!BR17="900 x 2200",'Job Sheet'!AF17="Paperbark"),1,"")</f>
        <v/>
      </c>
      <c r="ZY11" s="73" t="str">
        <f>IF(AND('Job Sheet'!AE17="DVA Mesh",'Job Sheet'!BR17="900 x 2200",'Job Sheet'!AF17="Mist Green"),1,"")</f>
        <v/>
      </c>
      <c r="ZZ11" s="73" t="str">
        <f>IF(AND('Job Sheet'!AE17="DVA Mesh",'Job Sheet'!BR17="900 x 2200",'Job Sheet'!AF17="Primrose"),1,"")</f>
        <v/>
      </c>
      <c r="AAA11" s="73" t="str">
        <f>IF(AND('Job Sheet'!AE17="DVA Mesh",'Job Sheet'!BR17="900 x 2200",'Job Sheet'!AF17="Ultra Silver"),1,"")</f>
        <v/>
      </c>
      <c r="AAB11" s="73" t="str">
        <f>IF(AND('Job Sheet'!AE17="DVA Mesh",'Job Sheet'!BR17="900 x 2200",'Job Sheet'!AF17="Woodland Grey(Green Tone)"),1,"")</f>
        <v/>
      </c>
      <c r="AAC11" s="73" t="str">
        <f>IF(AND('Job Sheet'!AE17="DVA Mesh",'Job Sheet'!BR17="900 x 2200",'Job Sheet'!AF17="Pearl White"),1,"")</f>
        <v/>
      </c>
      <c r="AAD11" s="73" t="str">
        <f>IF(AND('Job Sheet'!AE17="DVA Mesh",'Job Sheet'!BR17="900 x 2200",'Job Sheet'!AF17="Monument"),1,"")</f>
        <v/>
      </c>
      <c r="AAE11" s="73" t="str">
        <f>IF(AND('Job Sheet'!AE17="DVA Mesh",'Job Sheet'!BR17="900 x 2200",'Job Sheet'!AF17="Surfmist"),1,"")</f>
        <v/>
      </c>
      <c r="AAF11" s="73" t="str">
        <f>IF(AND('Job Sheet'!AE17="DVA Mesh",'Job Sheet'!BR17="900 x 2200",'Job Sheet'!AF17="Dune"),1,"")</f>
        <v/>
      </c>
      <c r="AAG11" s="73" t="str">
        <f>IF(AND('Job Sheet'!AE17="DVA Mesh",'Job Sheet'!BR17="900 x 2200",'Job Sheet'!AF17="Custom Powdercoat"),1,"")</f>
        <v/>
      </c>
      <c r="AAH11" s="73" t="str">
        <f>IF(AND('Job Sheet'!AE17="DVA Mesh",'Job Sheet'!BR17="900 x 2400",'Job Sheet'!AF17="Apo Grey"),1,"")</f>
        <v/>
      </c>
      <c r="AAI11" s="73" t="str">
        <f>IF(AND('Job Sheet'!AE17="DVA Mesh",'Job Sheet'!BR17="900 x 2400",'Job Sheet'!AF17="Birch White"),1,"")</f>
        <v/>
      </c>
      <c r="AAJ11" s="73" t="str">
        <f>IF(AND('Job Sheet'!AE17="DVA Mesh",'Job Sheet'!BR17="900 x 2400",'Job Sheet'!AF17="Black"),1,"")</f>
        <v/>
      </c>
      <c r="AAK11" s="73" t="str">
        <f>IF(AND('Job Sheet'!AE17="DVA Mesh",'Job Sheet'!BR17="900 x 2400",'Job Sheet'!AF17="Brown"),1,"")</f>
        <v/>
      </c>
      <c r="AAL11" s="73" t="str">
        <f>IF(AND('Job Sheet'!AE17="DVA Mesh",'Job Sheet'!BR17="900 x 2400",'Job Sheet'!AF17="Deep Ocean"),1,"")</f>
        <v/>
      </c>
      <c r="AAM11" s="73" t="str">
        <f>IF(AND('Job Sheet'!AE17="DVA Mesh",'Job Sheet'!BR17="900 x 2400",'Job Sheet'!AF17="Jasper"),1,"")</f>
        <v/>
      </c>
      <c r="AAN11" s="73" t="str">
        <f>IF(AND('Job Sheet'!AE17="DVA Mesh",'Job Sheet'!BR17="900 x 2400",'Job Sheet'!AF17="Paperbark"),1,"")</f>
        <v/>
      </c>
      <c r="AAO11" s="73" t="str">
        <f>IF(AND('Job Sheet'!AE17="DVA Mesh",'Job Sheet'!BR17="900 x 2400",'Job Sheet'!AF17="Mist Green"),1,"")</f>
        <v/>
      </c>
      <c r="AAP11" s="73" t="str">
        <f>IF(AND('Job Sheet'!AE17="DVA Mesh",'Job Sheet'!BR17="900 x 2400",'Job Sheet'!AF17="Primrose"),1,"")</f>
        <v/>
      </c>
      <c r="AAQ11" s="73" t="str">
        <f>IF(AND('Job Sheet'!AE17="DVA Mesh",'Job Sheet'!BR17="900 x 2400",'Job Sheet'!AF17="Ultra Silver"),1,"")</f>
        <v/>
      </c>
      <c r="AAR11" s="73" t="str">
        <f>IF(AND('Job Sheet'!AE17="DVA Mesh",'Job Sheet'!BR17="900 x 2400",'Job Sheet'!AF17="Woodland Grey(Green Tone)"),1,"")</f>
        <v/>
      </c>
      <c r="AAS11" s="73" t="str">
        <f>IF(AND('Job Sheet'!AE17="DVA Mesh",'Job Sheet'!BR17="900 x 2400",'Job Sheet'!AF17="Pearl White"),1,"")</f>
        <v/>
      </c>
      <c r="AAT11" s="73" t="str">
        <f>IF(AND('Job Sheet'!AE17="DVA Mesh",'Job Sheet'!BR17="900 x 2400",'Job Sheet'!AF17="Monument"),1,"")</f>
        <v/>
      </c>
      <c r="AAU11" s="73" t="str">
        <f>IF(AND('Job Sheet'!AE17="DVA Mesh",'Job Sheet'!BR17="900 x 2400",'Job Sheet'!AF17="Surfmist"),1,"")</f>
        <v/>
      </c>
      <c r="AAV11" s="73" t="str">
        <f>IF(AND('Job Sheet'!AE17="DVA Mesh",'Job Sheet'!BR17="900 x 2400",'Job Sheet'!AF17="Dune"),1,"")</f>
        <v/>
      </c>
      <c r="AAW11" s="73" t="str">
        <f>IF(AND('Job Sheet'!AE17="DVA Mesh",'Job Sheet'!BR17="900 x 2400",'Job Sheet'!AF17="Custom Powdercoat"),1,"")</f>
        <v/>
      </c>
      <c r="AAX11" s="73" t="str">
        <f>IF(AND('Job Sheet'!AE17="DVA Mesh",'Job Sheet'!BR17="1200 x 2200",'Job Sheet'!AF17="Apo Grey"),1,"")</f>
        <v/>
      </c>
      <c r="AAY11" s="73" t="str">
        <f>IF(AND('Job Sheet'!AE17="DVA Mesh",'Job Sheet'!BR17="1200 x 2200",'Job Sheet'!AF17="Birch White"),1,"")</f>
        <v/>
      </c>
      <c r="AAZ11" s="73" t="str">
        <f>IF(AND('Job Sheet'!AE17="DVA Mesh",'Job Sheet'!BR17="1200 x 2200",'Job Sheet'!AF17="Black"),1,"")</f>
        <v/>
      </c>
      <c r="ABA11" s="73" t="str">
        <f>IF(AND('Job Sheet'!AE17="DVA Mesh",'Job Sheet'!BR17="1200 x 2200",'Job Sheet'!AF17="Brown"),1,"")</f>
        <v/>
      </c>
      <c r="ABB11" s="73" t="str">
        <f>IF(AND('Job Sheet'!AE17="DVA Mesh",'Job Sheet'!BR17="1200 x 2200",'Job Sheet'!AF17="Deep Ocean"),1,"")</f>
        <v/>
      </c>
      <c r="ABC11" s="73" t="str">
        <f>IF(AND('Job Sheet'!AE17="DVA Mesh",'Job Sheet'!BR17="1200 x 2200",'Job Sheet'!AF17="Jasper"),1,"")</f>
        <v/>
      </c>
      <c r="ABD11" s="73" t="str">
        <f>IF(AND('Job Sheet'!AE17="DVA Mesh",'Job Sheet'!BR17="1200 x 2200",'Job Sheet'!AF17="Paperbark"),1,"")</f>
        <v/>
      </c>
      <c r="ABE11" s="73" t="str">
        <f>IF(AND('Job Sheet'!AE17="DVA Mesh",'Job Sheet'!BR17="1200 x 2200",'Job Sheet'!AF17="Mist Green"),1,"")</f>
        <v/>
      </c>
      <c r="ABF11" s="73" t="str">
        <f>IF(AND('Job Sheet'!AE17="DVA Mesh",'Job Sheet'!BR17="1200 x 2200",'Job Sheet'!AF17="Primrose"),1,"")</f>
        <v/>
      </c>
      <c r="ABG11" s="73" t="str">
        <f>IF(AND('Job Sheet'!AE17="DVA Mesh",'Job Sheet'!BR17="1200 x 2200",'Job Sheet'!AF17="Ultra Silver"),1,"")</f>
        <v/>
      </c>
      <c r="ABH11" s="73" t="str">
        <f>IF(AND('Job Sheet'!AE17="DVA Mesh",'Job Sheet'!BR17="1200 x 2200",'Job Sheet'!AF17="Woodland Grey(Green Tone)"),1,"")</f>
        <v/>
      </c>
      <c r="ABI11" s="73" t="str">
        <f>IF(AND('Job Sheet'!AE17="DVA Mesh",'Job Sheet'!BR17="1200 x 2200",'Job Sheet'!AF17="Pearl White"),1,"")</f>
        <v/>
      </c>
      <c r="ABJ11" s="73" t="str">
        <f>IF(AND('Job Sheet'!AE17="DVA Mesh",'Job Sheet'!BR17="1200 x 2200",'Job Sheet'!AF17="Monument"),1,"")</f>
        <v/>
      </c>
      <c r="ABK11" s="73" t="str">
        <f>IF(AND('Job Sheet'!AE17="DVA Mesh",'Job Sheet'!BR17="1200 x 2200",'Job Sheet'!AF17="Surfmist"),1,"")</f>
        <v/>
      </c>
      <c r="ABL11" s="73" t="str">
        <f>IF(AND('Job Sheet'!AE17="DVA Mesh",'Job Sheet'!BR17="1200 x 2200",'Job Sheet'!AF17="Dune"),1,"")</f>
        <v/>
      </c>
      <c r="ABM11" s="73" t="str">
        <f>IF(AND('Job Sheet'!AE17="DVA Mesh",'Job Sheet'!BR17="1200 x 2200",'Job Sheet'!AF17="Custom Powdercoat"),1,"")</f>
        <v/>
      </c>
      <c r="ABN11" s="73" t="str">
        <f>IF(AND('Job Sheet'!AE17="DVA Mesh",'Job Sheet'!BR17="1200 x 2400",'Job Sheet'!AF17="Apo Grey"),1,"")</f>
        <v/>
      </c>
      <c r="ABO11" s="73" t="str">
        <f>IF(AND('Job Sheet'!AE17="DVA Mesh",'Job Sheet'!BR17="1200 x 2400",'Job Sheet'!AF17="Birch White"),1,"")</f>
        <v/>
      </c>
      <c r="ABP11" s="73" t="str">
        <f>IF(AND('Job Sheet'!AE17="DVA Mesh",'Job Sheet'!BR17="1200 x 2400",'Job Sheet'!AF17="Black"),1,"")</f>
        <v/>
      </c>
      <c r="ABQ11" s="73" t="str">
        <f>IF(AND('Job Sheet'!AE17="DVA Mesh",'Job Sheet'!BR17="1200 x 2400",'Job Sheet'!AF17="Brown"),1,"")</f>
        <v/>
      </c>
      <c r="ABR11" s="73" t="str">
        <f>IF(AND('Job Sheet'!AE17="DVA Mesh",'Job Sheet'!BR17="1200 x 2400",'Job Sheet'!AF17="Deep Ocean"),1,"")</f>
        <v/>
      </c>
      <c r="ABS11" s="73" t="str">
        <f>IF(AND('Job Sheet'!AE17="DVA Mesh",'Job Sheet'!BR17="1200 x 2400",'Job Sheet'!AF17="Jasper"),1,"")</f>
        <v/>
      </c>
      <c r="ABT11" s="73" t="str">
        <f>IF(AND('Job Sheet'!AE17="DVA Mesh",'Job Sheet'!BR17="1200 x 2400",'Job Sheet'!AF17="Paperbark"),1,"")</f>
        <v/>
      </c>
      <c r="ABU11" s="73" t="str">
        <f>IF(AND('Job Sheet'!AE17="DVA Mesh",'Job Sheet'!BR17="1200 x 2400",'Job Sheet'!AF17="Mist Green"),1,"")</f>
        <v/>
      </c>
      <c r="ABV11" s="73" t="str">
        <f>IF(AND('Job Sheet'!AE17="DVA Mesh",'Job Sheet'!BR17="1200 x 2400",'Job Sheet'!AF17="Primrose"),1,"")</f>
        <v/>
      </c>
      <c r="ABW11" s="73" t="str">
        <f>IF(AND('Job Sheet'!AE17="DVA Mesh",'Job Sheet'!BR17="1200 x 2400",'Job Sheet'!AF17="Ultra Silver"),1,"")</f>
        <v/>
      </c>
      <c r="ABX11" s="73" t="str">
        <f>IF(AND('Job Sheet'!AE17="DVA Mesh",'Job Sheet'!BR17="1200 x 2400",'Job Sheet'!AF17="Woodland Grey(Green Tone)"),1,"")</f>
        <v/>
      </c>
      <c r="ABY11" s="73" t="str">
        <f>IF(AND('Job Sheet'!AE17="DVA Mesh",'Job Sheet'!BR17="1200 x 2400",'Job Sheet'!AF17="Pearl White"),1,"")</f>
        <v/>
      </c>
      <c r="ABZ11" s="73" t="str">
        <f>IF(AND('Job Sheet'!AE17="DVA Mesh",'Job Sheet'!BR17="1200 x 2400",'Job Sheet'!AF17="Monument"),1,"")</f>
        <v/>
      </c>
      <c r="ACA11" s="73" t="str">
        <f>IF(AND('Job Sheet'!AE17="DVA Mesh",'Job Sheet'!BR17="1200 x 2400",'Job Sheet'!AF17="Surfmist"),1,"")</f>
        <v/>
      </c>
      <c r="ACB11" s="73" t="str">
        <f>IF(AND('Job Sheet'!AE17="DVA Mesh",'Job Sheet'!BR17="1200 x 2400",'Job Sheet'!AF17="Dune"),1,"")</f>
        <v/>
      </c>
      <c r="ACC11" s="73" t="str">
        <f>IF(AND('Job Sheet'!AE17="DVA Mesh",'Job Sheet'!BR17="1200 x 2400",'Job Sheet'!AF17="Custom Powdercoat"),1,"")</f>
        <v/>
      </c>
      <c r="ACD11" s="73" t="str">
        <f>IF('Job Sheet'!AE17="Fibreglass Mesh",CONCATENATE('Job Sheet'!BH17," x ",'Job Sheet'!BI17),"")</f>
        <v/>
      </c>
      <c r="ACE11" s="73" t="str">
        <f>IF('Job Sheet'!AE17="Aluminium Mesh",CONCATENATE('Job Sheet'!BH17," x ",'Job Sheet'!BI17),"")</f>
        <v/>
      </c>
      <c r="ACF11" s="73" t="str">
        <f>IF('Job Sheet'!AE17="Tuff Mesh",CONCATENATE('Job Sheet'!BH17," x ",'Job Sheet'!BI17),"")</f>
        <v/>
      </c>
      <c r="ACI11" s="73" t="str">
        <f>IF('Job Sheet'!AE17="Pet Mesh",CONCATENATE('Job Sheet'!BH17," x ",'Job Sheet'!BI17),"")</f>
        <v/>
      </c>
      <c r="ACJ11" s="73"/>
      <c r="ACK11" t="str">
        <f>IF(Guillotine!F18="SP13AB Apo Grey",1,"")</f>
        <v/>
      </c>
      <c r="ACL11" t="str">
        <f>IF(Guillotine!F18="SP13AB White Birch",1,"")</f>
        <v/>
      </c>
      <c r="ACM11" t="str">
        <f>IF(Guillotine!F18="SP13AB Black",1,"")</f>
        <v/>
      </c>
      <c r="ACN11" t="str">
        <f>IF(Guillotine!F18="SP13AB Brown",1,"")</f>
        <v/>
      </c>
      <c r="ACO11" t="str">
        <f>IF(Guillotine!F18="SP13AB Deep Ocean",1,"")</f>
        <v/>
      </c>
      <c r="ACP11" t="str">
        <f>IF(Guillotine!F18="SP13AB Jasper",1,"")</f>
        <v/>
      </c>
      <c r="ACQ11" t="str">
        <f>IF(Guillotine!F18="SP13AB Paperbark",1,"")</f>
        <v/>
      </c>
      <c r="ACR11" t="str">
        <f>IF(Guillotine!F18="SP13AB Mist Green",1,"")</f>
        <v/>
      </c>
      <c r="ACS11" t="str">
        <f>IF(Guillotine!F18="SP13AB Primrose",1,"")</f>
        <v/>
      </c>
      <c r="ACT11" t="str">
        <f>IF(Guillotine!F18="SP13AB Ultra Silver",1,"")</f>
        <v/>
      </c>
      <c r="ACU11" t="str">
        <f>IF(Guillotine!F18="SP13AB Woodland Grey(Green Tone)",1,"")</f>
        <v/>
      </c>
      <c r="ACV11" t="str">
        <f>IF(Guillotine!F18="SP13AB Pearl White",1,"")</f>
        <v/>
      </c>
      <c r="ACW11" t="str">
        <f>IF(Guillotine!F18="SP13AB Monument",1,"")</f>
        <v/>
      </c>
      <c r="ACX11" t="str">
        <f>IF(Guillotine!F18="SP13AB Surfmist",1,"")</f>
        <v/>
      </c>
      <c r="ACY11" t="str">
        <f>IF(Guillotine!F18="SP13AB Dune",1,"")</f>
        <v/>
      </c>
      <c r="ACZ11" t="str">
        <f>IF(Guillotine!F18="SP13AB Powdercoat",1,"")</f>
        <v/>
      </c>
      <c r="ADA11" t="str">
        <f>IF(Guillotine!F18="SP13BB Apo Grey",1,"")</f>
        <v/>
      </c>
      <c r="ADB11" t="str">
        <f>IF(Guillotine!F18="SP13BB White Birch",1,"")</f>
        <v/>
      </c>
      <c r="ADC11" t="str">
        <f>IF(Guillotine!F18="SP13BB Black",1,"")</f>
        <v/>
      </c>
      <c r="ADD11" t="str">
        <f>IF(Guillotine!F18="SP13BB Brown",1,"")</f>
        <v/>
      </c>
      <c r="ADE11" t="str">
        <f>IF(Guillotine!F18="SP13BB Deep Ocean",1,"")</f>
        <v/>
      </c>
      <c r="ADF11" t="str">
        <f>IF(Guillotine!F18="SP13BB Jasper",1,"")</f>
        <v/>
      </c>
      <c r="ADG11" t="str">
        <f>IF(Guillotine!F18="SP13BB Paperbark",1,"")</f>
        <v/>
      </c>
      <c r="ADH11" t="str">
        <f>IF(Guillotine!F18="SP13BB Mist Green",1,"")</f>
        <v/>
      </c>
      <c r="ADI11" t="str">
        <f>IF(Guillotine!F18="SP13BB Primrose",1,"")</f>
        <v/>
      </c>
      <c r="ADJ11" t="str">
        <f>IF(Guillotine!F18="SP13BB Ultra Silver",1,"")</f>
        <v/>
      </c>
      <c r="ADK11" t="str">
        <f>IF(Guillotine!F18="SP13BB Woodland Grey(Green Tone)",1,"")</f>
        <v/>
      </c>
      <c r="ADL11" t="str">
        <f>IF(Guillotine!F18="SP13BB Pearl White",1,"")</f>
        <v/>
      </c>
      <c r="ADM11" t="str">
        <f>IF(Guillotine!F18="SP13BB Monument",1,"")</f>
        <v/>
      </c>
      <c r="ADN11" t="str">
        <f>IF(Guillotine!F18="SP13BB Surfmist",1,"")</f>
        <v/>
      </c>
      <c r="ADO11" t="str">
        <f>IF(Guillotine!F18="SP13BB Dune",1,"")</f>
        <v/>
      </c>
      <c r="ADP11" t="str">
        <f>IF(Guillotine!F18="SP13BB Powdercoat",1,"")</f>
        <v/>
      </c>
      <c r="ADQ11" t="str">
        <f>IF(Guillotine!F18="SP14AB Apo Grey",1,"")</f>
        <v/>
      </c>
      <c r="ADR11" t="str">
        <f>IF(Guillotine!F18="SP14AB White Birch",1,"")</f>
        <v/>
      </c>
      <c r="ADS11" t="str">
        <f>IF(Guillotine!F18="SP14AB Black",1,"")</f>
        <v/>
      </c>
      <c r="ADT11" t="str">
        <f>IF(Guillotine!F18="SP14AB Brown",1,"")</f>
        <v/>
      </c>
      <c r="ADU11" t="str">
        <f>IF(Guillotine!F18="SP14AB Deep Ocean",1,"")</f>
        <v/>
      </c>
      <c r="ADV11" t="str">
        <f>IF(Guillotine!F18="SP14AB Jasper",1,"")</f>
        <v/>
      </c>
      <c r="ADW11" t="str">
        <f>IF(Guillotine!F18="SP14AB Paperbark",1,"")</f>
        <v/>
      </c>
      <c r="ADX11" t="str">
        <f>IF(Guillotine!F18="SP14AB Mist Green",1,"")</f>
        <v/>
      </c>
      <c r="ADY11" t="str">
        <f>IF(Guillotine!F18="SP14AB Primrose",1,"")</f>
        <v/>
      </c>
      <c r="ADZ11" t="str">
        <f>IF(Guillotine!F18="SP14AB Ultra Silver",1,"")</f>
        <v/>
      </c>
      <c r="AEA11" t="str">
        <f>IF(Guillotine!F18="SP14AB Woodland Grey(Green Tone)",1,"")</f>
        <v/>
      </c>
      <c r="AEB11" t="str">
        <f>IF(Guillotine!F18="SP14AB Pearl White",1,"")</f>
        <v/>
      </c>
      <c r="AEC11" t="str">
        <f>IF(Guillotine!F18="SP14AB Monument",1,"")</f>
        <v/>
      </c>
      <c r="AED11" t="str">
        <f>IF(Guillotine!F18="SP14AB Surfmist",1,"")</f>
        <v/>
      </c>
      <c r="AEE11" t="str">
        <f>IF(Guillotine!F18="SP14AB Dune",1,"")</f>
        <v/>
      </c>
      <c r="AEF11" t="str">
        <f>IF(Guillotine!F18="SP14AB Powdercoat",1,"")</f>
        <v/>
      </c>
      <c r="AEG11" t="str">
        <f>IF(Guillotine!F18="SP17AB Apo Grey",1,"")</f>
        <v/>
      </c>
      <c r="AEH11" t="str">
        <f>IF(Guillotine!F18="SP17AB White Birch",1,"")</f>
        <v/>
      </c>
      <c r="AEI11" t="str">
        <f>IF(Guillotine!F18="SP17AB Black",1,"")</f>
        <v/>
      </c>
      <c r="AEJ11" t="str">
        <f>IF(Guillotine!F18="SP17AB Brown",1,"")</f>
        <v/>
      </c>
      <c r="AEK11" t="str">
        <f>IF(Guillotine!F18="SP17AB Deep Ocean",1,"")</f>
        <v/>
      </c>
      <c r="AEL11" t="str">
        <f>IF(Guillotine!F18="SP17AB Jasper",1,"")</f>
        <v/>
      </c>
      <c r="AEM11" t="str">
        <f>IF(Guillotine!F18="SP17AB Paperbark",1,"")</f>
        <v/>
      </c>
      <c r="AEN11" t="str">
        <f>IF(Guillotine!F18="SP17AB Mist Green",1,"")</f>
        <v/>
      </c>
      <c r="AEO11" t="str">
        <f>IF(Guillotine!F18="SP17AB Primrose",1,"")</f>
        <v/>
      </c>
      <c r="AEP11" t="str">
        <f>IF(Guillotine!F18="SP17AB Ultra Silver",1,"")</f>
        <v/>
      </c>
      <c r="AEQ11" t="str">
        <f>IF(Guillotine!F18="SP17AB Woodland Grey(Green Tone)",1,"")</f>
        <v/>
      </c>
      <c r="AER11" t="str">
        <f>IF(Guillotine!F18="SP17AB Pearl White",1,"")</f>
        <v/>
      </c>
      <c r="AES11" t="str">
        <f>IF(Guillotine!F18="SP17AB Monument",1,"")</f>
        <v/>
      </c>
      <c r="AET11" t="str">
        <f>IF(Guillotine!F18="SP17AB Surfmist",1,"")</f>
        <v/>
      </c>
      <c r="AEU11" t="str">
        <f>IF(Guillotine!F18="SP17AB Dune",1,"")</f>
        <v/>
      </c>
      <c r="AEV11" t="str">
        <f>IF(Guillotine!F18="SP17AB Powdercoat",1,"")</f>
        <v/>
      </c>
      <c r="AEW11" t="str">
        <f>IF(Guillotine!F18="SP27AB Apo Grey",1,"")</f>
        <v/>
      </c>
      <c r="AEX11" t="str">
        <f>IF(Guillotine!F18="SP27AB White Birch",1,"")</f>
        <v/>
      </c>
      <c r="AEY11" t="str">
        <f>IF(Guillotine!F18="SP27AB Black",1,"")</f>
        <v/>
      </c>
      <c r="AEZ11" t="str">
        <f>IF(Guillotine!F18="SP27AB Brown",1,"")</f>
        <v/>
      </c>
      <c r="AFA11" t="str">
        <f>IF(Guillotine!F18="SP27AB Deep Ocean",1,"")</f>
        <v/>
      </c>
      <c r="AFB11" t="str">
        <f>IF(Guillotine!F18="SP27AB Jasper",1,"")</f>
        <v/>
      </c>
      <c r="AFC11" t="str">
        <f>IF(Guillotine!F18="SP27AB Paperbark",1,"")</f>
        <v/>
      </c>
      <c r="AFD11" t="str">
        <f>IF(Guillotine!F18="SP27AB Mist Green",1,"")</f>
        <v/>
      </c>
      <c r="AFE11" t="str">
        <f>IF(Guillotine!F18="SP27AB Primrose",1,"")</f>
        <v/>
      </c>
      <c r="AFF11" t="str">
        <f>IF(Guillotine!F18="SP27AB Ultra Silver",1,"")</f>
        <v/>
      </c>
      <c r="AFG11" t="str">
        <f>IF(Guillotine!F18="SP27AB Woodland Grey(Green Tone)",1,"")</f>
        <v/>
      </c>
      <c r="AFH11" t="str">
        <f>IF(Guillotine!F18="SP27AB Pearl White",1,"")</f>
        <v/>
      </c>
      <c r="AFI11" t="str">
        <f>IF(Guillotine!F18="SP27AB Monument",1,"")</f>
        <v/>
      </c>
      <c r="AFJ11" t="str">
        <f>IF(Guillotine!F18="SP27AB Surfmist",1,"")</f>
        <v/>
      </c>
      <c r="AFK11" t="str">
        <f>IF(Guillotine!F18="SP27AB Dune",1,"")</f>
        <v/>
      </c>
      <c r="AFL11" t="str">
        <f>IF(Guillotine!F18="SP27AB Powdercoat",1,"")</f>
        <v/>
      </c>
      <c r="AFM11" t="str">
        <f>IF(Guillotine!F18="SP29AB Apo Grey",1,"")</f>
        <v/>
      </c>
      <c r="AFN11" t="str">
        <f>IF(Guillotine!F18="SP29AB White Birch",1,"")</f>
        <v/>
      </c>
      <c r="AFO11" t="str">
        <f>IF(Guillotine!F18="SP29AB Black",1,"")</f>
        <v/>
      </c>
      <c r="AFP11" t="str">
        <f>IF(Guillotine!F18="SP29AB Brown",1,"")</f>
        <v/>
      </c>
      <c r="AFQ11" t="str">
        <f>IF(Guillotine!F18="SP29AB Deep Ocean",1,"")</f>
        <v/>
      </c>
      <c r="AFR11" t="str">
        <f>IF(Guillotine!F18="SP29AB Jasper",1,"")</f>
        <v/>
      </c>
      <c r="AFS11" t="str">
        <f>IF(Guillotine!F18="SP29AB Paperbark",1,"")</f>
        <v/>
      </c>
      <c r="AFT11" t="str">
        <f>IF(Guillotine!F18="SP29AB Mist Green",1,"")</f>
        <v/>
      </c>
      <c r="AFU11" t="str">
        <f>IF(Guillotine!F18="SP29AB Primrose",1,"")</f>
        <v/>
      </c>
      <c r="AFV11" t="str">
        <f>IF(Guillotine!F18="SP29AB Ultra Silver",1,"")</f>
        <v/>
      </c>
      <c r="AFW11" t="str">
        <f>IF(Guillotine!F18="SP29AB Woodland Grey(Green Tone)",1,"")</f>
        <v/>
      </c>
      <c r="AFX11" t="str">
        <f>IF(Guillotine!F18="SP29AB Pearl White",1,"")</f>
        <v/>
      </c>
      <c r="AFY11" t="str">
        <f>IF(Guillotine!F18="SP29AB Monument",1,"")</f>
        <v/>
      </c>
      <c r="AFZ11" t="str">
        <f>IF(Guillotine!F18="SP29AB Surfmist",1,"")</f>
        <v/>
      </c>
      <c r="AGA11" t="str">
        <f>IF(Guillotine!F18="SP29AB Dune",1,"")</f>
        <v/>
      </c>
      <c r="AGB11" t="str">
        <f>IF(Guillotine!F18="SP29AB Powdercoat",1,"")</f>
        <v/>
      </c>
      <c r="AGC11" t="str">
        <f>IF(Guillotine!F18="SP34AB Apo Grey",1,"")</f>
        <v/>
      </c>
      <c r="AGD11" t="str">
        <f>IF(Guillotine!F18="SP34AB White Birch",1,"")</f>
        <v/>
      </c>
      <c r="AGE11" t="str">
        <f>IF(Guillotine!F18="SP34AB Black",1,"")</f>
        <v/>
      </c>
      <c r="AGF11" t="str">
        <f>IF(Guillotine!F18="SP34AB Brown",1,"")</f>
        <v/>
      </c>
      <c r="AGG11" t="str">
        <f>IF(Guillotine!F18="SP34AB Deep Ocean",1,"")</f>
        <v/>
      </c>
      <c r="AGH11" t="str">
        <f>IF(Guillotine!F18="SP34AB Jasper",1,"")</f>
        <v/>
      </c>
      <c r="AGI11" t="str">
        <f>IF(Guillotine!F18="SP34AB Paperbark",1,"")</f>
        <v/>
      </c>
      <c r="AGJ11" t="str">
        <f>IF(Guillotine!F18="SP34AB Mist Green",1,"")</f>
        <v/>
      </c>
      <c r="AGK11" t="str">
        <f>IF(Guillotine!F18="SP34AB Primrose",1,"")</f>
        <v/>
      </c>
      <c r="AGL11" t="str">
        <f>IF(Guillotine!F18="SP34AB Ultra Silver",1,"")</f>
        <v/>
      </c>
      <c r="AGM11" t="str">
        <f>IF(Guillotine!F18="SP34AB Woodland Grey(Green Tone)",1,"")</f>
        <v/>
      </c>
      <c r="AGN11" t="str">
        <f>IF(Guillotine!F18="SP34AB Pearl White",1,"")</f>
        <v/>
      </c>
      <c r="AGO11" t="str">
        <f>IF(Guillotine!F18="SP34AB Monument",1,"")</f>
        <v/>
      </c>
      <c r="AGP11" t="str">
        <f>IF(Guillotine!F18="SP34AB Surfmist",1,"")</f>
        <v/>
      </c>
      <c r="AGQ11" t="str">
        <f>IF(Guillotine!F18="SP34AB Dune",1,"")</f>
        <v/>
      </c>
      <c r="AGR11" t="str">
        <f>IF(Guillotine!F18="SP34AB Powdercoat",1,"")</f>
        <v/>
      </c>
      <c r="AGS11" t="str">
        <f>IF(Guillotine!F18="SP37AB Apo Grey",1,"")</f>
        <v/>
      </c>
      <c r="AGT11" t="str">
        <f>IF(Guillotine!F18="SP37AB White Birch",1,"")</f>
        <v/>
      </c>
      <c r="AGU11" t="str">
        <f>IF(Guillotine!F18="SP37AB Black",1,"")</f>
        <v/>
      </c>
      <c r="AGV11" t="str">
        <f>IF(Guillotine!F18="SP37AB Brown",1,"")</f>
        <v/>
      </c>
      <c r="AGW11" t="str">
        <f>IF(Guillotine!F18="SP37AB Deep Ocean",1,"")</f>
        <v/>
      </c>
      <c r="AGX11" t="str">
        <f>IF(Guillotine!F18="SP37AB Jasper",1,"")</f>
        <v/>
      </c>
      <c r="AGY11" t="str">
        <f>IF(Guillotine!F18="SP37AB Paperbark",1,"")</f>
        <v/>
      </c>
      <c r="AGZ11" t="str">
        <f>IF(Guillotine!F18="SP37AB Mist Green",1,"")</f>
        <v/>
      </c>
      <c r="AHA11" t="str">
        <f>IF(Guillotine!F18="SP37AB Primrose",1,"")</f>
        <v/>
      </c>
      <c r="AHB11" t="str">
        <f>IF(Guillotine!F18="SP37AB Ultra Silver",1,"")</f>
        <v/>
      </c>
      <c r="AHC11" t="str">
        <f>IF(Guillotine!F18="SP37AB Woodland Grey(Green Tone)",1,"")</f>
        <v/>
      </c>
      <c r="AHD11" t="str">
        <f>IF(Guillotine!F18="SP37AB Pearl White",1,"")</f>
        <v/>
      </c>
      <c r="AHE11" t="str">
        <f>IF(Guillotine!F18="SP37AB Monument",1,"")</f>
        <v/>
      </c>
      <c r="AHF11" t="str">
        <f>IF(Guillotine!F18="SP37AB Surfmist",1,"")</f>
        <v/>
      </c>
      <c r="AHG11" t="str">
        <f>IF(Guillotine!F18="SP37AB Dune",1,"")</f>
        <v/>
      </c>
      <c r="AHH11" t="str">
        <f>IF(Guillotine!F18="SP37AB Powdercoat",1,"")</f>
        <v/>
      </c>
      <c r="AHI11" t="str">
        <f>IF(Guillotine!F18="SP52 Apo Grey",1,"")</f>
        <v/>
      </c>
      <c r="AHJ11" t="str">
        <f>IF(Guillotine!F18="SP52 White Birch",1,"")</f>
        <v/>
      </c>
      <c r="AHK11" t="str">
        <f>IF(Guillotine!F18="SP52 Black",1,"")</f>
        <v/>
      </c>
      <c r="AHL11" t="str">
        <f>IF(Guillotine!F18="SP52 Brown",1,"")</f>
        <v/>
      </c>
      <c r="AHM11" t="str">
        <f>IF(Guillotine!F18="SP52 Deep Ocean",1,"")</f>
        <v/>
      </c>
      <c r="AHN11" t="str">
        <f>IF(Guillotine!F18="SP52 Jasper",1,"")</f>
        <v/>
      </c>
      <c r="AHO11" t="str">
        <f>IF(Guillotine!F18="SP52 Paperbark",1,"")</f>
        <v/>
      </c>
      <c r="AHP11" t="str">
        <f>IF(Guillotine!F18="SP52 Mist Green",1,"")</f>
        <v/>
      </c>
      <c r="AHQ11" t="str">
        <f>IF(Guillotine!F18="SP52 Primrose",1,"")</f>
        <v/>
      </c>
      <c r="AHR11" t="str">
        <f>IF(Guillotine!F18="SP52 Ultra Silver",1,"")</f>
        <v/>
      </c>
      <c r="AHS11" t="str">
        <f>IF(Guillotine!F18="SP52 Woodland Grey(Green Tone)",1,"")</f>
        <v/>
      </c>
      <c r="AHT11" t="str">
        <f>IF(Guillotine!F18="SP52 Pearl White",1,"")</f>
        <v/>
      </c>
      <c r="AHU11" t="str">
        <f>IF(Guillotine!F18="SP52 Monument",1,"")</f>
        <v/>
      </c>
      <c r="AHV11" t="str">
        <f>IF(Guillotine!F18="SP52 Surfmist",1,"")</f>
        <v/>
      </c>
      <c r="AHW11" t="str">
        <f>IF(Guillotine!F18="SP52 Dune",1,"")</f>
        <v/>
      </c>
      <c r="AHX11" t="str">
        <f>IF(Guillotine!F18="SP52 Powdercoat",1,"")</f>
        <v/>
      </c>
      <c r="AHY11" t="str">
        <f>IF(Guillotine!F18="SP53 Apo Grey",1,"")</f>
        <v/>
      </c>
      <c r="AHZ11" t="str">
        <f>IF(Guillotine!F18="SP53 White Birch",1,"")</f>
        <v/>
      </c>
      <c r="AIA11" t="str">
        <f>IF(Guillotine!F18="SP53 Black",1,"")</f>
        <v/>
      </c>
      <c r="AIB11" t="str">
        <f>IF(Guillotine!F18="SP53 Brown",1,"")</f>
        <v/>
      </c>
      <c r="AIC11" t="str">
        <f>IF(Guillotine!F18="SP53 Deep Ocean",1,"")</f>
        <v/>
      </c>
      <c r="AID11" t="str">
        <f>IF(Guillotine!F18="SP53 Jasper",1,"")</f>
        <v/>
      </c>
      <c r="AIE11" t="str">
        <f>IF(Guillotine!F18="SP53 Paperbark",1,"")</f>
        <v/>
      </c>
      <c r="AIF11" t="str">
        <f>IF(Guillotine!F18="SP53 Mist Green",1,"")</f>
        <v/>
      </c>
      <c r="AIG11" t="str">
        <f>IF(Guillotine!F18="SP53 Primrose",1,"")</f>
        <v/>
      </c>
      <c r="AIH11" t="str">
        <f>IF(Guillotine!F18="SP53 Ultra Silver",1,"")</f>
        <v/>
      </c>
      <c r="AII11" t="str">
        <f>IF(Guillotine!F18="SP53 Woodland Grey(Green Tone)",1,"")</f>
        <v/>
      </c>
      <c r="AIJ11" t="str">
        <f>IF(Guillotine!F18="SP53 Pearl White",1,"")</f>
        <v/>
      </c>
      <c r="AIK11" t="str">
        <f>IF(Guillotine!F18="SP53 Monument",1,"")</f>
        <v/>
      </c>
      <c r="AIL11" t="str">
        <f>IF(Guillotine!F18="SP53 Surfmist",1,"")</f>
        <v/>
      </c>
      <c r="AIM11" t="str">
        <f>IF(Guillotine!F18="SP53 Dune",1,"")</f>
        <v/>
      </c>
      <c r="AIN11" t="str">
        <f>IF(Guillotine!F18="SP53 Powdercoat",1,"")</f>
        <v/>
      </c>
      <c r="AIO11" t="str">
        <f>IF(Guillotine!F18="SP55 Apo Grey",1,"")</f>
        <v/>
      </c>
      <c r="AIP11" t="str">
        <f>IF(Guillotine!F18="SP55 White Birch",1,"")</f>
        <v/>
      </c>
      <c r="AIQ11" t="str">
        <f>IF(Guillotine!F18="SP55 Black",1,"")</f>
        <v/>
      </c>
      <c r="AIR11" t="str">
        <f>IF(Guillotine!F18="SP55 Brown",1,"")</f>
        <v/>
      </c>
      <c r="AIS11" t="str">
        <f>IF(Guillotine!F18="SP55 Deep Ocean",1,"")</f>
        <v/>
      </c>
      <c r="AIT11" t="str">
        <f>IF(Guillotine!F18="SP55 Jasper",1,"")</f>
        <v/>
      </c>
      <c r="AIU11" t="str">
        <f>IF(Guillotine!F18="SP55 Paperbark",1,"")</f>
        <v/>
      </c>
      <c r="AIV11" t="str">
        <f>IF(Guillotine!F18="SP55 Mist Green",1,"")</f>
        <v/>
      </c>
      <c r="AIW11" t="str">
        <f>IF(Guillotine!F18="SP55 Primrose",1,"")</f>
        <v/>
      </c>
      <c r="AIX11" t="str">
        <f>IF(Guillotine!F18="SP55 Ultra Silver",1,"")</f>
        <v/>
      </c>
      <c r="AIY11" t="str">
        <f>IF(Guillotine!F18="SP55 Woodland Grey(Green Tone)",1,"")</f>
        <v/>
      </c>
      <c r="AIZ11" t="str">
        <f>IF(Guillotine!F18="SP55 Pearl White",1,"")</f>
        <v/>
      </c>
      <c r="AJA11" t="str">
        <f>IF(Guillotine!F18="SP55 Monument",1,"")</f>
        <v/>
      </c>
      <c r="AJB11" t="str">
        <f>IF(Guillotine!F18="SP55 Surfmist",1,"")</f>
        <v/>
      </c>
      <c r="AJC11" t="str">
        <f>IF(Guillotine!F18="SP55 Dune",1,"")</f>
        <v/>
      </c>
      <c r="AJD11" t="str">
        <f>IF(Guillotine!F18="SP55 Powdercoat",1,"")</f>
        <v/>
      </c>
      <c r="AJE11" t="str">
        <f>IF(Guillotine!F18="SP56 Apo Grey",1,"")</f>
        <v/>
      </c>
      <c r="AJF11" t="str">
        <f>IF(Guillotine!F18="SP56 White Birch",1,"")</f>
        <v/>
      </c>
      <c r="AJG11" t="str">
        <f>IF(Guillotine!F18="SP56 Black",1,"")</f>
        <v/>
      </c>
      <c r="AJH11" t="str">
        <f>IF(Guillotine!F18="SP56 Brown",1,"")</f>
        <v/>
      </c>
      <c r="AJI11" t="str">
        <f>IF(Guillotine!F18="SP56 Deep Ocean",1,"")</f>
        <v/>
      </c>
      <c r="AJJ11" t="str">
        <f>IF(Guillotine!F18="SP56 Jasper",1,"")</f>
        <v/>
      </c>
      <c r="AJK11" t="str">
        <f>IF(Guillotine!F18="SP56 Paperbark",1,"")</f>
        <v/>
      </c>
      <c r="AJL11" t="str">
        <f>IF(Guillotine!F18="SP56 Mist Green",1,"")</f>
        <v/>
      </c>
      <c r="AJM11" t="str">
        <f>IF(Guillotine!F18="SP56 Primrose",1,"")</f>
        <v/>
      </c>
      <c r="AJN11" t="str">
        <f>IF(Guillotine!F18="SP56 Ultra Silver",1,"")</f>
        <v/>
      </c>
      <c r="AJO11" t="str">
        <f>IF(Guillotine!F18="SP56 Woodland Grey(Green Tone)",1,"")</f>
        <v/>
      </c>
      <c r="AJP11" t="str">
        <f>IF(Guillotine!F18="SP56 Pearl White",1,"")</f>
        <v/>
      </c>
      <c r="AJQ11" t="str">
        <f>IF(Guillotine!F18="SP56 Monument",1,"")</f>
        <v/>
      </c>
      <c r="AJR11" t="str">
        <f>IF(Guillotine!F18="SP56 Surfmist",1,"")</f>
        <v/>
      </c>
      <c r="AJS11" t="str">
        <f>IF(Guillotine!F18="SP56 Dune",1,"")</f>
        <v/>
      </c>
      <c r="AJT11" t="str">
        <f>IF(Guillotine!F18="SP56 Powdercoat",1,"")</f>
        <v/>
      </c>
      <c r="AJU11" t="str">
        <f>IF(Guillotine!F18="SP65 Apo Grey",1,"")</f>
        <v/>
      </c>
      <c r="AJV11" t="str">
        <f>IF(Guillotine!F18="SP65 White Birch",1,"")</f>
        <v/>
      </c>
      <c r="AJW11" t="str">
        <f>IF(Guillotine!F18="SP65 Black",1,"")</f>
        <v/>
      </c>
      <c r="AJX11" t="str">
        <f>IF(Guillotine!F18="SP65 Brown",1,"")</f>
        <v/>
      </c>
      <c r="AJY11" t="str">
        <f>IF(Guillotine!F18="SP65 Deep Ocean",1,"")</f>
        <v/>
      </c>
      <c r="AJZ11" t="str">
        <f>IF(Guillotine!F18="SP65 Jasper",1,"")</f>
        <v/>
      </c>
      <c r="AKA11" t="str">
        <f>IF(Guillotine!F18="SP65 Paperbark",1,"")</f>
        <v/>
      </c>
      <c r="AKB11" t="str">
        <f>IF(Guillotine!F18="SP65 Mist Green",1,"")</f>
        <v/>
      </c>
      <c r="AKC11" t="str">
        <f>IF(Guillotine!F18="SP65 Primrose",1,"")</f>
        <v/>
      </c>
      <c r="AKD11" t="str">
        <f>IF(Guillotine!F18="SP65 Ultra Silver",1,"")</f>
        <v/>
      </c>
      <c r="AKE11" t="str">
        <f>IF(Guillotine!F18="SP65 Woodland Grey(Green Tone)",1,"")</f>
        <v/>
      </c>
      <c r="AKF11" t="str">
        <f>IF(Guillotine!F18="SP65 Pearl White",1,"")</f>
        <v/>
      </c>
      <c r="AKG11" t="str">
        <f>IF(Guillotine!F18="SP65 Monument",1,"")</f>
        <v/>
      </c>
      <c r="AKH11" t="str">
        <f>IF(Guillotine!F18="SP65 Surfmist",1,"")</f>
        <v/>
      </c>
      <c r="AKI11" t="str">
        <f>IF(Guillotine!F18="SP65 Dune",1,"")</f>
        <v/>
      </c>
      <c r="AKJ11" t="str">
        <f>IF(Guillotine!F18="SP65 Powdercoat",1,"")</f>
        <v/>
      </c>
      <c r="AKK11" t="str">
        <f>IF(Guillotine!F18="SP72 Apo Grey",1,"")</f>
        <v/>
      </c>
      <c r="AKL11" t="str">
        <f>IF(Guillotine!F18="SP72 White Birch",1,"")</f>
        <v/>
      </c>
      <c r="AKM11" t="str">
        <f>IF(Guillotine!F18="SP72 Black",1,"")</f>
        <v/>
      </c>
      <c r="AKN11" t="str">
        <f>IF(Guillotine!F18="SP72 Brown",1,"")</f>
        <v/>
      </c>
      <c r="AKO11" t="str">
        <f>IF(Guillotine!F18="SP72 Deep Ocean",1,"")</f>
        <v/>
      </c>
      <c r="AKP11" t="str">
        <f>IF(Guillotine!F18="SP72 Jasper",1,"")</f>
        <v/>
      </c>
      <c r="AKQ11" t="str">
        <f>IF(Guillotine!F18="SP72 Paperbark",1,"")</f>
        <v/>
      </c>
      <c r="AKR11" t="str">
        <f>IF(Guillotine!F18="SP72 Mist Green",1,"")</f>
        <v/>
      </c>
      <c r="AKS11" t="str">
        <f>IF(Guillotine!F18="SP72 Primrose",1,"")</f>
        <v/>
      </c>
      <c r="AKT11" t="str">
        <f>IF(Guillotine!F18="SP72 Ultra Silver",1,"")</f>
        <v/>
      </c>
      <c r="AKU11" t="str">
        <f>IF(Guillotine!F18="SP72 Woodland Grey(Green Tone)",1,"")</f>
        <v/>
      </c>
      <c r="AKV11" t="str">
        <f>IF(Guillotine!F18="SP72 Pearl White",1,"")</f>
        <v/>
      </c>
      <c r="AKW11" t="str">
        <f>IF(Guillotine!F18="SP72 Monument",1,"")</f>
        <v/>
      </c>
      <c r="AKX11" t="str">
        <f>IF(Guillotine!F18="SP72 Surfmist",1,"")</f>
        <v/>
      </c>
      <c r="AKY11" t="str">
        <f>IF(Guillotine!F18="SP72 Dune",1,"")</f>
        <v/>
      </c>
      <c r="AKZ11" t="str">
        <f>IF(Guillotine!F18="SP72 Powdercoat",1,"")</f>
        <v/>
      </c>
      <c r="ALA11" t="str">
        <f>IF(Guillotine!F18="SP74 Apo Grey",1,"")</f>
        <v/>
      </c>
      <c r="ALB11" t="str">
        <f>IF(Guillotine!F18="SP74 White Birch",1,"")</f>
        <v/>
      </c>
      <c r="ALC11" t="str">
        <f>IF(Guillotine!F18="SP74 Black",1,"")</f>
        <v/>
      </c>
      <c r="ALD11" t="str">
        <f>IF(Guillotine!F18="SP74 Brown",1,"")</f>
        <v/>
      </c>
      <c r="ALE11" t="str">
        <f>IF(Guillotine!F18="SP74 Deep Ocean",1,"")</f>
        <v/>
      </c>
      <c r="ALF11" t="str">
        <f>IF(Guillotine!F18="SP74 Jasper",1,"")</f>
        <v/>
      </c>
      <c r="ALG11" t="str">
        <f>IF(Guillotine!F18="SP74 Paperbark",1,"")</f>
        <v/>
      </c>
      <c r="ALH11" t="str">
        <f>IF(Guillotine!F18="SP74 Mist Green",1,"")</f>
        <v/>
      </c>
      <c r="ALI11" t="str">
        <f>IF(Guillotine!F18="SP74 Primrose",1,"")</f>
        <v/>
      </c>
      <c r="ALJ11" t="str">
        <f>IF(Guillotine!F18="SP74 Ultra Silver",1,"")</f>
        <v/>
      </c>
      <c r="ALK11" t="str">
        <f>IF(Guillotine!F18="SP74 Woodland Grey(Green Tone)",1,"")</f>
        <v/>
      </c>
      <c r="ALL11" t="str">
        <f>IF(Guillotine!F18="SP74 Pearl White",1,"")</f>
        <v/>
      </c>
      <c r="ALM11" t="str">
        <f>IF(Guillotine!F18="SP74 Monument",1,"")</f>
        <v/>
      </c>
      <c r="ALN11" t="str">
        <f>IF(Guillotine!F18="SP74 Surfmist",1,"")</f>
        <v/>
      </c>
      <c r="ALO11" t="str">
        <f>IF(Guillotine!F18="SP74 Dune",1,"")</f>
        <v/>
      </c>
      <c r="ALP11" t="str">
        <f>IF(Guillotine!F18="SP74 Powdercoat",1,"")</f>
        <v/>
      </c>
      <c r="ALQ11" t="str">
        <f>IF(Guillotine!F18="SP78 Apo Grey",1,"")</f>
        <v/>
      </c>
      <c r="ALR11" t="str">
        <f>IF(Guillotine!F18="SP78 White Birch",1,"")</f>
        <v/>
      </c>
      <c r="ALS11" t="str">
        <f>IF(Guillotine!F18="SP78 Black",1,"")</f>
        <v/>
      </c>
      <c r="ALT11" t="str">
        <f>IF(Guillotine!F18="SP78 Brown",1,"")</f>
        <v/>
      </c>
      <c r="ALU11" t="str">
        <f>IF(Guillotine!F18="SP78 Deep Ocean",1,"")</f>
        <v/>
      </c>
      <c r="ALV11" t="str">
        <f>IF(Guillotine!F18="SP78 Jasper",1,"")</f>
        <v/>
      </c>
      <c r="ALW11" t="str">
        <f>IF(Guillotine!F18="SP78 Paperbark",1,"")</f>
        <v/>
      </c>
      <c r="ALX11" t="str">
        <f>IF(Guillotine!F18="SP78 Mist Green",1,"")</f>
        <v/>
      </c>
      <c r="ALY11" t="str">
        <f>IF(Guillotine!F18="SP78 Primrose",1,"")</f>
        <v/>
      </c>
      <c r="ALZ11" t="str">
        <f>IF(Guillotine!F18="SP78 Ultra Silver",1,"")</f>
        <v/>
      </c>
      <c r="AMA11" t="str">
        <f>IF(Guillotine!F18="SP78 Woodland Grey(Green Tone)",1,"")</f>
        <v/>
      </c>
      <c r="AMB11" t="str">
        <f>IF(Guillotine!F18="SP78 Pearl White",1,"")</f>
        <v/>
      </c>
      <c r="AMC11" t="str">
        <f>IF(Guillotine!F18="SP78 Monument",1,"")</f>
        <v/>
      </c>
      <c r="AMD11" t="str">
        <f>IF(Guillotine!F18="SP78 Surfmist",1,"")</f>
        <v/>
      </c>
      <c r="AME11" t="str">
        <f>IF(Guillotine!F18="SP78 Dune",1,"")</f>
        <v/>
      </c>
      <c r="AMF11" t="str">
        <f>IF(Guillotine!F18="SP78 Powdercoat",1,"")</f>
        <v/>
      </c>
    </row>
    <row r="12" spans="4:1020" ht="13.2" customHeight="1">
      <c r="D12" t="str">
        <f>IF(Data!AV18="","",CONCATENATE(Data!BC$5,".",Data!BD$5))</f>
        <v/>
      </c>
      <c r="E12" t="str">
        <f>IF(D12="","",Data!AW18)</f>
        <v/>
      </c>
      <c r="F12" t="str">
        <f>IF(D12="","",Data!AV18)</f>
        <v/>
      </c>
      <c r="G12" t="str">
        <f t="shared" si="1"/>
        <v/>
      </c>
      <c r="H12" t="str">
        <f>IF(D12="","",Data!BF$5)</f>
        <v/>
      </c>
      <c r="I12" t="str">
        <f>IF(D12="","",Data!AX$5)</f>
        <v/>
      </c>
      <c r="J12" s="73" t="str">
        <f>IF(AND('Mitred Cutting'!C18="Standard",'Mitred Cutting'!D18="APO Grey"),(('Job Sheet'!BH18+'Job Sheet'!BI18)*2),"")</f>
        <v/>
      </c>
      <c r="K12" s="73" t="str">
        <f>IF(AND('Mitred Cutting'!C18="Standard",'Mitred Cutting'!D18="White Birch"),(('Job Sheet'!BH18+'Job Sheet'!BI18)*2),"")</f>
        <v/>
      </c>
      <c r="L12" s="73" t="str">
        <f>IF(AND('Mitred Cutting'!C18="Standard",'Mitred Cutting'!D18="Black"),(('Job Sheet'!BH18+'Job Sheet'!BI18)*2),"")</f>
        <v/>
      </c>
      <c r="M12" s="73" t="str">
        <f>IF(AND('Mitred Cutting'!C18="Standard",'Mitred Cutting'!D18="Brown"),(('Job Sheet'!BH18+'Job Sheet'!BI18)*2),"")</f>
        <v/>
      </c>
      <c r="N12" s="73" t="str">
        <f>IF(AND('Mitred Cutting'!C18="Standard",'Mitred Cutting'!D18="Deep Ocean"),(('Job Sheet'!BH18+'Job Sheet'!BI18)*2),"")</f>
        <v/>
      </c>
      <c r="O12" s="73" t="str">
        <f>IF(AND('Mitred Cutting'!C18="Standard",'Mitred Cutting'!D18="Jasper"),(('Job Sheet'!BH18+'Job Sheet'!BI18)*2),"")</f>
        <v/>
      </c>
      <c r="P12" s="73" t="str">
        <f>IF(AND('Mitred Cutting'!C18="Standard",'Mitred Cutting'!D18="Paperbark"),(('Job Sheet'!BH18+'Job Sheet'!BI18)*2),"")</f>
        <v/>
      </c>
      <c r="Q12" s="73" t="str">
        <f>IF(AND('Mitred Cutting'!C18="Standard",'Mitred Cutting'!D18="Mist Green"),(('Job Sheet'!BH18+'Job Sheet'!BI18)*2),"")</f>
        <v/>
      </c>
      <c r="R12" s="73" t="str">
        <f>IF(AND('Mitred Cutting'!C18="Standard",'Mitred Cutting'!D18="Primrose"),(('Job Sheet'!BH18+'Job Sheet'!BI18)*2),"")</f>
        <v/>
      </c>
      <c r="S12" s="73" t="str">
        <f>IF(AND('Mitred Cutting'!C18="Standard",'Mitred Cutting'!D18="Ultra Silver"),(('Job Sheet'!BH18+'Job Sheet'!BI18)*2),"")</f>
        <v/>
      </c>
      <c r="T12" s="73" t="str">
        <f>IF(AND('Mitred Cutting'!C18="Standard",'Mitred Cutting'!D18="Woodland Grey(Green Tone)"),(('Job Sheet'!BH18+'Job Sheet'!BI18)*2),"")</f>
        <v/>
      </c>
      <c r="U12" s="73" t="str">
        <f>IF(AND('Mitred Cutting'!C18="Standard",'Mitred Cutting'!D18="Pearl White"),(('Job Sheet'!BH18+'Job Sheet'!BI18)*2),"")</f>
        <v/>
      </c>
      <c r="V12" s="73" t="str">
        <f>IF(AND('Mitred Cutting'!C18="Standard",'Mitred Cutting'!D18="Monument"),(('Job Sheet'!BH18+'Job Sheet'!BI18)*2),"")</f>
        <v/>
      </c>
      <c r="W12" s="73" t="str">
        <f>IF(AND('Mitred Cutting'!C18="Standard",'Mitred Cutting'!D18="Surfmist"),(('Job Sheet'!BH18+'Job Sheet'!BI18)*2),"")</f>
        <v/>
      </c>
      <c r="X12" s="73" t="str">
        <f>IF(AND('Mitred Cutting'!C18="Standard",'Mitred Cutting'!D18="Dune"),(('Job Sheet'!BH18+'Job Sheet'!BI18)*2),"")</f>
        <v/>
      </c>
      <c r="Y12" s="73" t="str">
        <f>IF(AND('Mitred Cutting'!C18="Standard",'Job Sheet'!AA18="Woodland Grey (Dulux)"),(('Job Sheet'!BH18+'Job Sheet'!BI18)*2),"")</f>
        <v/>
      </c>
      <c r="Z12" s="73" t="str">
        <f>IF(AND('Mitred Cutting'!C18="Standard",Data!BP18="Powdercoat",'Job Sheet'!AA18&lt;&gt;"Woodland Grey (Dulux)"),(('Job Sheet'!BH18+'Job Sheet'!BI18)*2),"")</f>
        <v/>
      </c>
      <c r="AA12" s="73" t="str">
        <f>IF(AND('Mitred Cutting'!C18="Invisi-Gard",'Mitred Cutting'!D18="APO Grey"),(('Job Sheet'!BH18+'Job Sheet'!BI18)*2),"")</f>
        <v/>
      </c>
      <c r="AB12" s="73" t="str">
        <f>IF(AND('Mitred Cutting'!C18="Invisi-Gard",'Mitred Cutting'!D18="White Birch"),(('Job Sheet'!BH18+'Job Sheet'!BI18)*2),"")</f>
        <v/>
      </c>
      <c r="AC12" s="73" t="str">
        <f>IF(AND('Mitred Cutting'!C18="Invisi-Gard",'Mitred Cutting'!D18="Black"),(('Job Sheet'!BH18+'Job Sheet'!BI18)*2),"")</f>
        <v/>
      </c>
      <c r="AD12" s="73" t="str">
        <f>IF(AND('Mitred Cutting'!C18="Invisi-Gard",'Mitred Cutting'!D18="Brown"),(('Job Sheet'!BH18+'Job Sheet'!BI18)*2),"")</f>
        <v/>
      </c>
      <c r="AE12" s="73" t="str">
        <f>IF(AND('Mitred Cutting'!C18="Invisi-Gard",'Mitred Cutting'!D18="Deep Ocean"),(('Job Sheet'!BH18+'Job Sheet'!BI18)*2),"")</f>
        <v/>
      </c>
      <c r="AF12" s="73" t="str">
        <f>IF(AND('Mitred Cutting'!C18="Invisi-Gard",'Mitred Cutting'!D18="Jasper"),(('Job Sheet'!BH18+'Job Sheet'!BI18)*2),"")</f>
        <v/>
      </c>
      <c r="AG12" s="73" t="str">
        <f>IF(AND('Mitred Cutting'!C18="Invisi-Gard",'Mitred Cutting'!D18="Paperbark"),(('Job Sheet'!BH18+'Job Sheet'!BI18)*2),"")</f>
        <v/>
      </c>
      <c r="AH12" s="73" t="str">
        <f>IF(AND('Mitred Cutting'!C18="Invisi-Gard",'Mitred Cutting'!D18="Mist Green"),(('Job Sheet'!BH18+'Job Sheet'!BI18)*2),"")</f>
        <v/>
      </c>
      <c r="AI12" s="73" t="str">
        <f>IF(AND('Mitred Cutting'!C18="Invisi-Gard",'Mitred Cutting'!D18="Primrose"),(('Job Sheet'!BH18+'Job Sheet'!BI18)*2),"")</f>
        <v/>
      </c>
      <c r="AJ12" s="73" t="str">
        <f>IF(AND('Mitred Cutting'!C18="Invisi-Gard",'Mitred Cutting'!D18="Ultra Silver"),(('Job Sheet'!BH18+'Job Sheet'!BI18)*2),"")</f>
        <v/>
      </c>
      <c r="AK12" s="73" t="str">
        <f>IF(AND('Mitred Cutting'!C18="Invisi-Gard",'Mitred Cutting'!D18="Woodland Grey(Green Tone)"),(('Job Sheet'!BH18+'Job Sheet'!BI18)*2),"")</f>
        <v/>
      </c>
      <c r="AL12" s="73" t="str">
        <f>IF(AND('Mitred Cutting'!C18="Invisi-Gard",'Mitred Cutting'!D18="Pearl White"),(('Job Sheet'!BH18+'Job Sheet'!BI18)*2),"")</f>
        <v/>
      </c>
      <c r="AM12" s="73" t="str">
        <f>IF(AND('Mitred Cutting'!C18="Invisi-Gard",'Mitred Cutting'!D18="Monument"),(('Job Sheet'!BH18+'Job Sheet'!BI18)*2),"")</f>
        <v/>
      </c>
      <c r="AN12" s="73" t="str">
        <f>IF(AND('Mitred Cutting'!C18="Invisi-Gard",'Mitred Cutting'!D18="Surfmist"),(('Job Sheet'!BH18+'Job Sheet'!BI18)*2),"")</f>
        <v/>
      </c>
      <c r="AO12" s="73" t="str">
        <f>IF(AND('Mitred Cutting'!C18="Invisi-Gard",'Mitred Cutting'!D18="Dune"),(('Job Sheet'!BH18+'Job Sheet'!BI18)*2),"")</f>
        <v/>
      </c>
      <c r="AP12" s="73" t="str">
        <f>IF(AND('Mitred Cutting'!C18="Invisi-Gard",'Job Sheet'!AA18="Woodland Grey (Dulux)"),(('Job Sheet'!BH18+'Job Sheet'!BI18)*2),"")</f>
        <v/>
      </c>
      <c r="AQ12" s="73" t="str">
        <f>IF(AND('Mitred Cutting'!C18="Invisi-Gard",Data!BP18="Powdercoat",'Job Sheet'!AA18&lt;&gt;"Woodland Grey (Dulux)"),(('Job Sheet'!BH18+'Job Sheet'!BI18)*2),"")</f>
        <v/>
      </c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  <c r="CP12" s="73"/>
      <c r="CQ12" s="73" t="str">
        <f>IF(D12="","",IF(AND('Job Sheet'!AO18="Yes",'Mitred Cutting'!I18="Short Leg Left, Right and Top",'Mitred Cutting'!J18="APO Grey"),(('Job Sheet'!E18*2+60)+'Job Sheet'!AP18+60),IF(AND('Mitred Cutting'!I18="Short Leg 1 Side",'Mitred Cutting'!J18="APO Grey"),'Job Sheet'!E18+30,IF(AND('Mitred Cutting'!I18="Short Leg Left, Right and Top",'Mitred Cutting'!J18="APO Grey"),(('Job Sheet'!E18*2+60)+'Job Sheet'!D18+60),""))))</f>
        <v/>
      </c>
      <c r="CR12" s="73" t="str">
        <f>IF(D12="","",IF(AND('Job Sheet'!AO18="Yes",'Mitred Cutting'!I18="Short Leg Left, Right and Top",'Mitred Cutting'!J18="White Birch"),(('Job Sheet'!E18*2+60)+'Job Sheet'!AP18+60),IF(AND('Mitred Cutting'!I18="Short Leg 1 Side",'Mitred Cutting'!J18="White Birch"),'Job Sheet'!E18+30,IF(AND('Mitred Cutting'!I18="Short Leg Left, Right and Top",'Mitred Cutting'!J18="White Birch"),(('Job Sheet'!E18*2+60)+'Job Sheet'!D18+60),""))))</f>
        <v/>
      </c>
      <c r="CS12" s="73" t="str">
        <f>IF(D12="","",IF(AND('Job Sheet'!AO18="Yes",'Mitred Cutting'!I18="Short Leg Left, Right and Top",'Mitred Cutting'!J18="Black"),(('Job Sheet'!E18*2+60)+'Job Sheet'!AP18+60),IF(AND('Mitred Cutting'!I18="Short Leg 1 Side",'Mitred Cutting'!J18="Black"),'Job Sheet'!E18+30,IF(AND('Mitred Cutting'!I18="Short Leg Left, Right and Top",'Mitred Cutting'!J18="Black"),(('Job Sheet'!E18*2+60)+'Job Sheet'!D18+60),""))))</f>
        <v/>
      </c>
      <c r="CT12" s="73" t="str">
        <f>IF(D12="","",IF(AND('Job Sheet'!AO18="Yes",'Mitred Cutting'!I18="Short Leg Left, Right and Top",'Mitred Cutting'!J18="Brown"),(('Job Sheet'!E18*2+60)+'Job Sheet'!AP18+60),IF(AND('Mitred Cutting'!I18="Short Leg 1 Side",'Mitred Cutting'!J18="Brown"),'Job Sheet'!E18+30,IF(AND('Mitred Cutting'!I18="Short Leg Left, Right and Top",'Mitred Cutting'!J18="Brown"),(('Job Sheet'!E18*2+60)+'Job Sheet'!D18+60),""))))</f>
        <v/>
      </c>
      <c r="CU12" s="73" t="str">
        <f>IF(D12="","",IF(AND('Job Sheet'!AO18="Yes",'Mitred Cutting'!I18="Short Leg Left, Right and Top",'Mitred Cutting'!J18="Deep Ocean"),(('Job Sheet'!E18*2+60)+'Job Sheet'!AP18+60),IF(AND('Mitred Cutting'!I18="Short Leg 1 Side",'Mitred Cutting'!J18="Deep Ocean"),'Job Sheet'!E18+30,IF(AND('Mitred Cutting'!I18="Short Leg Left, Right and Top",'Mitred Cutting'!J18="Deep Ocean"),(('Job Sheet'!E18*2+60)+'Job Sheet'!D18+60),""))))</f>
        <v/>
      </c>
      <c r="CV12" s="73" t="str">
        <f>IF(D12="","",IF(AND('Job Sheet'!AO18="Yes",'Mitred Cutting'!I18="Short Leg Left, Right and Top",'Mitred Cutting'!J18="Jasper"),(('Job Sheet'!E18*2+60)+'Job Sheet'!AP18+60),IF(AND('Mitred Cutting'!I18="Short Leg 1 Side",'Mitred Cutting'!J18="Jasper"),'Job Sheet'!E18+30,IF(AND('Mitred Cutting'!I18="Short Leg Left, Right and Top",'Mitred Cutting'!J18="Jasper"),(('Job Sheet'!E18*2+60)+'Job Sheet'!D18+60),""))))</f>
        <v/>
      </c>
      <c r="CW12" s="73" t="str">
        <f>IF(D12="","",IF(AND('Job Sheet'!AO18="Yes",'Mitred Cutting'!I18="Short Leg Left, Right and Top",'Mitred Cutting'!J18="Paperbark"),(('Job Sheet'!E18*2+60)+'Job Sheet'!AP18+60),IF(AND('Mitred Cutting'!I18="Short Leg 1 Side",'Mitred Cutting'!J18="Paperbark"),'Job Sheet'!E18+30,IF(AND('Mitred Cutting'!I18="Short Leg Left, Right and Top",'Mitred Cutting'!J18="Paperbark"),(('Job Sheet'!E18*2+60)+'Job Sheet'!D18+60),""))))</f>
        <v/>
      </c>
      <c r="CX12" s="73" t="str">
        <f>IF(D12="","",IF(AND('Job Sheet'!AO18="Yes",'Mitred Cutting'!I18="Short Leg Left, Right and Top",'Mitred Cutting'!J18="Mist Green"),(('Job Sheet'!E18*2+60)+'Job Sheet'!AP18+60),IF(AND('Mitred Cutting'!I18="Short Leg 1 Side",'Mitred Cutting'!J18="Mist Green"),'Job Sheet'!E18+30,IF(AND('Mitred Cutting'!I18="Short Leg Left, Right and Top",'Mitred Cutting'!J18="Mist Green"),(('Job Sheet'!E18*2+60)+'Job Sheet'!D18+60),""))))</f>
        <v/>
      </c>
      <c r="CY12" s="73" t="str">
        <f>IF(D12="","",IF(AND('Job Sheet'!AO18="Yes",'Mitred Cutting'!I18="Short Leg Left, Right and Top",'Mitred Cutting'!J18="Primrose"),(('Job Sheet'!E18*2+60)+'Job Sheet'!AP18+60),IF(AND('Mitred Cutting'!I18="Short Leg 1 Side",'Mitred Cutting'!J18="Primrose"),'Job Sheet'!E18+30,IF(AND('Mitred Cutting'!I18="Short Leg Left, Right and Top",'Mitred Cutting'!J18="Primrose"),(('Job Sheet'!E18*2+60)+'Job Sheet'!D18+60),""))))</f>
        <v/>
      </c>
      <c r="CZ12" s="73" t="str">
        <f>IF(D12="","",IF(AND('Job Sheet'!AO18="Yes",'Mitred Cutting'!I18="Short Leg Left, Right and Top",'Mitred Cutting'!J18="Ultra Silver"),(('Job Sheet'!E18*2+60)+'Job Sheet'!AP18+60),IF(AND('Mitred Cutting'!I18="Short Leg 1 Side",'Mitred Cutting'!J18="Ultra Silver"),'Job Sheet'!E18+30,IF(AND('Mitred Cutting'!I18="Short Leg Left, Right and Top",'Mitred Cutting'!J18="Ultra Silver"),(('Job Sheet'!E18*2+60)+'Job Sheet'!D18+60),""))))</f>
        <v/>
      </c>
      <c r="DA12" s="73" t="str">
        <f>IF(D12="","",IF(AND('Job Sheet'!AO18="Yes",'Mitred Cutting'!I18="Short Leg Left, Right and Top",'Mitred Cutting'!J18="Woodland Grey(Green Tone)"),(('Job Sheet'!E18*2+60)+'Job Sheet'!AP18+60),IF(AND('Mitred Cutting'!I18="Short Leg 1 Side",'Mitred Cutting'!J18="Woodland Grey(Green Tone)"),'Job Sheet'!E18+30,IF(AND('Mitred Cutting'!I18="Short Leg Left, Right and Top",'Mitred Cutting'!J18="Woodland Grey(Green Tone)"),(('Job Sheet'!E18*2+60)+'Job Sheet'!D18+60),""))))</f>
        <v/>
      </c>
      <c r="DB12" s="73" t="str">
        <f>IF(D12="","",IF(AND('Job Sheet'!AO18="Yes",'Mitred Cutting'!I18="Short Leg Left, Right and Top",'Mitred Cutting'!J18="Pearl White"),(('Job Sheet'!E18*2+60)+'Job Sheet'!AP18+60),IF(AND('Mitred Cutting'!I18="Short Leg 1 Side",'Mitred Cutting'!J18="Pearl White"),'Job Sheet'!E18+30,IF(AND('Mitred Cutting'!I18="Short Leg Left, Right and Top",'Mitred Cutting'!J18="Pearl White"),(('Job Sheet'!E18*2+60)+'Job Sheet'!D18+60),""))))</f>
        <v/>
      </c>
      <c r="DC12" s="73" t="str">
        <f>IF(D12="","",IF(AND('Job Sheet'!AO18="Yes",'Mitred Cutting'!I18="Short Leg Left, Right and Top",'Mitred Cutting'!J18="Monument"),(('Job Sheet'!E18*2+60)+'Job Sheet'!AP18+60),IF(AND('Mitred Cutting'!I18="Short Leg 1 Side",'Mitred Cutting'!J18="Monument"),'Job Sheet'!E18+30,IF(AND('Mitred Cutting'!I18="Short Leg Left, Right and Top",'Mitred Cutting'!J18="Monument"),(('Job Sheet'!E18*2+60)+'Job Sheet'!D18+60),""))))</f>
        <v/>
      </c>
      <c r="DD12" s="73" t="str">
        <f>IF(D12="","",IF(AND('Job Sheet'!AO18="Yes",'Mitred Cutting'!I18="Short Leg Left, Right and Top",'Mitred Cutting'!J18="Surfmist"),(('Job Sheet'!E18*2+60)+'Job Sheet'!AP18+60),IF(AND('Mitred Cutting'!I18="Short Leg 1 Side",'Mitred Cutting'!J18="Surfmist"),'Job Sheet'!E18+30,IF(AND('Mitred Cutting'!I18="Short Leg Left, Right and Top",'Mitred Cutting'!J18="Surfmist"),(('Job Sheet'!E18*2+60)+'Job Sheet'!D18+60),""))))</f>
        <v/>
      </c>
      <c r="DE12" s="73" t="str">
        <f>IF(D12="","",IF(AND('Job Sheet'!AO18="Yes",'Mitred Cutting'!I18="Short Leg Left, Right and Top",'Mitred Cutting'!J18="Dune"),(('Job Sheet'!E18*2+60)+'Job Sheet'!AP18+60),IF(AND('Mitred Cutting'!I18="Short Leg 1 Side",'Mitred Cutting'!J18="Dune"),'Job Sheet'!E18+30,IF(AND('Mitred Cutting'!I18="Short Leg Left, Right and Top",'Mitred Cutting'!J18="Dune"),(('Job Sheet'!E18*2+60)+'Job Sheet'!D18+60),""))))</f>
        <v/>
      </c>
      <c r="DG12" s="73" t="str">
        <f>IF(D12="","",IF(AND('Job Sheet'!AO18="Yes",'Mitred Cutting'!I18="Short Leg Left, Right and Top",Data!BP18="Powdercoat"),(('Job Sheet'!E18*2+60)+'Job Sheet'!AP18+60),IF(AND('Mitred Cutting'!I18="Short Leg 1 Side",Data!BP18="Powdercoat"),'Job Sheet'!E18+30,IF(AND('Mitred Cutting'!I18="Short Leg Left, Right and Top",Data!BP18="Powdercoat"),(('Job Sheet'!E18*2+60)+'Job Sheet'!D18+60),""))))</f>
        <v/>
      </c>
      <c r="DH12" s="73" t="str">
        <f>IF(D12="","",IF(AND('Job Sheet'!AO18="Yes",'Mitred Cutting'!I18="Long Leg Left, Right and Top",'Mitred Cutting'!J18="APO Grey"),(('Job Sheet'!E18*2+60)+'Job Sheet'!AP18+60),IF(AND('Mitred Cutting'!I18="Long Leg 1 Side",'Mitred Cutting'!J18="APO Grey"),'Job Sheet'!E18+30,IF(AND('Mitred Cutting'!I18="Long Leg Left, Right and Top",'Mitred Cutting'!J18="APO Grey"),(('Job Sheet'!E18*2+60)+'Job Sheet'!D18+60),""))))</f>
        <v/>
      </c>
      <c r="DI12" s="73" t="str">
        <f>IF(D12="","",IF(AND('Job Sheet'!AO18="Yes",'Mitred Cutting'!I18="Long Leg Left, Right and Top",'Mitred Cutting'!J18="White Birch"),(('Job Sheet'!E18*2+60)+'Job Sheet'!AP18+60),IF(AND('Mitred Cutting'!I18="Long Leg 1 Side",'Mitred Cutting'!J18="White Birch"),'Job Sheet'!E18+30,IF(AND('Mitred Cutting'!I18="Long Leg Left, Right and Top",'Mitred Cutting'!J18="White Birch"),(('Job Sheet'!E18*2+60)+'Job Sheet'!D18+60),""))))</f>
        <v/>
      </c>
      <c r="DJ12" s="73" t="str">
        <f>IF(D12="","",IF(AND('Job Sheet'!AO18="Yes",'Mitred Cutting'!I18="Long Leg Left, Right and Top",'Mitred Cutting'!J18="Black"),(('Job Sheet'!E18*2+60)+'Job Sheet'!AP18+60),IF(AND('Mitred Cutting'!I18="Long Leg 1 Side",'Mitred Cutting'!J18="Black"),'Job Sheet'!E18+30,IF(AND('Mitred Cutting'!I18="Long Leg Left, Right and Top",'Mitred Cutting'!J18="Black"),(('Job Sheet'!E18*2+60)+'Job Sheet'!D18+60),""))))</f>
        <v/>
      </c>
      <c r="DK12" s="73" t="str">
        <f>IF(D12="","",IF(AND('Job Sheet'!AO18="Yes",'Mitred Cutting'!I18="Long Leg Left, Right and Top",'Mitred Cutting'!J18="Brown"),(('Job Sheet'!E18*2+60)+'Job Sheet'!AP18+60),IF(AND('Mitred Cutting'!I18="Long Leg 1 Side",'Mitred Cutting'!J18="Brown"),'Job Sheet'!E18+30,IF(AND('Mitred Cutting'!I18="Long Leg Left, Right and Top",'Mitred Cutting'!J18="Brown"),(('Job Sheet'!E18*2+60)+'Job Sheet'!D18+60),""))))</f>
        <v/>
      </c>
      <c r="DL12" s="73" t="str">
        <f>IF(D12="","",IF(AND('Job Sheet'!AO18="Yes",'Mitred Cutting'!I18="Long Leg Left, Right and Top",'Mitred Cutting'!J18="Deep Ocean"),(('Job Sheet'!E18*2+60)+'Job Sheet'!AP18+60),IF(AND('Mitred Cutting'!I18="Long Leg 1 Side",'Mitred Cutting'!J18="Deep Ocean"),'Job Sheet'!E18+30,IF(AND('Mitred Cutting'!I18="Long Leg Left, Right and Top",'Mitred Cutting'!J18="Deep Ocean"),(('Job Sheet'!E18*2+60)+'Job Sheet'!D18+60),""))))</f>
        <v/>
      </c>
      <c r="DM12" s="73" t="str">
        <f>IF(D12="","",IF(AND('Job Sheet'!AO18="Yes",'Mitred Cutting'!I18="Long Leg Left, Right and Top",'Mitred Cutting'!J18="Jasper"),(('Job Sheet'!E18*2+60)+'Job Sheet'!AP18+60),IF(AND('Mitred Cutting'!I18="Long Leg 1 Side",'Mitred Cutting'!J18="Jasper"),'Job Sheet'!E18+30,IF(AND('Mitred Cutting'!I18="Long Leg Left, Right and Top",'Mitred Cutting'!J18="Jasper"),(('Job Sheet'!E18*2+60)+'Job Sheet'!D18+60),""))))</f>
        <v/>
      </c>
      <c r="DN12" s="73" t="str">
        <f>IF(D12="","",IF(AND('Job Sheet'!AO18="Yes",'Mitred Cutting'!I18="Long Leg Left, Right and Top",'Mitred Cutting'!J18="Paperbark"),(('Job Sheet'!E18*2+60)+'Job Sheet'!AP18+60),IF(AND('Mitred Cutting'!I18="Long Leg 1 Side",'Mitred Cutting'!J18="Paperbark"),'Job Sheet'!E18+30,IF(AND('Mitred Cutting'!I18="Long Leg Left, Right and Top",'Mitred Cutting'!J18="Paperbark"),(('Job Sheet'!E18*2+60)+'Job Sheet'!D18+60),""))))</f>
        <v/>
      </c>
      <c r="DO12" s="73" t="str">
        <f>IF(D12="","",IF(AND('Job Sheet'!AO18="Yes",'Mitred Cutting'!I18="Long Leg Left, Right and Top",'Mitred Cutting'!J18="Mist Green"),(('Job Sheet'!E18*2+60)+'Job Sheet'!AP18+60),IF(AND('Mitred Cutting'!I18="Long Leg 1 Side",'Mitred Cutting'!J18="Mist Green"),'Job Sheet'!E18+30,IF(AND('Mitred Cutting'!I18="Long Leg Left, Right and Top",'Mitred Cutting'!J18="Mist Green"),(('Job Sheet'!E18*2+60)+'Job Sheet'!D18+60),""))))</f>
        <v/>
      </c>
      <c r="DP12" s="73" t="str">
        <f>IF(D12="","",IF(AND('Job Sheet'!AO18="Yes",'Mitred Cutting'!I18="Long Leg Left, Right and Top",'Mitred Cutting'!J18="Primrose"),(('Job Sheet'!E18*2+60)+'Job Sheet'!AP18+60),IF(AND('Mitred Cutting'!I18="Long Leg 1 Side",'Mitred Cutting'!J18="Primrose"),'Job Sheet'!E18+30,IF(AND('Mitred Cutting'!I18="Long Leg Left, Right and Top",'Mitred Cutting'!J18="Primrose"),(('Job Sheet'!E18*2+60)+'Job Sheet'!D18+60),""))))</f>
        <v/>
      </c>
      <c r="DQ12" s="73" t="str">
        <f>IF(D12="","",IF(AND('Job Sheet'!AO18="Yes",'Mitred Cutting'!I18="Long Leg Left, Right and Top",'Mitred Cutting'!J18="Ultra Silver"),(('Job Sheet'!E18*2+60)+'Job Sheet'!AP18+60),IF(AND('Mitred Cutting'!I18="Long Leg 1 Side",'Mitred Cutting'!J18="Ultra Silver"),'Job Sheet'!E18+30,IF(AND('Mitred Cutting'!I18="Long Leg Left, Right and Top",'Mitred Cutting'!J18="Ultra Silver"),(('Job Sheet'!E18*2+60)+'Job Sheet'!D18+60),""))))</f>
        <v/>
      </c>
      <c r="DR12" s="73" t="str">
        <f>IF(D12="","",IF(AND('Job Sheet'!AO18="Yes",'Mitred Cutting'!I18="Long Leg Left, Right and Top",'Mitred Cutting'!J18="Woodland Grey(Green Tone)"),(('Job Sheet'!E18*2+60)+'Job Sheet'!AP18+60),IF(AND('Mitred Cutting'!I18="Long Leg 1 Side",'Mitred Cutting'!J18="Woodland Grey(Green Tone)"),'Job Sheet'!E18+30,IF(AND('Mitred Cutting'!I18="Long Leg Left, Right and Top",'Mitred Cutting'!J18="Woodland Grey(Green Tone)"),(('Job Sheet'!E18*2+60)+'Job Sheet'!D18+60),""))))</f>
        <v/>
      </c>
      <c r="DS12" s="73" t="str">
        <f>IF(D12="","",IF(AND('Job Sheet'!AO18="Yes",'Mitred Cutting'!I18="Long Leg Left, Right and Top",'Mitred Cutting'!J18="Pearl White"),(('Job Sheet'!E18*2+60)+'Job Sheet'!AP18+60),IF(AND('Mitred Cutting'!I18="Long Leg 1 Side",'Mitred Cutting'!J18="Pearl White"),'Job Sheet'!E18+30,IF(AND('Mitred Cutting'!I18="Long Leg Left, Right and Top",'Mitred Cutting'!J18="Pearl White"),(('Job Sheet'!E18*2+60)+'Job Sheet'!D18+60),""))))</f>
        <v/>
      </c>
      <c r="DT12" s="73" t="str">
        <f>IF(D12="","",IF(AND('Job Sheet'!AO18="Yes",'Mitred Cutting'!I18="Long Leg Left, Right and Top",'Mitred Cutting'!J18="Monument"),(('Job Sheet'!E18*2+60)+'Job Sheet'!AP18+60),IF(AND('Mitred Cutting'!I18="Long Leg 1 Side",'Mitred Cutting'!J18="Monument"),'Job Sheet'!E18+30,IF(AND('Mitred Cutting'!I18="Long Leg Left, Right and Top",'Mitred Cutting'!J18="Monument"),(('Job Sheet'!E18*2+60)+'Job Sheet'!D18+60),""))))</f>
        <v/>
      </c>
      <c r="DU12" s="73" t="str">
        <f>IF(D12="","",IF(AND('Job Sheet'!AO18="Yes",'Mitred Cutting'!I18="Long Leg Left, Right and Top",'Mitred Cutting'!J18="Surfmist"),(('Job Sheet'!E18*2+60)+'Job Sheet'!AP18+60),IF(AND('Mitred Cutting'!I18="Long Leg 1 Side",'Mitred Cutting'!J18="Surfmist"),'Job Sheet'!E18+30,IF(AND('Mitred Cutting'!I18="Long Leg Left, Right and Top",'Mitred Cutting'!J18="Surfmist"),(('Job Sheet'!E18*2+60)+'Job Sheet'!D18+60),""))))</f>
        <v/>
      </c>
      <c r="DV12" s="73" t="str">
        <f>IF(D12="","",IF(AND('Job Sheet'!AO18="Yes",'Mitred Cutting'!I18="Long Leg Left, Right and Top",'Mitred Cutting'!J18="Dune"),(('Job Sheet'!E18*2+60)+'Job Sheet'!AP18+60),IF(AND('Mitred Cutting'!I18="Long Leg 1 Side",'Mitred Cutting'!J18="Dune"),'Job Sheet'!E18+30,IF(AND('Mitred Cutting'!I18="Long Leg Left, Right and Top",'Mitred Cutting'!J18="Dune"),(('Job Sheet'!E18*2+60)+'Job Sheet'!D18+60),""))))</f>
        <v/>
      </c>
      <c r="DX12" s="73" t="str">
        <f>IF(D12="","",IF(AND('Job Sheet'!AO18="Yes",'Mitred Cutting'!I18="Long Leg Left, Right and Top",Data!BP18="Powdercoat"),(('Job Sheet'!E18*2+60)+'Job Sheet'!AP18+60),IF(AND('Mitred Cutting'!I18="Long Leg 1 Side",Data!BP18="Powdercoat"),'Job Sheet'!E18+30,IF(AND('Mitred Cutting'!I18="Long Leg Left, Right and Top",Data!BP18="Powdercoat"),(('Job Sheet'!E18*2+60)+'Job Sheet'!D18+60),""))))</f>
        <v/>
      </c>
      <c r="EA12" s="73" t="str">
        <f>IF(Data!AV18="","",IF('Job Sheet'!AV18="Yes",VLOOKUP(CONCATENATE('Job Sheet'!AW18,'Job Sheet'!AY18),DogDoor,4,FALSE),""))</f>
        <v/>
      </c>
      <c r="FE12" s="73" t="str">
        <f>IF(AND('Straight Cutting'!F18&lt;&gt;"",'Mitred Cutting'!D18="APO Grey"),'Straight Cutting'!F18,"")</f>
        <v/>
      </c>
      <c r="FF12" s="73" t="str">
        <f>IF(AND('Straight Cutting'!F18&lt;&gt;"",'Mitred Cutting'!D18="White Birch"),'Straight Cutting'!F18,"")</f>
        <v/>
      </c>
      <c r="FG12" s="73" t="str">
        <f>IF(AND('Straight Cutting'!F18&lt;&gt;"",'Mitred Cutting'!D18="Black"),'Straight Cutting'!F18,"")</f>
        <v/>
      </c>
      <c r="FH12" s="73" t="str">
        <f>IF(AND('Straight Cutting'!F18&lt;&gt;"",'Mitred Cutting'!D18="Brown"),'Straight Cutting'!F18,"")</f>
        <v/>
      </c>
      <c r="FI12" s="73" t="str">
        <f>IF(AND('Straight Cutting'!F18&lt;&gt;"",'Mitred Cutting'!D18="Deep Ocean"),'Straight Cutting'!F18,"")</f>
        <v/>
      </c>
      <c r="FJ12" s="73" t="str">
        <f>IF(AND('Straight Cutting'!F18&lt;&gt;"",'Mitred Cutting'!D18="Jasper"),'Straight Cutting'!F18,"")</f>
        <v/>
      </c>
      <c r="FK12" s="73" t="str">
        <f>IF(AND('Straight Cutting'!F18&lt;&gt;"",'Mitred Cutting'!D18="Paperbark"),'Straight Cutting'!F18,"")</f>
        <v/>
      </c>
      <c r="FL12" s="73" t="str">
        <f>IF(AND('Straight Cutting'!F18&lt;&gt;"",'Mitred Cutting'!D18="Mist Green"),'Straight Cutting'!F18,"")</f>
        <v/>
      </c>
      <c r="FM12" s="73" t="str">
        <f>IF(AND('Straight Cutting'!F18&lt;&gt;"",'Mitred Cutting'!D18="Primrose"),'Straight Cutting'!F18,"")</f>
        <v/>
      </c>
      <c r="FN12" s="73" t="str">
        <f>IF(AND('Straight Cutting'!F18&lt;&gt;"",'Mitred Cutting'!D18="Ultra Silver"),'Straight Cutting'!F18,"")</f>
        <v/>
      </c>
      <c r="FO12" s="73" t="str">
        <f>IF(AND('Straight Cutting'!F18&lt;&gt;"",'Mitred Cutting'!D18="Woodland Grey(Green Tone)"),'Straight Cutting'!F18,"")</f>
        <v/>
      </c>
      <c r="FP12" s="73" t="str">
        <f>IF(AND('Straight Cutting'!F18&lt;&gt;"",'Mitred Cutting'!D18="Pearl White"),'Straight Cutting'!F18,"")</f>
        <v/>
      </c>
      <c r="FQ12" s="73" t="str">
        <f>IF(AND('Straight Cutting'!F18&lt;&gt;"",'Mitred Cutting'!D18="Monument"),'Straight Cutting'!F18,"")</f>
        <v/>
      </c>
      <c r="FR12" s="73" t="str">
        <f>IF(AND('Straight Cutting'!F18&lt;&gt;"",'Mitred Cutting'!D18="Surfmist"),'Straight Cutting'!F18,"")</f>
        <v/>
      </c>
      <c r="FS12" s="73" t="str">
        <f>IF(AND('Straight Cutting'!F18&lt;&gt;"",'Mitred Cutting'!D18="Dune"),'Straight Cutting'!F18,"")</f>
        <v/>
      </c>
      <c r="FU12" s="73" t="str">
        <f>IF(AND('Straight Cutting'!F18&lt;&gt;"",Data!BP18="Powdercoat",'Job Sheet'!AA18&lt;&gt;"Woodland Grey (Dulux)"),'Straight Cutting'!F18,"")</f>
        <v/>
      </c>
      <c r="FV12" s="73" t="str">
        <f>IF(AND('Straight Cutting'!E18="F &amp; Z Frames",'Mitred Cutting'!D18="APO Grey"),'Straight Cutting'!G18,"")</f>
        <v/>
      </c>
      <c r="FW12" s="73" t="str">
        <f>IF(AND('Straight Cutting'!E18="F &amp; Z Frames",'Mitred Cutting'!D18="White Birch"),'Straight Cutting'!G18,"")</f>
        <v/>
      </c>
      <c r="FX12" s="73" t="str">
        <f>IF(AND('Straight Cutting'!E18="F &amp; Z Frames",'Mitred Cutting'!D18="Black"),'Straight Cutting'!G18,"")</f>
        <v/>
      </c>
      <c r="FY12" s="73" t="str">
        <f>IF(AND('Straight Cutting'!E18="F &amp; Z Frames",'Mitred Cutting'!D18="Brown"),'Straight Cutting'!G18,"")</f>
        <v/>
      </c>
      <c r="FZ12" s="73" t="str">
        <f>IF(AND('Straight Cutting'!E18="F &amp; Z Frames",'Mitred Cutting'!D18="Deep Ocean"),'Straight Cutting'!G18,"")</f>
        <v/>
      </c>
      <c r="GA12" s="73" t="str">
        <f>IF(AND('Straight Cutting'!E18="F &amp; Z Frames",'Mitred Cutting'!D18="Jasper"),'Straight Cutting'!G18,"")</f>
        <v/>
      </c>
      <c r="GB12" s="73" t="str">
        <f>IF(AND('Straight Cutting'!E18="F &amp; Z Frames",'Mitred Cutting'!D18="Paperbark"),'Straight Cutting'!G18,"")</f>
        <v/>
      </c>
      <c r="GC12" s="73" t="str">
        <f>IF(AND('Straight Cutting'!E18="F &amp; Z Frames",'Mitred Cutting'!D18="Mist Green"),'Straight Cutting'!G18,"")</f>
        <v/>
      </c>
      <c r="GD12" s="73" t="str">
        <f>IF(AND('Straight Cutting'!E18="F &amp; Z Frames",'Mitred Cutting'!D18="Primrose"),'Straight Cutting'!G18,"")</f>
        <v/>
      </c>
      <c r="GE12" s="73" t="str">
        <f>IF(AND('Straight Cutting'!E18="F &amp; Z Frames",'Mitred Cutting'!D18="Ultra Silver"),'Straight Cutting'!G18,"")</f>
        <v/>
      </c>
      <c r="GF12" s="73" t="str">
        <f>IF(AND('Straight Cutting'!E18="F &amp; Z Frames",'Mitred Cutting'!D18="Woodland Grey(Green Tone)"),'Straight Cutting'!G18,"")</f>
        <v/>
      </c>
      <c r="GG12" s="73" t="str">
        <f>IF(AND('Straight Cutting'!E18="F &amp; Z Frames",'Mitred Cutting'!D18="Pearl White"),'Straight Cutting'!G18,"")</f>
        <v/>
      </c>
      <c r="GH12" s="73" t="str">
        <f>IF(AND('Straight Cutting'!E18="F &amp; Z Frames",'Mitred Cutting'!D18="Monument"),'Straight Cutting'!G18,"")</f>
        <v/>
      </c>
      <c r="GI12" s="73" t="str">
        <f>IF(AND('Straight Cutting'!E18="F &amp; Z Frames",'Mitred Cutting'!D18="Surfmist"),'Straight Cutting'!G18,"")</f>
        <v/>
      </c>
      <c r="GJ12" s="73" t="str">
        <f>IF(AND('Straight Cutting'!E18="F &amp; Z Frames",'Mitred Cutting'!D18="Dune"),'Straight Cutting'!G18,"")</f>
        <v/>
      </c>
      <c r="GK12" s="73" t="str">
        <f>IF(AND('Straight Cutting'!E18="F &amp; Z Frames",Data!BP18="Powdercoat"),'Straight Cutting'!G18,"")</f>
        <v/>
      </c>
      <c r="GL12" s="73" t="str">
        <f>IF(AND('Straight Cutting'!E18="F &amp; High Step Z Frame",'Mitred Cutting'!D18="APO Grey"),'Straight Cutting'!G18,"")</f>
        <v/>
      </c>
      <c r="GM12" s="73" t="str">
        <f>IF(AND('Straight Cutting'!E18="F &amp; High Step Z Frame",'Mitred Cutting'!D18="White Birch"),'Straight Cutting'!G18,"")</f>
        <v/>
      </c>
      <c r="GN12" s="73" t="str">
        <f>IF(AND('Straight Cutting'!E18="F &amp; High Step Z Frame",'Mitred Cutting'!D18="Black"),'Straight Cutting'!G18,"")</f>
        <v/>
      </c>
      <c r="GO12" s="73" t="str">
        <f>IF(AND('Straight Cutting'!E18="F &amp; High Step Z Frame",'Mitred Cutting'!D18="Brown"),'Straight Cutting'!G18,"")</f>
        <v/>
      </c>
      <c r="GP12" s="73" t="str">
        <f>IF(AND('Straight Cutting'!E18="F &amp; High Step Z Frame",'Mitred Cutting'!D18="Deep Ocean"),'Straight Cutting'!G18,"")</f>
        <v/>
      </c>
      <c r="GQ12" s="73" t="str">
        <f>IF(AND('Straight Cutting'!E18="F &amp; High Step Z Frame",'Mitred Cutting'!D18="Jasper"),'Straight Cutting'!G18,"")</f>
        <v/>
      </c>
      <c r="GR12" s="73" t="str">
        <f>IF(AND('Straight Cutting'!E18="F &amp; High Step Z Frame",'Mitred Cutting'!D18="Paperbark"),'Straight Cutting'!G18,"")</f>
        <v/>
      </c>
      <c r="GS12" s="73" t="str">
        <f>IF(AND('Straight Cutting'!E18="F &amp; High Step Z Frame",'Mitred Cutting'!D18="Mist Green"),'Straight Cutting'!G18,"")</f>
        <v/>
      </c>
      <c r="GT12" s="73" t="str">
        <f>IF(AND('Straight Cutting'!E18="F &amp; High Step Z Frame",'Mitred Cutting'!D18="Primrose"),'Straight Cutting'!G18,"")</f>
        <v/>
      </c>
      <c r="GU12" s="73" t="str">
        <f>IF(AND('Straight Cutting'!E18="F &amp; High Step Z Frame",'Mitred Cutting'!D18="Ultra Silver"),'Straight Cutting'!G18,"")</f>
        <v/>
      </c>
      <c r="GV12" s="73" t="str">
        <f>IF(AND('Straight Cutting'!E18="F &amp; High Step Z Frame",'Mitred Cutting'!D18="Woodland Grey(Green Tone)"),'Straight Cutting'!G18,"")</f>
        <v/>
      </c>
      <c r="GW12" s="73" t="str">
        <f>IF(AND('Straight Cutting'!E18="F &amp; High Step Z Frame",'Mitred Cutting'!D18="Pearl White"),'Straight Cutting'!G18,"")</f>
        <v/>
      </c>
      <c r="GX12" s="73" t="str">
        <f>IF(AND('Straight Cutting'!E18="F &amp; High Step Z Frame",'Mitred Cutting'!D18="Monument"),'Straight Cutting'!G18,"")</f>
        <v/>
      </c>
      <c r="GY12" s="73" t="str">
        <f>IF(AND('Straight Cutting'!E18="F &amp; High Step Z Frame",'Mitred Cutting'!D18="Surfmist"),'Straight Cutting'!G18,"")</f>
        <v/>
      </c>
      <c r="GZ12" s="73" t="str">
        <f>IF(AND('Straight Cutting'!E18="F &amp; High Step Z Frame",'Mitred Cutting'!D18="Dune"),'Straight Cutting'!G18,"")</f>
        <v/>
      </c>
      <c r="HA12" s="73" t="str">
        <f>IF(AND('Straight Cutting'!E18="F &amp; High Step Z Frame",Data!BP18="Powdercoat"),'Straight Cutting'!G18,"")</f>
        <v/>
      </c>
      <c r="HB12" s="73" t="str">
        <f>IF(AND('Straight Cutting'!I18&lt;&gt;"",'Mitred Cutting'!D18="APO Grey"),'Straight Cutting'!I18,"")</f>
        <v/>
      </c>
      <c r="HC12" s="73" t="str">
        <f>IF(AND('Straight Cutting'!I18&lt;&gt;"",'Mitred Cutting'!D18="White Birch"),'Straight Cutting'!I18,"")</f>
        <v/>
      </c>
      <c r="HD12" s="73" t="str">
        <f>IF(AND('Straight Cutting'!I18&lt;&gt;"",'Mitred Cutting'!D18="Black"),'Straight Cutting'!I18,"")</f>
        <v/>
      </c>
      <c r="HE12" s="73" t="str">
        <f>IF(AND('Straight Cutting'!I18&lt;&gt;"",'Mitred Cutting'!D18="Brown"),'Straight Cutting'!I18,"")</f>
        <v/>
      </c>
      <c r="HF12" s="73" t="str">
        <f>IF(AND('Straight Cutting'!I18&lt;&gt;"",'Mitred Cutting'!D18="Deep Ocean"),'Straight Cutting'!I18,"")</f>
        <v/>
      </c>
      <c r="HG12" s="73" t="str">
        <f>IF(AND('Straight Cutting'!I18&lt;&gt;"",'Mitred Cutting'!D18="Jasper"),'Straight Cutting'!I18,"")</f>
        <v/>
      </c>
      <c r="HH12" s="73" t="str">
        <f>IF(AND('Straight Cutting'!I18&lt;&gt;"",'Mitred Cutting'!D18="Paperbark"),'Straight Cutting'!I18,"")</f>
        <v/>
      </c>
      <c r="HI12" s="73" t="str">
        <f>IF(AND('Straight Cutting'!I18&lt;&gt;"",'Mitred Cutting'!D18="Mist Green"),'Straight Cutting'!I18,"")</f>
        <v/>
      </c>
      <c r="HJ12" s="73" t="str">
        <f>IF(AND('Straight Cutting'!I18&lt;&gt;"",'Mitred Cutting'!D18="Primrose"),'Straight Cutting'!I18,"")</f>
        <v/>
      </c>
      <c r="HK12" s="73" t="str">
        <f>IF(AND('Straight Cutting'!I18&lt;&gt;"",'Mitred Cutting'!D18="Ultra Silver"),'Straight Cutting'!I18,"")</f>
        <v/>
      </c>
      <c r="HL12" s="73" t="str">
        <f>IF(AND('Straight Cutting'!I18&lt;&gt;"",'Mitred Cutting'!D18="Woodland Grey(Green Tone)"),'Straight Cutting'!I18,"")</f>
        <v/>
      </c>
      <c r="HM12" s="73" t="str">
        <f>IF(AND('Straight Cutting'!I18&lt;&gt;"",'Mitred Cutting'!D18="Pearl White"),'Straight Cutting'!I18,"")</f>
        <v/>
      </c>
      <c r="HN12" s="73" t="str">
        <f>IF(AND('Straight Cutting'!I18&lt;&gt;"",'Mitred Cutting'!D18="Monument"),'Straight Cutting'!I18,"")</f>
        <v/>
      </c>
      <c r="HO12" s="73" t="str">
        <f>IF(AND('Straight Cutting'!I18&lt;&gt;"",'Mitred Cutting'!D18="Surfmist"),'Straight Cutting'!I18,"")</f>
        <v/>
      </c>
      <c r="HP12" s="73" t="str">
        <f>IF(AND('Straight Cutting'!I18&lt;&gt;"",'Mitred Cutting'!D18="Dune"),'Straight Cutting'!I18,"")</f>
        <v/>
      </c>
      <c r="HR12" s="73" t="str">
        <f>IF(AND('Straight Cutting'!I18&lt;&gt;"",'Mitred Cutting'!D18="Powdercoat"),'Straight Cutting'!I18,"")</f>
        <v/>
      </c>
      <c r="HS12" s="73" t="str">
        <f>IF(AND('Mitred Cutting'!D18="APO Grey",'Job Sheet'!AQ18="T Mullion with Cutouts and 2 Lock Bolts"),'Straight Cutting'!J18,"")</f>
        <v/>
      </c>
      <c r="HT12" s="73" t="str">
        <f>IF(AND('Mitred Cutting'!D18="White Birch",'Job Sheet'!AQ18="T Mullion with Cutouts and 2 Lock Bolts"),'Straight Cutting'!J18,"")</f>
        <v/>
      </c>
      <c r="HU12" s="73" t="str">
        <f>IF(AND('Mitred Cutting'!D18="Black",'Job Sheet'!AQ18="T Mullion with Cutouts and 2 Lock Bolts"),'Straight Cutting'!J18,"")</f>
        <v/>
      </c>
      <c r="HV12" s="73" t="str">
        <f>IF(AND('Mitred Cutting'!D18="Brown",'Job Sheet'!AQ18="T Mullion with Cutouts and 2 Lock Bolts"),'Straight Cutting'!J18,"")</f>
        <v/>
      </c>
      <c r="HW12" s="73" t="str">
        <f>IF(AND('Mitred Cutting'!D18="Deep Ocean",'Job Sheet'!AQ18="T Mullion with Cutouts and 2 Lock Bolts"),'Straight Cutting'!J18,"")</f>
        <v/>
      </c>
      <c r="HX12" s="73" t="str">
        <f>IF(AND('Mitred Cutting'!D18="Jasper",'Job Sheet'!AQ18="T Mullion with Cutouts and 2 Lock Bolts"),'Straight Cutting'!J18,"")</f>
        <v/>
      </c>
      <c r="HY12" s="73" t="str">
        <f>IF(AND('Mitred Cutting'!D18="Paperbark",'Job Sheet'!AQ18="T Mullion with Cutouts and 2 Lock Bolts"),'Straight Cutting'!J18,"")</f>
        <v/>
      </c>
      <c r="HZ12" s="73" t="str">
        <f>IF(AND('Mitred Cutting'!D18="Mist Green",'Job Sheet'!AQ18="T Mullion with Cutouts and 2 Lock Bolts"),'Straight Cutting'!J18,"")</f>
        <v/>
      </c>
      <c r="IA12" s="73" t="str">
        <f>IF(AND('Mitred Cutting'!D18="Primrose",'Job Sheet'!AQ18="T Mullion with Cutouts and 2 Lock Bolts"),'Straight Cutting'!J18,"")</f>
        <v/>
      </c>
      <c r="IB12" s="73" t="str">
        <f>IF(AND('Mitred Cutting'!D18="Ultra Silver",'Job Sheet'!AQ18="T Mullion with Cutouts and 2 Lock Bolts"),'Straight Cutting'!J18,"")</f>
        <v/>
      </c>
      <c r="IC12" s="73" t="str">
        <f>IF(AND('Mitred Cutting'!D18="Woodland Grey(Green Tone)",'Job Sheet'!AQ18="T Mullion with Cutouts and 2 Lock Bolts"),'Straight Cutting'!J18,"")</f>
        <v/>
      </c>
      <c r="ID12" s="73" t="str">
        <f>IF(AND('Mitred Cutting'!D18="Pearl White",'Job Sheet'!AQ18="T Mullion with Cutouts and 2 Lock Bolts"),'Straight Cutting'!J18,"")</f>
        <v/>
      </c>
      <c r="IE12" s="73" t="str">
        <f>IF(AND('Mitred Cutting'!D18="Monument",'Job Sheet'!AQ18="T Mullion with Cutouts and 2 Lock Bolts"),'Straight Cutting'!J18,"")</f>
        <v/>
      </c>
      <c r="IF12" s="73" t="str">
        <f>IF(AND('Mitred Cutting'!D18="Surfmist",'Job Sheet'!AQ18="T Mullion with Cutouts and 2 Lock Bolts"),'Straight Cutting'!J18,"")</f>
        <v/>
      </c>
      <c r="IG12" s="73" t="str">
        <f>IF(AND('Mitred Cutting'!D18="Dune",'Job Sheet'!AQ18="T Mullion with Cutouts and 2 Lock Bolts"),'Straight Cutting'!J18,"")</f>
        <v/>
      </c>
      <c r="IH12" s="73" t="str">
        <f>IF(AND('Job Sheet'!Z18="Custom Powdercoat",'Job Sheet'!AQ18="T Mullion with Cutouts and 2 Lock Bolts"),'Straight Cutting'!J18,"")</f>
        <v/>
      </c>
      <c r="II12" s="73" t="str">
        <f>IF(AND('Mitred Cutting'!D18="Apo Grey",'Straight Cutting'!E18="Bug Strip Frame"),'Job Sheet'!BH18-2+'Job Sheet'!BI18-50,IF(AND('Mitred Cutting'!D18="Apo Grey",'Straight Cutting'!E18&lt;&gt;"Bug Strip Frame"),'Straight Cutting'!D18,""))</f>
        <v/>
      </c>
      <c r="IJ12" s="73" t="str">
        <f>IF(AND('Mitred Cutting'!D18="White Birch",'Straight Cutting'!E18="Bug Strip Frame"),'Job Sheet'!BH18-2+'Job Sheet'!BI18-50,IF(AND('Mitred Cutting'!D18="White Birch",'Straight Cutting'!E18&lt;&gt;"Bug Strip Frame"),'Straight Cutting'!D18,""))</f>
        <v/>
      </c>
      <c r="IK12" s="73" t="str">
        <f>IF(AND('Mitred Cutting'!D18="Black",'Straight Cutting'!E18="Bug Strip Frame"),'Job Sheet'!BH18-2+'Job Sheet'!BI18-50,IF(AND('Mitred Cutting'!D18="Black",'Straight Cutting'!E18&lt;&gt;"Bug Strip Frame"),'Straight Cutting'!D18,""))</f>
        <v/>
      </c>
      <c r="IL12" s="73" t="str">
        <f>IF(AND('Mitred Cutting'!D18="Brown",'Straight Cutting'!E18="Bug Strip Frame"),'Job Sheet'!BH18-2+'Job Sheet'!BI18-50,IF(AND('Mitred Cutting'!D18="Brown",'Straight Cutting'!E18&lt;&gt;"Bug Strip Frame"),'Straight Cutting'!D18,""))</f>
        <v/>
      </c>
      <c r="IM12" s="73" t="str">
        <f>IF(AND('Mitred Cutting'!D18="Deep Ocean",'Straight Cutting'!E18="Bug Strip Frame"),'Job Sheet'!BH18-2+'Job Sheet'!BI18-50,IF(AND('Mitred Cutting'!D18="Deep Ocean",'Straight Cutting'!E18&lt;&gt;"Bug Strip Frame"),'Straight Cutting'!D18,""))</f>
        <v/>
      </c>
      <c r="IN12" s="73" t="str">
        <f>IF(AND('Mitred Cutting'!D18="Jasper",'Straight Cutting'!E18="Bug Strip Frame"),'Job Sheet'!BH18-2+'Job Sheet'!BI18-50,IF(AND('Mitred Cutting'!D18="Jasper",'Straight Cutting'!E18&lt;&gt;"Bug Strip Frame"),'Straight Cutting'!D18,""))</f>
        <v/>
      </c>
      <c r="IO12" s="73" t="str">
        <f>IF(AND('Mitred Cutting'!D18="Paperbark",'Straight Cutting'!E18="Bug Strip Frame"),'Job Sheet'!BH18-2+'Job Sheet'!BI18-50,IF(AND('Mitred Cutting'!D18="Paperbark",'Straight Cutting'!E18&lt;&gt;"Bug Strip Frame"),'Straight Cutting'!D18,""))</f>
        <v/>
      </c>
      <c r="IP12" s="73" t="str">
        <f>IF(AND('Mitred Cutting'!D18="Mist Green",'Straight Cutting'!E18="Bug Strip Frame"),'Job Sheet'!BH18-2+'Job Sheet'!BI18-50,IF(AND('Mitred Cutting'!D18="Mist Green",'Straight Cutting'!E18&lt;&gt;"Bug Strip Frame"),'Straight Cutting'!D18,""))</f>
        <v/>
      </c>
      <c r="IQ12" s="73" t="str">
        <f>IF(AND('Mitred Cutting'!D18="Primrose",'Straight Cutting'!E18="Bug Strip Frame"),'Job Sheet'!BH18-2+'Job Sheet'!BI18-50,IF(AND('Mitred Cutting'!D18="Primrose",'Straight Cutting'!E18&lt;&gt;"Bug Strip Frame"),'Straight Cutting'!D18,""))</f>
        <v/>
      </c>
      <c r="IR12" s="73" t="str">
        <f>IF(AND('Mitred Cutting'!D18="Ultra Silver",'Straight Cutting'!E18="Bug Strip Frame"),'Job Sheet'!BH18-2+'Job Sheet'!BI18-50,IF(AND('Mitred Cutting'!D18="Ultra Silver",'Straight Cutting'!E18&lt;&gt;"Bug Strip Frame"),'Straight Cutting'!D18,""))</f>
        <v/>
      </c>
      <c r="IS12" s="73" t="str">
        <f>IF(AND('Mitred Cutting'!D18="Woodland Grey(Green Tone)",'Straight Cutting'!E18="Bug Strip Frame"),'Job Sheet'!BH18-2+'Job Sheet'!BI18-50,IF(AND('Mitred Cutting'!D18="Woodland Grey(Green Tone)",'Straight Cutting'!E18&lt;&gt;"Bug Strip Frame"),'Straight Cutting'!D18,""))</f>
        <v/>
      </c>
      <c r="IT12" s="73" t="str">
        <f>IF(AND('Mitred Cutting'!D18="Pearl White",'Straight Cutting'!E18="Bug Strip Frame"),'Job Sheet'!BH18-2+'Job Sheet'!BI18-50,IF(AND('Mitred Cutting'!D18="Pearl White",'Straight Cutting'!E18&lt;&gt;"Bug Strip Frame"),'Straight Cutting'!D18,""))</f>
        <v/>
      </c>
      <c r="IU12" s="73" t="str">
        <f>IF(AND('Mitred Cutting'!D18="Monument",'Straight Cutting'!E18="Bug Strip Frame"),'Job Sheet'!BH18-2+'Job Sheet'!BI18-50,IF(AND('Mitred Cutting'!D18="Monument",'Straight Cutting'!E18&lt;&gt;"Bug Strip Frame"),'Straight Cutting'!D18,""))</f>
        <v/>
      </c>
      <c r="IV12" s="73" t="str">
        <f>IF(AND('Mitred Cutting'!D18="Surfmist",'Straight Cutting'!E18="Bug Strip Frame"),'Job Sheet'!BH18-2+'Job Sheet'!BI18-50,IF(AND('Mitred Cutting'!D18="Surfmist",'Straight Cutting'!E18&lt;&gt;"Bug Strip Frame"),'Straight Cutting'!D18,""))</f>
        <v/>
      </c>
      <c r="IW12" s="73" t="str">
        <f>IF(AND('Mitred Cutting'!D18="Dune",'Straight Cutting'!E18="Bug Strip Frame"),'Job Sheet'!BH18-2+'Job Sheet'!BI18-50,IF(AND('Mitred Cutting'!D18="Dune",'Straight Cutting'!E18&lt;&gt;"Bug Strip Frame"),'Straight Cutting'!D18,""))</f>
        <v/>
      </c>
      <c r="IX12" s="73" t="str">
        <f>IF(AND('Job Sheet'!AA18="Woodland Grey (Dulux)",'Straight Cutting'!E18="Bug Strip Frame"),'Job Sheet'!BH18-2+'Job Sheet'!BI18-50,IF(AND('Job Sheet'!AA18="Woodland Grey (Dulux)",'Straight Cutting'!E18&lt;&gt;"Bug Strip Frame"),'Straight Cutting'!D18,""))</f>
        <v/>
      </c>
      <c r="IY12" s="73" t="str">
        <f>IF(AND('Job Sheet'!Z18="Custom Powdercoat",'Job Sheet'!AA18&lt;&gt;"Woodland Grey (Dulux)",'Straight Cutting'!E18="Bug Strip Frame"),'Job Sheet'!BH18-2+'Job Sheet'!BI18-50,IF(AND('Job Sheet'!Z18="Custom Powdercoat",'Job Sheet'!AA18&lt;&gt;"Woodland Grey (Dulux)",'Straight Cutting'!E18&lt;&gt;"Bug Strip Frame"),'Straight Cutting'!D18,""))</f>
        <v/>
      </c>
      <c r="IZ12" s="73" t="str">
        <f>IF(AND('Straight Cutting'!L18="U Channel",'Mitred Cutting'!D18="APO Grey"),'Straight Cutting'!L18,"")</f>
        <v/>
      </c>
      <c r="JA12" s="73" t="str">
        <f>IF(AND('Straight Cutting'!K18="U Channel",'Mitred Cutting'!D18="White Birch"),'Straight Cutting'!L18,"")</f>
        <v/>
      </c>
      <c r="JB12" s="73" t="str">
        <f>IF(AND('Straight Cutting'!K18="U Channel",'Mitred Cutting'!D18="Black"),'Straight Cutting'!L18,"")</f>
        <v/>
      </c>
      <c r="JC12" s="73" t="str">
        <f>IF(AND('Straight Cutting'!K18="U Channel",'Mitred Cutting'!D18="Brown"),'Straight Cutting'!L18,"")</f>
        <v/>
      </c>
      <c r="JD12" s="73" t="str">
        <f>IF(AND('Straight Cutting'!K18="U Channel",'Mitred Cutting'!D18="Deep Ocean"),'Straight Cutting'!L18,"")</f>
        <v/>
      </c>
      <c r="JE12" s="73" t="str">
        <f>IF(AND('Straight Cutting'!K18="U Channel",'Mitred Cutting'!D18="Jasper"),'Straight Cutting'!L18,"")</f>
        <v/>
      </c>
      <c r="JF12" s="73" t="str">
        <f>IF(AND('Straight Cutting'!K18="U Channel",'Mitred Cutting'!D18="Paperbark"),'Straight Cutting'!L18,"")</f>
        <v/>
      </c>
      <c r="JG12" s="73" t="str">
        <f>IF(AND('Straight Cutting'!K18="U Channel",'Mitred Cutting'!D18="Mist Green"),'Straight Cutting'!L18,"")</f>
        <v/>
      </c>
      <c r="JH12" s="73" t="str">
        <f>IF(AND('Straight Cutting'!K18="U Channel",'Mitred Cutting'!D18="Primrose"),'Straight Cutting'!L18,"")</f>
        <v/>
      </c>
      <c r="JI12" s="73" t="str">
        <f>IF(AND('Straight Cutting'!K18="U Channel",'Mitred Cutting'!D18="Ultra Silver"),'Straight Cutting'!L18,"")</f>
        <v/>
      </c>
      <c r="JJ12" s="73" t="str">
        <f>IF(AND('Straight Cutting'!K18="U Channel",'Mitred Cutting'!D18="Woodland Grey(Green Tone)"),'Straight Cutting'!L18,"")</f>
        <v/>
      </c>
      <c r="JK12" s="73" t="str">
        <f>IF(AND('Straight Cutting'!K18="U Channel",'Mitred Cutting'!D18="Pearl White"),'Straight Cutting'!L18,"")</f>
        <v/>
      </c>
      <c r="JL12" s="73" t="str">
        <f>IF(AND('Straight Cutting'!K18="U Channel",'Mitred Cutting'!D18="Monument"),'Straight Cutting'!L18,"")</f>
        <v/>
      </c>
      <c r="JM12" s="73" t="str">
        <f>IF(AND('Straight Cutting'!K18="U Channel",'Mitred Cutting'!D18="Surfmist"),'Straight Cutting'!L18,"")</f>
        <v/>
      </c>
      <c r="JN12" s="73" t="str">
        <f>IF(AND('Straight Cutting'!K18="U Channel",'Mitred Cutting'!D18="Dune"),'Straight Cutting'!L18,"")</f>
        <v/>
      </c>
      <c r="JO12" s="73" t="str">
        <f>IF(AND('Straight Cutting'!K18="U Channel",'Job Sheet'!Z18="Custom Powdercoat"),'Straight Cutting'!L18,"")</f>
        <v/>
      </c>
      <c r="JP12" s="73" t="str">
        <f>IF(AND('Straight Cutting'!K18="U Channel with Pip",'Mitred Cutting'!D18="APO Grey"),'Straight Cutting'!L18,"")</f>
        <v/>
      </c>
      <c r="JQ12" s="73" t="str">
        <f>IF(AND('Straight Cutting'!K18="U Channel with Pip",'Mitred Cutting'!D18="White Birch"),'Straight Cutting'!L18,"")</f>
        <v/>
      </c>
      <c r="JR12" s="73" t="str">
        <f>IF(AND('Straight Cutting'!K18="U Channel with Pip",'Mitred Cutting'!D18="Black"),'Straight Cutting'!L18,"")</f>
        <v/>
      </c>
      <c r="JS12" s="73" t="str">
        <f>IF(AND('Straight Cutting'!K18="U Channel with Pip",'Mitred Cutting'!D18="Brown"),'Straight Cutting'!L18,"")</f>
        <v/>
      </c>
      <c r="JT12" s="73" t="str">
        <f>IF(AND('Straight Cutting'!K18="U Channel with Pip",'Mitred Cutting'!D18="Deep Ocean"),'Straight Cutting'!L18,"")</f>
        <v/>
      </c>
      <c r="JU12" s="73" t="str">
        <f>IF(AND('Straight Cutting'!K18="U Channel with Pip",'Mitred Cutting'!D18="Jasper"),'Straight Cutting'!L18,"")</f>
        <v/>
      </c>
      <c r="JV12" s="73" t="str">
        <f>IF(AND('Straight Cutting'!K18="U Channel with Pip",'Mitred Cutting'!D18="Paperbark"),'Straight Cutting'!L18,"")</f>
        <v/>
      </c>
      <c r="JW12" s="73" t="str">
        <f>IF(AND('Straight Cutting'!K18="U Channel with Pip",'Mitred Cutting'!D18="Mist Green"),'Straight Cutting'!L18,"")</f>
        <v/>
      </c>
      <c r="JX12" s="73" t="str">
        <f>IF(AND('Straight Cutting'!K18="U Channel with Pip",'Mitred Cutting'!D18="Primrose"),'Straight Cutting'!L18,"")</f>
        <v/>
      </c>
      <c r="JY12" s="73" t="str">
        <f>IF(AND('Straight Cutting'!K18="U Channel with Pip",'Mitred Cutting'!D18="Ultra Silver"),'Straight Cutting'!L18,"")</f>
        <v/>
      </c>
      <c r="JZ12" s="73" t="str">
        <f>IF(AND('Straight Cutting'!K18="U Channel with Pip",'Mitred Cutting'!D18="Woodland Grey(Green Tone)"),'Straight Cutting'!L18,"")</f>
        <v/>
      </c>
      <c r="KA12" s="73" t="str">
        <f>IF(AND('Straight Cutting'!K18="U Channel with Pip",'Mitred Cutting'!D18="Pearl White"),'Straight Cutting'!L18,"")</f>
        <v/>
      </c>
      <c r="KB12" s="73" t="str">
        <f>IF(AND('Straight Cutting'!K18="U Channel with Pip",'Mitred Cutting'!D18="Monument"),'Straight Cutting'!L18,"")</f>
        <v/>
      </c>
      <c r="KC12" s="73" t="str">
        <f>IF(AND('Straight Cutting'!K18="U Channel with Pip",'Mitred Cutting'!D18="Surfmist"),'Straight Cutting'!L18,"")</f>
        <v/>
      </c>
      <c r="KD12" s="73" t="str">
        <f>IF(AND('Straight Cutting'!K18="U Channel with Pip",'Mitred Cutting'!D18="Dune"),'Straight Cutting'!L18,"")</f>
        <v/>
      </c>
      <c r="KE12" s="73" t="str">
        <f>IF(AND('Straight Cutting'!K18="U Channel with Pip",'Job Sheet'!Z18="Custom Powdercoat"),'Straight Cutting'!L18,"")</f>
        <v/>
      </c>
      <c r="KF12" s="73" t="str">
        <f>IF(AND('Mitred Cutting'!D18="APO Grey",(OR('Straight Cutting'!M18="Bottom Fix Bottom Track",'Straight Cutting'!M18="U Channel &amp; Bottom Fix Bottom Track"))),'Straight Cutting'!N18,"")</f>
        <v/>
      </c>
      <c r="KG12" s="73" t="str">
        <f>IF(AND('Mitred Cutting'!D18="White Birch",(OR('Straight Cutting'!M18="Bottom Fix Bottom Track",'Straight Cutting'!M18="U Channel &amp; Bottom Fix Bottom Track"))),'Straight Cutting'!N18,"")</f>
        <v/>
      </c>
      <c r="KH12" s="73" t="str">
        <f>IF(AND('Mitred Cutting'!D18="Black",(OR('Straight Cutting'!M18="Bottom Fix Bottom Track",'Straight Cutting'!M18="U Channel &amp; Bottom Fix Bottom Track"))),'Straight Cutting'!N18,"")</f>
        <v/>
      </c>
      <c r="KI12" s="73" t="str">
        <f>IF(AND('Mitred Cutting'!D18="Brown",(OR('Straight Cutting'!M18="Bottom Fix Bottom Track",'Straight Cutting'!M18="U Channel &amp; Bottom Fix Bottom Track"))),'Straight Cutting'!N18,"")</f>
        <v/>
      </c>
      <c r="KJ12" s="73" t="str">
        <f>IF(AND('Mitred Cutting'!D18="Deep Ocean",(OR('Straight Cutting'!M18="Bottom Fix Bottom Track",'Straight Cutting'!M18="U Channel &amp; Bottom Fix Bottom Track"))),'Straight Cutting'!N18,"")</f>
        <v/>
      </c>
      <c r="KK12" s="73" t="str">
        <f>IF(AND('Mitred Cutting'!D18="Jasper",(OR('Straight Cutting'!M18="Bottom Fix Bottom Track",'Straight Cutting'!M18="U Channel &amp; Bottom Fix Bottom Track"))),'Straight Cutting'!N18,"")</f>
        <v/>
      </c>
      <c r="KL12" s="73" t="str">
        <f>IF(AND('Mitred Cutting'!D18="Paperbark",(OR('Straight Cutting'!M18="Bottom Fix Bottom Track",'Straight Cutting'!M18="U Channel &amp; Bottom Fix Bottom Track"))),'Straight Cutting'!N18,"")</f>
        <v/>
      </c>
      <c r="KM12" s="73" t="str">
        <f>IF(AND('Mitred Cutting'!D18="Mist Green",(OR('Straight Cutting'!M18="Bottom Fix Bottom Track",'Straight Cutting'!M18="U Channel &amp; Bottom Fix Bottom Track"))),'Straight Cutting'!N18,"")</f>
        <v/>
      </c>
      <c r="KN12" s="73" t="str">
        <f>IF(AND('Mitred Cutting'!D18="Primrose",(OR('Straight Cutting'!M18="Bottom Fix Bottom Track",'Straight Cutting'!M18="U Channel &amp; Bottom Fix Bottom Track"))),'Straight Cutting'!N18,"")</f>
        <v/>
      </c>
      <c r="KO12" s="73" t="str">
        <f>IF(AND('Mitred Cutting'!D18="Ultra Silver",(OR('Straight Cutting'!M18="Bottom Fix Bottom Track",'Straight Cutting'!M18="U Channel &amp; Bottom Fix Bottom Track"))),'Straight Cutting'!N18,"")</f>
        <v/>
      </c>
      <c r="KP12" s="73" t="str">
        <f>IF(AND('Mitred Cutting'!D18="Woodland Grey(Green Tone)",(OR('Straight Cutting'!M18="Bottom Fix Bottom Track",'Straight Cutting'!M18="U Channel &amp; Bottom Fix Bottom Track"))),'Straight Cutting'!N18,"")</f>
        <v/>
      </c>
      <c r="KQ12" s="73" t="str">
        <f>IF(AND('Mitred Cutting'!D18="Pearl White",(OR('Straight Cutting'!M18="Bottom Fix Bottom Track",'Straight Cutting'!M18="U Channel &amp; Bottom Fix Bottom Track"))),'Straight Cutting'!N18,"")</f>
        <v/>
      </c>
      <c r="KR12" s="73" t="str">
        <f>IF(AND('Mitred Cutting'!D18="Monument",(OR('Straight Cutting'!M18="Bottom Fix Bottom Track",'Straight Cutting'!M18="U Channel &amp; Bottom Fix Bottom Track"))),'Straight Cutting'!N18,"")</f>
        <v/>
      </c>
      <c r="KS12" s="73" t="str">
        <f>IF(AND('Mitred Cutting'!D18="Surfmist",(OR('Straight Cutting'!M18="Bottom Fix Bottom Track",'Straight Cutting'!M18="U Channel &amp; Bottom Fix Bottom Track"))),'Straight Cutting'!N18,"")</f>
        <v/>
      </c>
      <c r="KT12" s="73" t="str">
        <f>IF(AND('Mitred Cutting'!D18="Dune",(OR('Straight Cutting'!M18="Bottom Fix Bottom Track",'Straight Cutting'!M18="U Channel &amp; Bottom Fix Bottom Track"))),'Straight Cutting'!N18,"")</f>
        <v/>
      </c>
      <c r="KU12" s="73" t="str">
        <f>IF(AND('Job Sheet'!Z18="Custom Powdercoat",(OR('Straight Cutting'!M18="Bottom Fix Bottom Track",'Straight Cutting'!M18="U Channel &amp; Bottom Fix Bottom Track"))),'Straight Cutting'!N18,"")</f>
        <v/>
      </c>
      <c r="KV12" s="73" t="str">
        <f>IF(AND('Mitred Cutting'!D18="APO Grey",(OR('Straight Cutting'!M18="Face Fix Bottom Track",'Straight Cutting'!M18="U Channel &amp; Face Fix Bottom Track"))),'Straight Cutting'!N18,"")</f>
        <v/>
      </c>
      <c r="KW12" s="73" t="str">
        <f>IF(AND('Mitred Cutting'!D18="White Birch",(OR('Straight Cutting'!M18="Face Fix Bottom Track",'Straight Cutting'!M18="U Channel &amp; Face Fix Bottom Track"))),'Straight Cutting'!N18,"")</f>
        <v/>
      </c>
      <c r="KX12" s="73" t="str">
        <f>IF(AND('Mitred Cutting'!D18="Black",(OR('Straight Cutting'!M18="Face Fix Bottom Track",'Straight Cutting'!M18="U Channel &amp; Face Fix Bottom Track"))),'Straight Cutting'!N18,"")</f>
        <v/>
      </c>
      <c r="KY12" s="73" t="str">
        <f>IF(AND('Mitred Cutting'!D18="Brown",(OR('Straight Cutting'!M18="Face Fix Bottom Track",'Straight Cutting'!M18="U Channel &amp; Face Fix Bottom Track"))),'Straight Cutting'!N18,"")</f>
        <v/>
      </c>
      <c r="KZ12" s="73" t="str">
        <f>IF(AND('Mitred Cutting'!D18="Deep Ocean",(OR('Straight Cutting'!M18="Face Fix Bottom Track",'Straight Cutting'!M18="U Channel &amp; Face Fix Bottom Track"))),'Straight Cutting'!N18,"")</f>
        <v/>
      </c>
      <c r="LA12" s="73" t="str">
        <f>IF(AND('Mitred Cutting'!D18="Jasper",(OR('Straight Cutting'!M18="Face Fix Bottom Track",'Straight Cutting'!M18="U Channel &amp; Face Fix Bottom Track"))),'Straight Cutting'!N18,"")</f>
        <v/>
      </c>
      <c r="LB12" s="73" t="str">
        <f>IF(AND('Mitred Cutting'!D18="Paperbark",(OR('Straight Cutting'!M18="Face Fix Bottom Track",'Straight Cutting'!M18="U Channel &amp; Face Fix Bottom Track"))),'Straight Cutting'!N18,"")</f>
        <v/>
      </c>
      <c r="LC12" s="73" t="str">
        <f>IF(AND('Mitred Cutting'!D18="Mist Green",(OR('Straight Cutting'!M18="Face Fix Bottom Track",'Straight Cutting'!M18="U Channel &amp; Face Fix Bottom Track"))),'Straight Cutting'!N18,"")</f>
        <v/>
      </c>
      <c r="LD12" s="73" t="str">
        <f>IF(AND('Mitred Cutting'!D18="Primrose",(OR('Straight Cutting'!M18="Face Fix Bottom Track",'Straight Cutting'!M18="U Channel &amp; Face Fix Bottom Track"))),'Straight Cutting'!N18,"")</f>
        <v/>
      </c>
      <c r="LE12" s="73" t="str">
        <f>IF(AND('Mitred Cutting'!D18="Ultra Silver",(OR('Straight Cutting'!M18="Face Fix Bottom Track",'Straight Cutting'!M18="U Channel &amp; Face Fix Bottom Track"))),'Straight Cutting'!N18,"")</f>
        <v/>
      </c>
      <c r="LF12" s="73" t="str">
        <f>IF(AND('Mitred Cutting'!D18="Woodland Grey(Green Tone)",(OR('Straight Cutting'!M18="Face Fix Bottom Track",'Straight Cutting'!M18="U Channel &amp; Face Fix Bottom Track"))),'Straight Cutting'!N18,"")</f>
        <v/>
      </c>
      <c r="LG12" s="73" t="str">
        <f>IF(AND('Mitred Cutting'!D18="Pearl White",(OR('Straight Cutting'!M18="Face Fix Bottom Track",'Straight Cutting'!M18="U Channel &amp; Face Fix Bottom Track"))),'Straight Cutting'!N18,"")</f>
        <v/>
      </c>
      <c r="LH12" s="73" t="str">
        <f>IF(AND('Mitred Cutting'!D18="Monument",(OR('Straight Cutting'!M18="Face Fix Bottom Track",'Straight Cutting'!M18="U Channel &amp; Face Fix Bottom Track"))),'Straight Cutting'!N18,"")</f>
        <v/>
      </c>
      <c r="LI12" s="73" t="str">
        <f>IF(AND('Mitred Cutting'!D18="Surfmist",(OR('Straight Cutting'!M18="Face Fix Bottom Track",'Straight Cutting'!M18="U Channel &amp; Face Fix Bottom Track"))),'Straight Cutting'!N18,"")</f>
        <v/>
      </c>
      <c r="LJ12" s="73" t="str">
        <f>IF(AND('Mitred Cutting'!D18="Dune",(OR('Straight Cutting'!M18="Face Fix Bottom Track",'Straight Cutting'!M18="U Channel &amp; Face Fix Bottom Track"))),'Straight Cutting'!N18,"")</f>
        <v/>
      </c>
      <c r="LK12" s="73" t="str">
        <f>IF(AND('Job Sheet'!Z18="Custom Powdercoat",(OR('Straight Cutting'!M18="Face Fix Bottom Track",'Straight Cutting'!M18="U Channel &amp; Face Fix Bottom Track"))),'Straight Cutting'!N18,"")</f>
        <v/>
      </c>
      <c r="LL12" s="73" t="str">
        <f>IF(AND('Straight Cutting'!H18&lt;&gt;"",'Mitred Cutting'!D18="APO Grey"),'Straight Cutting'!H18/4300,"")</f>
        <v/>
      </c>
      <c r="LM12" s="73" t="str">
        <f>IF(AND('Straight Cutting'!H18&lt;&gt;"",'Mitred Cutting'!D18="White Birch"),'Straight Cutting'!H18,"")</f>
        <v/>
      </c>
      <c r="LN12" s="73" t="str">
        <f>IF(AND('Straight Cutting'!H18&lt;&gt;"",'Mitred Cutting'!D18="Black"),'Straight Cutting'!H18,"")</f>
        <v/>
      </c>
      <c r="LO12" s="73" t="str">
        <f>IF(AND('Straight Cutting'!H18&lt;&gt;"",'Mitred Cutting'!D18="Brown"),'Straight Cutting'!H18,"")</f>
        <v/>
      </c>
      <c r="LP12" s="73" t="str">
        <f>IF(AND('Straight Cutting'!H18&lt;&gt;"",'Mitred Cutting'!D18="Deep Ocean"),'Straight Cutting'!H18,"")</f>
        <v/>
      </c>
      <c r="LQ12" s="73" t="str">
        <f>IF(AND('Straight Cutting'!H18&lt;&gt;"",'Mitred Cutting'!D18="Jasper"),'Straight Cutting'!H18,"")</f>
        <v/>
      </c>
      <c r="LR12" s="73" t="str">
        <f>IF(AND('Straight Cutting'!H18&lt;&gt;"",'Mitred Cutting'!D18="Paperbark"),'Straight Cutting'!H18,"")</f>
        <v/>
      </c>
      <c r="LS12" s="73" t="str">
        <f>IF(AND('Straight Cutting'!H18&lt;&gt;"",'Mitred Cutting'!D18="Mist Green"),'Straight Cutting'!H18,"")</f>
        <v/>
      </c>
      <c r="LT12" s="73" t="str">
        <f>IF(AND('Straight Cutting'!H18&lt;&gt;"",'Mitred Cutting'!D18="Primrose"),'Straight Cutting'!H18,"")</f>
        <v/>
      </c>
      <c r="LU12" s="73" t="str">
        <f>IF(AND('Straight Cutting'!H18&lt;&gt;"",'Mitred Cutting'!D18="Ultra Silver"),'Straight Cutting'!H18,"")</f>
        <v/>
      </c>
      <c r="LV12" s="73" t="str">
        <f>IF(AND('Straight Cutting'!H18&lt;&gt;"",'Mitred Cutting'!D18="Woodland Grey(Green Tone)"),'Straight Cutting'!H18,"")</f>
        <v/>
      </c>
      <c r="LW12" s="73" t="str">
        <f>IF(AND('Straight Cutting'!H18&lt;&gt;"",'Mitred Cutting'!D18="Pearl White"),'Straight Cutting'!H18,"")</f>
        <v/>
      </c>
      <c r="LX12" s="73" t="str">
        <f>IF(AND('Straight Cutting'!H18&lt;&gt;"",'Mitred Cutting'!D18="Monument"),'Straight Cutting'!H18,"")</f>
        <v/>
      </c>
      <c r="LY12" s="73" t="str">
        <f>IF(AND('Straight Cutting'!H18&lt;&gt;"",'Mitred Cutting'!D18="Surfmist"),'Straight Cutting'!H18,"")</f>
        <v/>
      </c>
      <c r="LZ12" s="73" t="str">
        <f>IF(AND('Straight Cutting'!H18&lt;&gt;"",'Mitred Cutting'!D18="Dune"),'Straight Cutting'!H18,"")</f>
        <v/>
      </c>
      <c r="MA12" s="73" t="str">
        <f>IF(AND('Straight Cutting'!H18&lt;&gt;"",'Job Sheet'!Z18="Custom Powdercoat"),'Straight Cutting'!H18,"")</f>
        <v/>
      </c>
      <c r="MB12" s="73" t="str">
        <f>IF(AND('Mitred Cutting'!D18="APO Grey",OR('Straight Cutting'!M18="H Shaped Bottom Track",'Straight Cutting'!M18="U Channel &amp; H Shaped Bottom Track")),'Straight Cutting'!N18,"")</f>
        <v/>
      </c>
      <c r="MC12" s="73" t="str">
        <f>IF(AND('Mitred Cutting'!D18="Birch White",OR('Straight Cutting'!M18="H Shaped Bottom Track",'Straight Cutting'!M18="U Channel &amp; H Shaped Bottom Track")),'Straight Cutting'!N18,"")</f>
        <v/>
      </c>
      <c r="MD12" s="73" t="str">
        <f>IF(AND('Mitred Cutting'!D18="Black",OR('Straight Cutting'!M18="H Shaped Bottom Track",'Straight Cutting'!M18="U Channel &amp; H Shaped Bottom Track")),'Straight Cutting'!N18,"")</f>
        <v/>
      </c>
      <c r="ME12" s="73" t="str">
        <f>IF(AND('Mitred Cutting'!D18="Brown",OR('Straight Cutting'!M18="H Shaped Bottom Track",'Straight Cutting'!M18="U Channel &amp; H Shaped Bottom Track")),'Straight Cutting'!N18,"")</f>
        <v/>
      </c>
      <c r="MF12" s="73" t="str">
        <f>IF(AND('Mitred Cutting'!D18="Deep Ocean",OR('Straight Cutting'!M18="H Shaped Bottom Track",'Straight Cutting'!M18="U Channel &amp; H Shaped Bottom Track")),'Straight Cutting'!N18,"")</f>
        <v/>
      </c>
      <c r="MG12" s="73" t="str">
        <f>IF(AND('Mitred Cutting'!D18="Jasper",OR('Straight Cutting'!M18="H Shaped Bottom Track",'Straight Cutting'!M18="U Channel &amp; H Shaped Bottom Track")),'Straight Cutting'!N18,"")</f>
        <v/>
      </c>
      <c r="MH12" s="73" t="str">
        <f>IF(AND('Mitred Cutting'!D18="Paperbark",OR('Straight Cutting'!M18="H Shaped Bottom Track",'Straight Cutting'!M18="U Channel &amp; H Shaped Bottom Track")),'Straight Cutting'!N18,"")</f>
        <v/>
      </c>
      <c r="MI12" s="73" t="str">
        <f>IF(AND('Mitred Cutting'!D18="Mist Green",OR('Straight Cutting'!M18="H Shaped Bottom Track",'Straight Cutting'!M18="U Channel &amp; H Shaped Bottom Track")),'Straight Cutting'!N18,"")</f>
        <v/>
      </c>
      <c r="MJ12" s="73" t="str">
        <f>IF(AND('Mitred Cutting'!D18="Primrose",OR('Straight Cutting'!M18="H Shaped Bottom Track",'Straight Cutting'!M18="U Channel &amp; H Shaped Bottom Track")),'Straight Cutting'!N18,"")</f>
        <v/>
      </c>
      <c r="MK12" s="73" t="str">
        <f>IF(AND('Mitred Cutting'!D18="Ultra Silver",OR('Straight Cutting'!M18="H Shaped Bottom Track",'Straight Cutting'!M18="U Channel &amp; H Shaped Bottom Track")),'Straight Cutting'!N18,"")</f>
        <v/>
      </c>
      <c r="ML12" s="73" t="str">
        <f>IF(AND('Mitred Cutting'!D18="Woodland Grey(Green Tone)",OR('Straight Cutting'!M18="H Shaped Bottom Track",'Straight Cutting'!M18="U Channel &amp; H Shaped Bottom Track")),'Straight Cutting'!N18,"")</f>
        <v/>
      </c>
      <c r="MM12" s="73" t="str">
        <f>IF(AND('Mitred Cutting'!D18="Pearl White",OR('Straight Cutting'!M18="H Shaped Bottom Track",'Straight Cutting'!M18="U Channel &amp; H Shaped Bottom Track")),'Straight Cutting'!N18,"")</f>
        <v/>
      </c>
      <c r="MN12" s="73" t="str">
        <f>IF(AND('Mitred Cutting'!D18="Monument",OR('Straight Cutting'!M18="H Shaped Bottom Track",'Straight Cutting'!M18="U Channel &amp; H Shaped Bottom Track")),'Straight Cutting'!N18,"")</f>
        <v/>
      </c>
      <c r="MO12" s="73" t="str">
        <f>IF(AND('Mitred Cutting'!D18="Surfmist",OR('Straight Cutting'!M18="H Shaped Bottom Track",'Straight Cutting'!M18="U Channel &amp; H Shaped Bottom Track")),'Straight Cutting'!N18,"")</f>
        <v/>
      </c>
      <c r="MP12" s="73" t="str">
        <f>IF(AND('Mitred Cutting'!D18="Dune",OR('Straight Cutting'!M18="H Shaped Bottom Track",'Straight Cutting'!M18="U Channel &amp; H Shaped Bottom Track")),'Straight Cutting'!N18,"")</f>
        <v/>
      </c>
      <c r="MQ12" s="73" t="str">
        <f>IF(AND('Job Sheet'!Z18="Custom Powdercoat",OR('Straight Cutting'!M18="H Shaped Bottom Track",'Straight Cutting'!M18="U Channel &amp; H Shaped Bottom Track")),'Straight Cutting'!N18,"")</f>
        <v/>
      </c>
      <c r="MR12" s="73" t="str">
        <f>IF(AND('Straight Cutting'!P18="APO Grey",(OR('Job Sheet'!AI18="Yes",'Job Sheet'!AI18="Yes - Centre"))),'Straight Cutting'!Q18,"")</f>
        <v/>
      </c>
      <c r="MS12" s="73" t="str">
        <f>IF(AND('Straight Cutting'!P18="White Birch",(OR('Job Sheet'!AI18="Yes",'Job Sheet'!AI18="Yes - Centre"))),'Straight Cutting'!Q18,"")</f>
        <v/>
      </c>
      <c r="MT12" s="73" t="str">
        <f>IF(AND('Straight Cutting'!P18="Black",(OR('Job Sheet'!AI18="Yes",'Job Sheet'!AI18="Yes - Centre"))),'Straight Cutting'!Q18,"")</f>
        <v/>
      </c>
      <c r="MU12" s="73" t="str">
        <f>IF(AND('Straight Cutting'!P18="Brown",(OR('Job Sheet'!AI18="Yes",'Job Sheet'!AI18="Yes - Centre"))),'Straight Cutting'!Q18,"")</f>
        <v/>
      </c>
      <c r="MV12" s="73" t="str">
        <f>IF(AND('Straight Cutting'!P18="Deep Ocean",(OR('Job Sheet'!AI18="Yes",'Job Sheet'!AI18="Yes - Centre"))),'Straight Cutting'!Q18,"")</f>
        <v/>
      </c>
      <c r="MW12" s="73" t="str">
        <f>IF(AND('Straight Cutting'!P18="Jasper",(OR('Job Sheet'!AI18="Yes",'Job Sheet'!AI18="Yes - Centre"))),'Straight Cutting'!Q18,"")</f>
        <v/>
      </c>
      <c r="MX12" s="73" t="str">
        <f>IF(AND('Straight Cutting'!P18="Paperbark",(OR('Job Sheet'!AI18="Yes",'Job Sheet'!AI18="Yes - Centre"))),'Straight Cutting'!Q18,"")</f>
        <v/>
      </c>
      <c r="MY12" s="73" t="str">
        <f>IF(AND('Straight Cutting'!P18="Mist Green",(OR('Job Sheet'!AI18="Yes",'Job Sheet'!AI18="Yes - Centre"))),'Straight Cutting'!Q18,"")</f>
        <v/>
      </c>
      <c r="MZ12" s="73" t="str">
        <f>IF(AND('Straight Cutting'!P18="Primrose",(OR('Job Sheet'!AI18="Yes",'Job Sheet'!AI18="Yes - Centre"))),'Straight Cutting'!Q18,"")</f>
        <v/>
      </c>
      <c r="NA12" s="73" t="str">
        <f>IF(AND('Straight Cutting'!P18="Ultra Silver",(OR('Job Sheet'!AI18="Yes",'Job Sheet'!AI18="Yes - Centre"))),'Straight Cutting'!Q18,"")</f>
        <v/>
      </c>
      <c r="NB12" s="73" t="str">
        <f>IF(AND('Straight Cutting'!P18="Woodland Grey(Green Tone)",(OR('Job Sheet'!AI18="Yes",'Job Sheet'!AI18="Yes - Centre"))),'Straight Cutting'!Q18,"")</f>
        <v/>
      </c>
      <c r="NC12" s="73" t="str">
        <f>IF(AND('Straight Cutting'!P18="Pearl White",(OR('Job Sheet'!AI18="Yes",'Job Sheet'!AI18="Yes - Centre"))),'Straight Cutting'!Q18,"")</f>
        <v/>
      </c>
      <c r="ND12" s="73" t="str">
        <f>IF(AND('Straight Cutting'!P18="Monument",(OR('Job Sheet'!AI18="Yes",'Job Sheet'!AI18="Yes - Centre"))),'Straight Cutting'!Q18,"")</f>
        <v/>
      </c>
      <c r="NE12" s="73" t="str">
        <f>IF(AND('Straight Cutting'!P18="Surfmist",(OR('Job Sheet'!AI18="Yes",'Job Sheet'!AI18="Yes - Centre"))),'Straight Cutting'!Q18,"")</f>
        <v/>
      </c>
      <c r="NF12" s="73" t="str">
        <f>IF(AND('Straight Cutting'!P18="Dune",(OR('Job Sheet'!AI18="Yes",'Job Sheet'!AI18="Yes - Centre"))),'Straight Cutting'!Q18,"")</f>
        <v/>
      </c>
      <c r="NH12" s="73" t="str">
        <f>IF(AND('Straight Cutting'!P18="APO Grey",(OR('Job Sheet'!AI18="Yes",'Job Sheet'!AI18="Yes - Centre"))),'Straight Cutting'!R18,"")</f>
        <v/>
      </c>
      <c r="NI12" s="73" t="str">
        <f>IF(AND('Straight Cutting'!P18="White Birch",(OR('Job Sheet'!AI18="Yes",'Job Sheet'!AI18="Yes - Centre"))),'Straight Cutting'!R18,"")</f>
        <v/>
      </c>
      <c r="NJ12" s="73" t="str">
        <f>IF(AND('Straight Cutting'!P18="Black",(OR('Job Sheet'!AI18="Yes",'Job Sheet'!AI18="Yes - Centre"))),'Straight Cutting'!R18,"")</f>
        <v/>
      </c>
      <c r="NK12" s="73" t="str">
        <f>IF(AND('Straight Cutting'!P18="Brown",(OR('Job Sheet'!AI18="Yes",'Job Sheet'!AI18="Yes - Centre"))),'Straight Cutting'!R18,"")</f>
        <v/>
      </c>
      <c r="NL12" s="73" t="str">
        <f>IF(AND('Straight Cutting'!P18="Deep Ocean",(OR('Job Sheet'!AI18="Yes",'Job Sheet'!AI18="Yes - Centre"))),'Straight Cutting'!R18,"")</f>
        <v/>
      </c>
      <c r="NM12" s="73" t="str">
        <f>IF(AND('Straight Cutting'!P18="Jasper",(OR('Job Sheet'!AI18="Yes",'Job Sheet'!AI18="Yes - Centre"))),'Straight Cutting'!R18,"")</f>
        <v/>
      </c>
      <c r="NN12" s="73" t="str">
        <f>IF(AND('Straight Cutting'!P18="Paperbark",(OR('Job Sheet'!AI18="Yes",'Job Sheet'!AI18="Yes - Centre"))),'Straight Cutting'!R18,"")</f>
        <v/>
      </c>
      <c r="NO12" s="73" t="str">
        <f>IF(AND('Straight Cutting'!P18="Mist Green",(OR('Job Sheet'!AI18="Yes",'Job Sheet'!AI18="Yes - Centre"))),'Straight Cutting'!R18,"")</f>
        <v/>
      </c>
      <c r="NP12" s="73" t="str">
        <f>IF(AND('Straight Cutting'!P18="Primrose",(OR('Job Sheet'!AI18="Yes",'Job Sheet'!AI18="Yes - Centre"))),'Straight Cutting'!R18,"")</f>
        <v/>
      </c>
      <c r="NQ12" s="73" t="str">
        <f>IF(AND('Straight Cutting'!P18="Ultra Silver",(OR('Job Sheet'!AI18="Yes",'Job Sheet'!AI18="Yes - Centre"))),'Straight Cutting'!R18,"")</f>
        <v/>
      </c>
      <c r="NR12" s="73" t="str">
        <f>IF(AND('Straight Cutting'!P18="Woodland Grey(Green Tone)",(OR('Job Sheet'!AI18="Yes",'Job Sheet'!AI18="Yes - Centre"))),'Straight Cutting'!R18,"")</f>
        <v/>
      </c>
      <c r="NS12" s="73" t="str">
        <f>IF(AND('Straight Cutting'!P18="Pearl White",(OR('Job Sheet'!AI18="Yes",'Job Sheet'!AI18="Yes - Centre"))),'Straight Cutting'!R18,"")</f>
        <v/>
      </c>
      <c r="NT12" s="73" t="str">
        <f>IF(AND('Straight Cutting'!P18="Monument",(OR('Job Sheet'!AI18="Yes",'Job Sheet'!AI18="Yes - Centre"))),'Straight Cutting'!R18,"")</f>
        <v/>
      </c>
      <c r="NU12" s="73" t="str">
        <f>IF(AND('Straight Cutting'!P18="Surfmist",(OR('Job Sheet'!AI18="Yes",'Job Sheet'!AI18="Yes - Centre"))),'Straight Cutting'!R18,"")</f>
        <v/>
      </c>
      <c r="NV12" s="73" t="str">
        <f>IF(AND('Straight Cutting'!P18="Dune",(OR('Job Sheet'!AI18="Yes",'Job Sheet'!AI18="Yes - Centre"))),'Straight Cutting'!R18,"")</f>
        <v/>
      </c>
      <c r="ON12" s="73" t="str">
        <f>IF(Data!AW18="","",IF(VLOOKUP(CONCATENATE(Data!BO18,'Job Sheet'!AE18),DoorType,4,FALSE)="Yes",(('Job Sheet'!BH18-98)*2+('Job Sheet'!BI18-96)*2)/2700,""))</f>
        <v/>
      </c>
      <c r="OO12" s="73" t="str">
        <f>IF(Data!AW18="","",IF('Mitred Cutting'!F18="1.6mm",(('Job Sheet'!BH18-114)*2+('Job Sheet'!BI18-114)*2)/3100,""))</f>
        <v/>
      </c>
      <c r="OP12" s="73" t="str">
        <f>IF(Data!AW18="","",IF('Mitred Cutting'!F18="2mm",(('Job Sheet'!BH18-114)*2+('Job Sheet'!BI18-114)*2)/3100,""))</f>
        <v/>
      </c>
      <c r="OQ12" s="48" t="str">
        <f>IF(Data!AW18="","",IF('Straight Cutting'!R18&lt;&gt;"",(('Job Sheet'!BO18*4)+('Job Sheet'!BQ18*2)+('Job Sheet'!BP18*2))/4000,IF('Mitred Cutting'!C18="Invisi-Gard",(('Job Sheet'!BO18+'Job Sheet'!BP18)*2)/4000,"")))</f>
        <v/>
      </c>
      <c r="OR12" s="48" t="str">
        <f t="shared" si="2"/>
        <v/>
      </c>
      <c r="OS12" s="48" t="str">
        <f t="shared" si="3"/>
        <v/>
      </c>
      <c r="OT12" s="73" t="str">
        <f>IF(D12="","",'Job Sheet'!BH18-2)</f>
        <v/>
      </c>
      <c r="OU12" s="73" t="str">
        <f>IF(OR('Job Sheet'!AE18="Fibreglass Mesh",'Job Sheet'!AE18="Tuff Mesh",'Job Sheet'!AE18="Pet Mesh",'Job Sheet'!AE18="Aluminium Mesh"),'Job Sheet'!BH18*2+'Job Sheet'!BI18*2-200,"")</f>
        <v/>
      </c>
      <c r="OV12" s="73" t="str">
        <f>IF('Job Sheet'!M18="Not Required","",IF(Punching!K18="Hinged High",1,""))</f>
        <v/>
      </c>
      <c r="OW12" s="73" t="str">
        <f>IF('Job Sheet'!M18="Not Required","",IF(Punching!K18="Hinged Low",1,""))</f>
        <v/>
      </c>
      <c r="OX12" s="73" t="str">
        <f>IF('Job Sheet'!M18="Not Required","",IF(Punching!K18="Hinged Pool",1,""))</f>
        <v/>
      </c>
      <c r="OY12" s="73" t="str">
        <f>IF('Job Sheet'!M18="Not Required","",IF(Punching!K18="Hinged Adjustable",1,""))</f>
        <v/>
      </c>
      <c r="OZ12" s="73" t="str">
        <f>IF('Job Sheet'!M18="Not Required","",IF(Punching!K18="Sliding High",1,""))</f>
        <v/>
      </c>
      <c r="PA12" s="73" t="str">
        <f>IF('Job Sheet'!M18="Not Required","",IF(Punching!K18="Sliding Low",1,""))</f>
        <v/>
      </c>
      <c r="PB12" s="73" t="str">
        <f>IF('Job Sheet'!M18="Not Required","",IF(Punching!K18="Sliding Pool",1,""))</f>
        <v/>
      </c>
      <c r="PC12" s="73" t="str">
        <f>IF('Job Sheet'!M18="Not Required","",IF(Punching!K18="Sliding Adjustable",1,""))</f>
        <v/>
      </c>
      <c r="PD12" s="73" t="str">
        <f t="shared" si="0"/>
        <v/>
      </c>
      <c r="PH12" s="73" t="str">
        <f>IF('Job Sheet'!AV18&lt;&gt;"Yes","",IF(OR('Job Sheet'!AY18="Left",'Job Sheet'!AY18="Right"),"1","2"))</f>
        <v/>
      </c>
      <c r="PO12" s="73" t="str">
        <f>IF('Job Sheet'!M18="Bass Latch",1,"")</f>
        <v/>
      </c>
      <c r="PP12" s="73" t="str">
        <f>IF('Job Sheet'!AU18="Yes","2","")</f>
        <v/>
      </c>
      <c r="PQ12" s="73" t="str">
        <f>IF('Job Sheet'!U18="Black",1,"")</f>
        <v/>
      </c>
      <c r="PR12" s="73" t="str">
        <f>IF('Job Sheet'!U18="Dune",1,"")</f>
        <v/>
      </c>
      <c r="PS12" s="73" t="str">
        <f>IF('Job Sheet'!U18="Jasper",1,"")</f>
        <v/>
      </c>
      <c r="PT12" s="73" t="str">
        <f>IF('Job Sheet'!U18="Monument",1,"")</f>
        <v/>
      </c>
      <c r="PU12" s="73" t="str">
        <f>IF('Job Sheet'!U18="Paperbark",1,"")</f>
        <v/>
      </c>
      <c r="PV12" s="73" t="str">
        <f>IF('Job Sheet'!U18="Primrose",1,"")</f>
        <v/>
      </c>
      <c r="PW12" s="73" t="str">
        <f>IF('Job Sheet'!U18="Surfmist",1,"")</f>
        <v/>
      </c>
      <c r="PX12" s="73" t="str">
        <f>IF('Job Sheet'!U18="White",1,"")</f>
        <v/>
      </c>
      <c r="PY12" s="73" t="str">
        <f>IF('Job Sheet'!U18="Woodland Grey(Green Tone)",1,"")</f>
        <v/>
      </c>
      <c r="PZ12" s="73" t="str">
        <f>IF(AND(OR('Job Sheet'!M18="Single Lock",'Job Sheet'!M18="Triple Lock"),'Job Sheet'!J18="Hinged",'Job Sheet'!Q18="Black"),1,"")</f>
        <v/>
      </c>
      <c r="QA12" s="73" t="str">
        <f>IF(AND(OR('Job Sheet'!M18="Single Lock",'Job Sheet'!M18="Triple Lock"),'Job Sheet'!J18="Hinged",'Job Sheet'!Q18="Dune"),1,"")</f>
        <v/>
      </c>
      <c r="QB12" s="73" t="str">
        <f>IF(AND(OR('Job Sheet'!M18="Single Lock",'Job Sheet'!M18="Triple Lock"),'Job Sheet'!J18="Hinged",'Job Sheet'!Q18="Jasper"),1,"")</f>
        <v/>
      </c>
      <c r="QC12" s="73" t="str">
        <f>IF(AND(OR('Job Sheet'!M18="Single Lock",'Job Sheet'!M18="Triple Lock"),'Job Sheet'!J18="Hinged",'Job Sheet'!Q18="Monument"),1,"")</f>
        <v/>
      </c>
      <c r="QD12" s="73" t="str">
        <f>IF(AND(OR('Job Sheet'!M18="Single Lock",'Job Sheet'!M18="Triple Lock"),'Job Sheet'!J18="Hinged",'Job Sheet'!Q18="Paperbark"),1,"")</f>
        <v/>
      </c>
      <c r="QE12" s="73" t="str">
        <f>IF(AND(OR('Job Sheet'!M18="Single Lock",'Job Sheet'!M18="Triple Lock"),'Job Sheet'!J18="Hinged",'Job Sheet'!Q18="Primrose"),1,"")</f>
        <v/>
      </c>
      <c r="QF12" s="73" t="str">
        <f>IF(AND(OR('Job Sheet'!M18="Single Lock",'Job Sheet'!M18="Triple Lock"),'Job Sheet'!J18="Hinged",'Job Sheet'!Q18="Surfmist"),1,"")</f>
        <v/>
      </c>
      <c r="QG12" s="73" t="str">
        <f>IF(AND(OR('Job Sheet'!M18="Single Lock",'Job Sheet'!M18="Triple Lock"),'Job Sheet'!J18="Hinged",'Job Sheet'!Q18="White"),1,"")</f>
        <v/>
      </c>
      <c r="QH12" s="73" t="str">
        <f>IF(AND(OR('Job Sheet'!M18="Single Lock",'Job Sheet'!M18="Triple Lock"),'Job Sheet'!J18="Hinged",'Job Sheet'!Q18="Woodland Grey(Green Tone)"),1,"")</f>
        <v/>
      </c>
      <c r="QI12" s="73" t="str">
        <f>IF(AND(OR('Job Sheet'!M18="Push 2 Go Single Lock",'Job Sheet'!M18="Push 2 Go Triple Lock"),'Job Sheet'!J18="Hinged",'Job Sheet'!Q18="Black"),1,"")</f>
        <v/>
      </c>
      <c r="QJ12" s="73" t="str">
        <f>IF(AND(OR('Job Sheet'!M18="Push 2 Go Single Lock",'Job Sheet'!M18="Push 2 Go Triple Lock"),'Job Sheet'!J18="Hinged",'Job Sheet'!Q18="Dune"),1,"")</f>
        <v/>
      </c>
      <c r="QK12" s="73" t="str">
        <f>IF(AND(OR('Job Sheet'!M18="Push 2 Go Single Lock",'Job Sheet'!M18="Push 2 Go Triple Lock"),'Job Sheet'!J18="Hinged",'Job Sheet'!Q18="Jasper"),1,"")</f>
        <v/>
      </c>
      <c r="QL12" s="73" t="str">
        <f>IF(AND(OR('Job Sheet'!M18="Push 2 Go Single Lock",'Job Sheet'!M18="Push 2 Go Triple Lock"),'Job Sheet'!J18="Hinged",'Job Sheet'!Q18="Monument"),1,"")</f>
        <v/>
      </c>
      <c r="QM12" s="73" t="str">
        <f>IF(AND(OR('Job Sheet'!M18="Push 2 Go Single Lock",'Job Sheet'!M18="Push 2 Go Triple Lock"),'Job Sheet'!J18="Hinged",'Job Sheet'!Q18="Paperbark"),1,"")</f>
        <v/>
      </c>
      <c r="QN12" s="73" t="str">
        <f>IF(AND(OR('Job Sheet'!M18="Push 2 Go Single Lock",'Job Sheet'!M18="Push 2 Go Triple Lock"),'Job Sheet'!J18="Hinged",'Job Sheet'!Q18="Primrose"),1,"")</f>
        <v/>
      </c>
      <c r="QO12" s="73" t="str">
        <f>IF(AND(OR('Job Sheet'!M18="Push 2 Go Single Lock",'Job Sheet'!M18="Push 2 Go Triple Lock"),'Job Sheet'!J18="Hinged",'Job Sheet'!Q18="Surfmist"),1,"")</f>
        <v/>
      </c>
      <c r="QP12" s="73" t="str">
        <f>IF(AND(OR('Job Sheet'!M18="Push 2 Go Single Lock",'Job Sheet'!M18="Push 2 Go Triple Lock"),'Job Sheet'!J18="Hinged",'Job Sheet'!Q18="White"),1,"")</f>
        <v/>
      </c>
      <c r="QQ12" s="73" t="str">
        <f>IF(AND(OR('Job Sheet'!M18="Push 2 Go Single Lock",'Job Sheet'!M18="Push 2 Go Triple Lock"),'Job Sheet'!J18="Hinged",'Job Sheet'!Q18="Woodland Grey(Green Tone)"),1,"")</f>
        <v/>
      </c>
      <c r="QR12" s="73" t="str">
        <f>IF('Job Sheet'!M18="Bass Latch","",IF(AND(OR('Job Sheet'!J18="Sliding",'Job Sheet'!J18="Stacker"),'Job Sheet'!Q18="Black"),1,""))</f>
        <v/>
      </c>
      <c r="QS12" s="73" t="str">
        <f>IF('Job Sheet'!M18="Bass Latch","",IF(AND(OR('Job Sheet'!J18="Sliding",'Job Sheet'!J18="Stacker"),'Job Sheet'!Q18="Dune"),1,""))</f>
        <v/>
      </c>
      <c r="QT12" s="73" t="str">
        <f>IF('Job Sheet'!M18="Bass Latch","",IF(AND(OR('Job Sheet'!J18="Sliding",'Job Sheet'!J18="Stacker"),'Job Sheet'!Q18="Jasper"),1,""))</f>
        <v/>
      </c>
      <c r="QU12" s="73" t="str">
        <f>IF('Job Sheet'!M18="Bass Latch","",IF(AND(OR('Job Sheet'!J18="Sliding",'Job Sheet'!J18="Stacker"),'Job Sheet'!Q18="Monument"),1,""))</f>
        <v/>
      </c>
      <c r="QV12" s="73" t="str">
        <f>IF('Job Sheet'!M18="Bass Latch","",IF(AND(OR('Job Sheet'!J18="Sliding",'Job Sheet'!J18="Stacker"),'Job Sheet'!Q18="Paperbark"),1,""))</f>
        <v/>
      </c>
      <c r="QW12" s="73" t="str">
        <f>IF('Job Sheet'!M18="Bass Latch","",IF(AND(OR('Job Sheet'!J18="Sliding",'Job Sheet'!J18="Stacker"),'Job Sheet'!Q18="Primrose"),1,""))</f>
        <v/>
      </c>
      <c r="QX12" s="73" t="str">
        <f>IF('Job Sheet'!M18="Bass Latch","",IF(AND(OR('Job Sheet'!J18="Sliding",'Job Sheet'!J18="Stacker"),'Job Sheet'!Q18="Surfmist"),1,""))</f>
        <v/>
      </c>
      <c r="QY12" s="73" t="str">
        <f>IF('Job Sheet'!M18="Bass Latch","",IF(AND('Job Sheet'!J18="Sliding",'Job Sheet'!Q18="White"),1,""))</f>
        <v/>
      </c>
      <c r="QZ12" s="73" t="str">
        <f>IF('Job Sheet'!M18="Bass Latch","",IF(AND(OR('Job Sheet'!J18="Sliding",'Job Sheet'!J18="Stacker"),'Job Sheet'!Q18="Woodland Grey(Green Tone)"),1,""))</f>
        <v/>
      </c>
      <c r="RA12" s="73" t="str">
        <f>IF(OR('Job Sheet'!M18="Single Lock",'Job Sheet'!M18="Triple Lock"),1,"")</f>
        <v/>
      </c>
      <c r="RB12" s="73" t="str">
        <f>IF('Job Sheet'!R18="Extended",1,"")</f>
        <v/>
      </c>
      <c r="RC12" s="73" t="str">
        <f>IF(OR('Job Sheet'!J18="Sliding",'Job Sheet'!J18="Stacker"),4,"")</f>
        <v/>
      </c>
      <c r="RD12" s="73" t="str">
        <f>IF('Job Sheet'!J18="Hinged",3,"")</f>
        <v/>
      </c>
      <c r="RF12" s="73" t="str">
        <f>IF(AND('Job Sheet'!AW18="Small 190mm x 240mm",'Job Sheet'!AX18="Black"),1,"")</f>
        <v/>
      </c>
      <c r="RG12" s="73" t="str">
        <f>IF(AND('Job Sheet'!AW18="Medium 225mm x 305mm",'Job Sheet'!AX18="Black"),1,"")</f>
        <v/>
      </c>
      <c r="RH12" s="73" t="str">
        <f>IF(AND('Job Sheet'!AW18="Large 260mm x 400mm",'Job Sheet'!AX18="Black"),1,"")</f>
        <v/>
      </c>
      <c r="RI12" s="73" t="str">
        <f>IF(AND('Job Sheet'!AW18="Small 190mm x 240mm",'Job Sheet'!AX18="White"),1,"")</f>
        <v/>
      </c>
      <c r="RJ12" s="73" t="str">
        <f>IF(AND('Job Sheet'!AW18="Medium 225mm x 305mm",'Job Sheet'!AX18="White"),1,"")</f>
        <v/>
      </c>
      <c r="RK12" s="73" t="str">
        <f>IF(AND('Job Sheet'!AW18="Large 260mm x 400mm",'Job Sheet'!AX18="White"),1,"")</f>
        <v/>
      </c>
      <c r="RL12" s="73" t="str">
        <f>IF('Job Sheet'!AQ18="T Mullion with Cutouts and 2 Lock Bolts",2,"")</f>
        <v/>
      </c>
      <c r="RM12" s="73" t="str">
        <f>IF('Job Sheet'!U18="Water Closer",1,"")</f>
        <v/>
      </c>
      <c r="RN12" s="73" t="str">
        <f>IF('Job Sheet'!AO18="Yes, Included in other Door","",IF(OR('Mitred Cutting'!I18="Long Leg Left, Right and Top",'Mitred Cutting'!I18="Short Leg Left, Right and Top"),2,""))</f>
        <v/>
      </c>
      <c r="RO12" s="73" t="str">
        <f>IF(AND('Mitred Cutting'!C18="Invisi-Gard",(OR('Job Sheet'!AI18="Yes",'Job Sheet'!AI18="Yes - Centre"))),2,"")</f>
        <v/>
      </c>
      <c r="RQ12" s="73" t="str">
        <f>IF('Job Sheet'!M18="Ultra Secua Digital Triple Lock",1,"")</f>
        <v/>
      </c>
      <c r="RT12" s="73" t="str">
        <f>IF(AND('Job Sheet'!BL18="750 x 2000",(OR('Job Sheet'!BK18="Woven Stainless Steel",'Job Sheet'!BK18="Invisi-Gard Woven Stainless Steel"))),1,"")</f>
        <v/>
      </c>
      <c r="RU12" s="73" t="str">
        <f>IF(AND('Job Sheet'!BL18="750 x 2400",(OR('Job Sheet'!BK18="Woven Stainless Steel",'Job Sheet'!BK18="Invisi-Gard Woven Stainless Steel"))),1,"")</f>
        <v/>
      </c>
      <c r="RV12" s="73" t="str">
        <f>IF(AND('Job Sheet'!BL18="750 x 3000",(OR('Job Sheet'!BK18="Woven Stainless Steel",'Job Sheet'!BK18="Invisi-Gard Woven Stainless Steel"))),1,"")</f>
        <v/>
      </c>
      <c r="RW12" s="73" t="str">
        <f>IF(AND('Job Sheet'!BL18="900 x 2000",(OR('Job Sheet'!BK18="Woven Stainless Steel",'Job Sheet'!BK18="Invisi-Gard Woven Stainless Steel"))),1,"")</f>
        <v/>
      </c>
      <c r="RX12" s="73" t="str">
        <f>IF(AND('Job Sheet'!BL18="900 x 2400",(OR('Job Sheet'!BK18="Woven Stainless Steel",'Job Sheet'!BK18="Invisi-Gard Woven Stainless Steel"))),1,"")</f>
        <v/>
      </c>
      <c r="RY12" s="73" t="str">
        <f>IF(AND('Job Sheet'!BL18="900 x 3000",(OR('Job Sheet'!BK18="Woven Stainless Steel",'Job Sheet'!BK18="Invisi-Gard Woven Stainless Steel"))),1,"")</f>
        <v/>
      </c>
      <c r="RZ12" s="73" t="str">
        <f>IF(AND('Job Sheet'!BL18="1200 x 2000",(OR('Job Sheet'!BK18="Woven Stainless Steel",'Job Sheet'!BK18="Invisi-Gard Woven Stainless Steel"))),1,"")</f>
        <v/>
      </c>
      <c r="SA12" s="73" t="str">
        <f>IF(AND('Job Sheet'!BL18="1200 x 2400",(OR('Job Sheet'!BK18="Woven Stainless Steel",'Job Sheet'!BK18="Invisi-Gard Woven Stainless Steel"))),1,"")</f>
        <v/>
      </c>
      <c r="SB12" s="73" t="str">
        <f>IF(AND('Job Sheet'!BL18="1200 x 3000",(OR('Job Sheet'!BK18="Woven Stainless Steel",'Job Sheet'!BK18="Invisi-Gard Woven Stainless Steel"))),1,"")</f>
        <v/>
      </c>
      <c r="SC12" s="73" t="str">
        <f>IF(AND('Job Sheet'!BL18="1500 x 2000",(OR('Job Sheet'!BK18="Woven Stainless Steel",'Job Sheet'!BK18="Invisi-Gard Woven Stainless Steel"))),1,"")</f>
        <v/>
      </c>
      <c r="SD12" s="73" t="str">
        <f>IF(AND('Job Sheet'!BL18="1500 x 2400",(OR('Job Sheet'!BK18="Woven Stainless Steel",'Job Sheet'!BK18="Invisi-Gard Woven Stainless Steel"))),1,"")</f>
        <v/>
      </c>
      <c r="SE12" s="73" t="str">
        <f>IF(AND('Job Sheet'!BL18="1500 x 3000",(OR('Job Sheet'!BK18="Woven Stainless Steel",'Job Sheet'!BK18="Invisi-Gard Woven Stainless Steel"))),1,"")</f>
        <v/>
      </c>
      <c r="SF12" s="73" t="str">
        <f>IF(AND('Job Sheet'!BK18="Alu-Gard Perforated Aluminium",'Job Sheet'!BL18="750 x 2000"),1,"")</f>
        <v/>
      </c>
      <c r="SG12" s="73" t="str">
        <f>IF(AND('Job Sheet'!BK18="Alu-Gard Perforated Aluminium",'Job Sheet'!BL18="750 x 2400"),1,"")</f>
        <v/>
      </c>
      <c r="SH12" s="73" t="str">
        <f>IF(AND('Job Sheet'!BK18="Alu-Gard Perforated Aluminium",'Job Sheet'!BL18="750 x 3000"),1,"")</f>
        <v/>
      </c>
      <c r="SI12" s="73" t="str">
        <f>IF(AND('Job Sheet'!BK18="Alu-Gard Perforated Aluminium",'Job Sheet'!BL18="900 x 2000"),1,"")</f>
        <v/>
      </c>
      <c r="SJ12" s="73" t="str">
        <f>IF(AND('Job Sheet'!BK18="Alu-Gard Perforated Aluminium",'Job Sheet'!BL18="900 x 2400"),1,"")</f>
        <v/>
      </c>
      <c r="SK12" s="73" t="str">
        <f>IF(AND('Job Sheet'!BK18="Alu-Gard Perforated Aluminium",'Job Sheet'!BL18="900 x 3000"),1,"")</f>
        <v/>
      </c>
      <c r="SL12" s="73" t="str">
        <f>IF(AND('Job Sheet'!BK18="Alu-Gard Perforated Aluminium",'Job Sheet'!BL18="1200 x 2000"),1,"")</f>
        <v/>
      </c>
      <c r="SM12" s="73" t="str">
        <f>IF(AND('Job Sheet'!BK18="Alu-Gard Perforated Aluminium",'Job Sheet'!BL18="1200 x 2400"),1,"")</f>
        <v/>
      </c>
      <c r="SN12" s="73" t="str">
        <f>IF(AND('Job Sheet'!BK18="Alu-Gard Perforated Aluminium",'Job Sheet'!BL18="1200 x 3000"),1,"")</f>
        <v/>
      </c>
      <c r="SO12" s="73" t="str">
        <f>IF(AND('Job Sheet'!BK18="Alu-Gard Perforated Aluminium",'Job Sheet'!BL18="1500 x 2000"),1,"")</f>
        <v/>
      </c>
      <c r="SP12" s="73" t="str">
        <f>IF(AND('Job Sheet'!BK18="Alu-Gard Perforated Aluminium",'Job Sheet'!BL18="1500 x 2400"),1,"")</f>
        <v/>
      </c>
      <c r="SQ12" s="73" t="str">
        <f>IF(AND('Job Sheet'!BK18="Alu-Gard Perforated Aluminium",'Job Sheet'!BL18="1500 x 3000"),1,"")</f>
        <v/>
      </c>
      <c r="SR12" s="73" t="str">
        <f>IF(AND('Job Sheet'!BK18="Privacy-Gard",'Job Sheet'!BL18="750 x 2000"),1,"")</f>
        <v/>
      </c>
      <c r="SS12" s="73" t="str">
        <f>IF(AND('Job Sheet'!BK18="Privacy-Gard",'Job Sheet'!BL18="750 x 2400"),1,"")</f>
        <v/>
      </c>
      <c r="ST12" s="73" t="str">
        <f>IF(AND('Job Sheet'!BK18="Privacy-Gard",'Job Sheet'!BL18="900 x 2000"),1,"")</f>
        <v/>
      </c>
      <c r="SU12" s="73" t="str">
        <f>IF(AND('Job Sheet'!BK18="Privacy-Gard",'Job Sheet'!BL18="900 x 2400"),1,"")</f>
        <v/>
      </c>
      <c r="SV12" s="73" t="str">
        <f>IF(AND('Job Sheet'!BK18="Privacy-Gard",'Job Sheet'!BL18="1200 x 2000"),1,"")</f>
        <v/>
      </c>
      <c r="SW12" s="73" t="str">
        <f>IF(AND('Job Sheet'!BK18="Privacy-Gard",'Job Sheet'!BL18="1200 x 2400"),1,"")</f>
        <v/>
      </c>
      <c r="SX12" s="73" t="str">
        <f>IF(AND('Job Sheet'!BK18="Standard Diamond",'Job Sheet'!BL18="750 x 2050",'Job Sheet'!AB18="APO Grey"),1,"")</f>
        <v/>
      </c>
      <c r="SY12" s="73" t="str">
        <f>IF(AND('Job Sheet'!BK18="Standard Diamond",'Job Sheet'!BL18="750 x 2050",'Job Sheet'!AB18="White Birch"),1,"")</f>
        <v/>
      </c>
      <c r="SZ12" s="73" t="str">
        <f>IF(AND('Job Sheet'!BK18="Standard Diamond",'Job Sheet'!BL18="750 x 2050",'Job Sheet'!AB18="Black"),1,"")</f>
        <v/>
      </c>
      <c r="TA12" s="73" t="str">
        <f>IF(AND('Job Sheet'!BK18="Standard Diamond",'Job Sheet'!BL18="750 x 2050",'Job Sheet'!AB18="Brown"),1,"")</f>
        <v/>
      </c>
      <c r="TB12" s="73" t="str">
        <f>IF(AND('Job Sheet'!BK18="Standard Diamond",'Job Sheet'!BL18="750 x 2050",'Job Sheet'!AB18="Deep Ocean"),1,"")</f>
        <v/>
      </c>
      <c r="TC12" s="73" t="str">
        <f>IF(AND('Job Sheet'!BK18="Standard Diamond",'Job Sheet'!BL18="750 x 2050",'Job Sheet'!AB18="Jasper"),1,"")</f>
        <v/>
      </c>
      <c r="TD12" s="73" t="str">
        <f>IF(AND('Job Sheet'!BK18="Standard Diamond",'Job Sheet'!BL18="750 x 2050",'Job Sheet'!AB18="Paperbark"),1,"")</f>
        <v/>
      </c>
      <c r="TE12" s="73" t="str">
        <f>IF(AND('Job Sheet'!BK18="Standard Diamond",'Job Sheet'!BL18="750 x 2050",'Job Sheet'!AB18="Mist Green"),1,"")</f>
        <v/>
      </c>
      <c r="TF12" s="73" t="str">
        <f>IF(AND('Job Sheet'!BK18="Standard Diamond",'Job Sheet'!BL18="750 x 2050",'Job Sheet'!AB18="Primrose"),1,"")</f>
        <v/>
      </c>
      <c r="TG12" s="73" t="str">
        <f>IF(AND('Job Sheet'!BK18="Standard Diamond",'Job Sheet'!BL18="750 x 2050",'Job Sheet'!AB18="Ultra Silver"),1,"")</f>
        <v/>
      </c>
      <c r="TH12" s="73" t="str">
        <f>IF(AND('Job Sheet'!BK18="Standard Diamond",'Job Sheet'!BL18="750 x 2050",'Job Sheet'!AB18="Woodland Grey(Green Tone)"),1,"")</f>
        <v/>
      </c>
      <c r="TI12" s="73" t="str">
        <f>IF(AND('Job Sheet'!BK18="Standard Diamond",'Job Sheet'!BL18="750 x 2050",'Job Sheet'!AB18="Pearl White"),1,"")</f>
        <v/>
      </c>
      <c r="TJ12" s="73" t="str">
        <f>IF(AND('Job Sheet'!BK18="Standard Diamond",'Job Sheet'!BL18="750 x 2050",'Job Sheet'!AB18="Monument"),1,"")</f>
        <v/>
      </c>
      <c r="TK12" s="73" t="str">
        <f>IF(AND('Job Sheet'!BK18="Standard Diamond",'Job Sheet'!BL18="750 x 2050",'Job Sheet'!AB18="Surfmist"),1,"")</f>
        <v/>
      </c>
      <c r="TL12" s="73" t="str">
        <f>IF(AND('Job Sheet'!BK18="Standard Diamond",'Job Sheet'!BL18="750 x 2050",'Job Sheet'!AB18="Dune"),1,"")</f>
        <v/>
      </c>
      <c r="TM12" s="73" t="str">
        <f>IF(AND('Job Sheet'!BK18="Standard Diamond",'Job Sheet'!BL18="750 x 2050",'Job Sheet'!AB18="Custom Powdercoat"),1,"")</f>
        <v/>
      </c>
      <c r="TN12" s="73" t="str">
        <f>IF(AND('Job Sheet'!BK18="Standard Diamond",'Job Sheet'!BL18="835 x 2050",'Job Sheet'!AB18="APO Grey"),1,"")</f>
        <v/>
      </c>
      <c r="TO12" s="73" t="str">
        <f>IF(AND('Job Sheet'!BK18="Standard Diamond",'Job Sheet'!BL18="835 x 2050",'Job Sheet'!AB18="White Birch"),1,"")</f>
        <v/>
      </c>
      <c r="TP12" s="73" t="str">
        <f>IF(AND('Job Sheet'!BK18="Standard Diamond",'Job Sheet'!BL18="835 x 2050",'Job Sheet'!AB18="Black"),1,"")</f>
        <v/>
      </c>
      <c r="TQ12" s="73" t="str">
        <f>IF(AND('Job Sheet'!BK18="Standard Diamond",'Job Sheet'!BL18="835 x 2050",'Job Sheet'!AB18="Brown"),1,"")</f>
        <v/>
      </c>
      <c r="TR12" s="73" t="str">
        <f>IF(AND('Job Sheet'!BK18="Standard Diamond",'Job Sheet'!BL18="835 x 2050",'Job Sheet'!AB18="Deep Ocean"),1,"")</f>
        <v/>
      </c>
      <c r="TS12" s="73" t="str">
        <f>IF(AND('Job Sheet'!BK18="Standard Diamond",'Job Sheet'!BL18="835 x 2050",'Job Sheet'!AB18="Jasper"),1,"")</f>
        <v/>
      </c>
      <c r="TT12" s="73" t="str">
        <f>IF(AND('Job Sheet'!BK18="Standard Diamond",'Job Sheet'!BL18="835 x 2050",'Job Sheet'!AB18="Paperbark"),1,"")</f>
        <v/>
      </c>
      <c r="TU12" s="73" t="str">
        <f>IF(AND('Job Sheet'!BK18="Standard Diamond",'Job Sheet'!BL18="835 x 2050",'Job Sheet'!AB18="Mist Green"),1,"")</f>
        <v/>
      </c>
      <c r="TV12" s="73" t="str">
        <f>IF(AND('Job Sheet'!BK18="Standard Diamond",'Job Sheet'!BL18="835 x 2050",'Job Sheet'!AB18="Primrose"),1,"")</f>
        <v/>
      </c>
      <c r="TW12" s="73" t="str">
        <f>IF(AND('Job Sheet'!BK18="Standard Diamond",'Job Sheet'!BL18="835 x 2050",'Job Sheet'!AB18="Ultra Silver"),1,"")</f>
        <v/>
      </c>
      <c r="TX12" s="73" t="str">
        <f>IF(AND('Job Sheet'!BK18="Standard Diamond",'Job Sheet'!BL18="835 x 2050",'Job Sheet'!AB18="Woodland Grey(Green Tone)"),1,"")</f>
        <v/>
      </c>
      <c r="TY12" s="73" t="str">
        <f>IF(AND('Job Sheet'!BK18="Standard Diamond",'Job Sheet'!BL18="835 x 2050",'Job Sheet'!AB18="Pearl White"),1,"")</f>
        <v/>
      </c>
      <c r="TZ12" s="73" t="str">
        <f>IF(AND('Job Sheet'!BK18="Standard Diamond",'Job Sheet'!BL18="835 x 2050",'Job Sheet'!AB18="Monument"),1,"")</f>
        <v/>
      </c>
      <c r="UA12" s="73" t="str">
        <f>IF(AND('Job Sheet'!BK18="Standard Diamond",'Job Sheet'!BL18="835 x 2050",'Job Sheet'!AB18="Surfmist"),1,"")</f>
        <v/>
      </c>
      <c r="UB12" s="73" t="str">
        <f>IF(AND('Job Sheet'!BK18="Standard Diamond",'Job Sheet'!BL18="835 x 2050",'Job Sheet'!AB18="Dune"),1,"")</f>
        <v/>
      </c>
      <c r="UC12" s="73" t="str">
        <f>IF(AND('Job Sheet'!BK18="Standard Diamond",'Job Sheet'!BL18="835 x 2050",'Job Sheet'!AB18="Custom Powdercoat"),1,"")</f>
        <v/>
      </c>
      <c r="UD12" s="73" t="str">
        <f>IF(AND('Job Sheet'!BK18="Standard Diamond",'Job Sheet'!BL18="920 x 2050",'Job Sheet'!AB18="APO Grey"),1,"")</f>
        <v/>
      </c>
      <c r="UE12" s="73" t="str">
        <f>IF(AND('Job Sheet'!BK18="Standard Diamond",'Job Sheet'!BL18="920 x 2050",'Job Sheet'!AB18="White Birch"),1,"")</f>
        <v/>
      </c>
      <c r="UF12" s="73" t="str">
        <f>IF(AND('Job Sheet'!BK18="Standard Diamond",'Job Sheet'!BL18="920 x 2050",'Job Sheet'!AB18="Black"),1,"")</f>
        <v/>
      </c>
      <c r="UG12" s="73" t="str">
        <f>IF(AND('Job Sheet'!BK18="Standard Diamond",'Job Sheet'!BL18="920 x 2050",'Job Sheet'!AB18="Brown"),1,"")</f>
        <v/>
      </c>
      <c r="UH12" s="73" t="str">
        <f>IF(AND('Job Sheet'!BK18="Standard Diamond",'Job Sheet'!BL18="920 x 2050",'Job Sheet'!AB18="Deep Ocean"),1,"")</f>
        <v/>
      </c>
      <c r="UI12" s="73" t="str">
        <f>IF(AND('Job Sheet'!BK18="Standard Diamond",'Job Sheet'!BL18="920 x 2050",'Job Sheet'!AB18="Jasper"),1,"")</f>
        <v/>
      </c>
      <c r="UJ12" s="73" t="str">
        <f>IF(AND('Job Sheet'!BK18="Standard Diamond",'Job Sheet'!BL18="920 x 2050",'Job Sheet'!AB18="Paperbark"),1,"")</f>
        <v/>
      </c>
      <c r="UK12" s="73" t="str">
        <f>IF(AND('Job Sheet'!BK18="Standard Diamond",'Job Sheet'!BL18="920 x 2050",'Job Sheet'!AB18="Mist Green"),1,"")</f>
        <v/>
      </c>
      <c r="UL12" s="73" t="str">
        <f>IF(AND('Job Sheet'!BK18="Standard Diamond",'Job Sheet'!BL18="920 x 2050",'Job Sheet'!AB18="Primrose"),1,"")</f>
        <v/>
      </c>
      <c r="UM12" s="73" t="str">
        <f>IF(AND('Job Sheet'!BK18="Standard Diamond",'Job Sheet'!BL18="920 x 2050",'Job Sheet'!AB18="Ultra Silver"),1,"")</f>
        <v/>
      </c>
      <c r="UN12" s="73" t="str">
        <f>IF(AND('Job Sheet'!BK18="Standard Diamond",'Job Sheet'!BL18="920 x 2050",'Job Sheet'!AB18="Woodland Grey(Green Tone)"),1,"")</f>
        <v/>
      </c>
      <c r="UO12" s="73" t="str">
        <f>IF(AND('Job Sheet'!BK18="Standard Diamond",'Job Sheet'!BL18="920 x 2050",'Job Sheet'!AB18="Pearl White"),1,"")</f>
        <v/>
      </c>
      <c r="UP12" s="73" t="str">
        <f>IF(AND('Job Sheet'!BK18="Standard Diamond",'Job Sheet'!BL18="920 x 2050",'Job Sheet'!AB18="Monument"),1,"")</f>
        <v/>
      </c>
      <c r="UQ12" s="73" t="str">
        <f>IF(AND('Job Sheet'!BK18="Standard Diamond",'Job Sheet'!BL18="920 x 2050",'Job Sheet'!AB18="Surfmist"),1,"")</f>
        <v/>
      </c>
      <c r="UR12" s="73" t="str">
        <f>IF(AND('Job Sheet'!BK18="Standard Diamond",'Job Sheet'!BL18="920 x 2050",'Job Sheet'!AB18="Dune"),1,"")</f>
        <v/>
      </c>
      <c r="US12" s="73" t="str">
        <f>IF(AND('Job Sheet'!BK18="Standard Diamond",'Job Sheet'!BL18="920 x 2050",'Job Sheet'!AB18="Custom Powdercoat"),1,"")</f>
        <v/>
      </c>
      <c r="UT12" s="73" t="str">
        <f>IF(AND('Job Sheet'!BK18="Standard Diamond",'Job Sheet'!BL18="1200 x 2050",'Job Sheet'!AB18="APO Grey"),1,"")</f>
        <v/>
      </c>
      <c r="UU12" s="73" t="str">
        <f>IF(AND('Job Sheet'!BK18="Standard Diamond",'Job Sheet'!BL18="1200 x 2050",'Job Sheet'!AB18="White Birch"),1,"")</f>
        <v/>
      </c>
      <c r="UV12" s="73" t="str">
        <f>IF(AND('Job Sheet'!BK18="Standard Diamond",'Job Sheet'!BL18="1200 x 2050",'Job Sheet'!AB18="Black"),1,"")</f>
        <v/>
      </c>
      <c r="UW12" s="73" t="str">
        <f>IF(AND('Job Sheet'!BK18="Standard Diamond",'Job Sheet'!BL18="1200 x 2050",'Job Sheet'!AB18="Brown"),1,"")</f>
        <v/>
      </c>
      <c r="UX12" s="73" t="str">
        <f>IF(AND('Job Sheet'!BK18="Standard Diamond",'Job Sheet'!BL18="1200 x 2050",'Job Sheet'!AB18="Deep Ocean"),1,"")</f>
        <v/>
      </c>
      <c r="UY12" s="73" t="str">
        <f>IF(AND('Job Sheet'!BK18="Standard Diamond",'Job Sheet'!BL18="1200 x 2050",'Job Sheet'!AB18="Jasper"),1,"")</f>
        <v/>
      </c>
      <c r="UZ12" s="73" t="str">
        <f>IF(AND('Job Sheet'!BK18="Standard Diamond",'Job Sheet'!BL18="1200 x 2050",'Job Sheet'!AB18="Paperbark"),1,"")</f>
        <v/>
      </c>
      <c r="VA12" s="73" t="str">
        <f>IF(AND('Job Sheet'!BK18="Standard Diamond",'Job Sheet'!BL18="1200 x 2050",'Job Sheet'!AB18="Mist Green"),1,"")</f>
        <v/>
      </c>
      <c r="VB12" s="73" t="str">
        <f>IF(AND('Job Sheet'!BK18="Standard Diamond",'Job Sheet'!BL18="1200 x 2050",'Job Sheet'!AB18="Primrose"),1,"")</f>
        <v/>
      </c>
      <c r="VC12" s="73" t="str">
        <f>IF(AND('Job Sheet'!BK18="Standard Diamond",'Job Sheet'!BL18="1200 x 2050",'Job Sheet'!AB18="Ultra Silver"),1,"")</f>
        <v/>
      </c>
      <c r="VD12" s="73" t="str">
        <f>IF(AND('Job Sheet'!BK18="Standard Diamond",'Job Sheet'!BL18="1200 x 2050",'Job Sheet'!AB18="Woodland Grey(Green Tone)"),1,"")</f>
        <v/>
      </c>
      <c r="VE12" s="73" t="str">
        <f>IF(AND('Job Sheet'!BK18="Standard Diamond",'Job Sheet'!BL18="1200 x 2050",'Job Sheet'!AB18="Pearl White"),1,"")</f>
        <v/>
      </c>
      <c r="VF12" s="73" t="str">
        <f>IF(AND('Job Sheet'!BK18="Standard Diamond",'Job Sheet'!BL18="1200 x 2050",'Job Sheet'!AB18="Monument"),1,"")</f>
        <v/>
      </c>
      <c r="VG12" s="73" t="str">
        <f>IF(AND('Job Sheet'!BK18="Standard Diamond",'Job Sheet'!BL18="1200 x 2050",'Job Sheet'!AB18="Surfmist"),1,"")</f>
        <v/>
      </c>
      <c r="VH12" s="73" t="str">
        <f>IF(AND('Job Sheet'!BK18="Standard Diamond",'Job Sheet'!BL18="1200 x 2050",'Job Sheet'!AB18="Dune"),1,"")</f>
        <v/>
      </c>
      <c r="VI12" s="73" t="str">
        <f>IF(AND('Job Sheet'!BK18="Standard Diamond",'Job Sheet'!BL18="1200 x 2050",'Job Sheet'!AB18="Custom Powdercoat"),1,"")</f>
        <v/>
      </c>
      <c r="VJ12" s="73" t="str">
        <f>IF(AND('Job Sheet'!BK18="Standard Diamond",'Job Sheet'!BL18="920 x 2450",'Job Sheet'!AB18="APO Grey"),1,"")</f>
        <v/>
      </c>
      <c r="VK12" s="73" t="str">
        <f>IF(AND('Job Sheet'!BK18="Standard Diamond",'Job Sheet'!BL18="920 x 2450",'Job Sheet'!AB18="White Birch"),1,"")</f>
        <v/>
      </c>
      <c r="VL12" s="73" t="str">
        <f>IF(AND('Job Sheet'!BK18="Standard Diamond",'Job Sheet'!BL18="920 x 2450",'Job Sheet'!AB18="Black"),1,"")</f>
        <v/>
      </c>
      <c r="VM12" s="73" t="str">
        <f>IF(AND('Job Sheet'!BK18="Standard Diamond",'Job Sheet'!BL18="920 x 2450",'Job Sheet'!AB18="Brown"),1,"")</f>
        <v/>
      </c>
      <c r="VN12" s="73" t="str">
        <f>IF(AND('Job Sheet'!BK18="Standard Diamond",'Job Sheet'!BL18="920 x 2450",'Job Sheet'!AB18="Deep Ocean"),1,"")</f>
        <v/>
      </c>
      <c r="VO12" s="73" t="str">
        <f>IF(AND('Job Sheet'!BK18="Standard Diamond",'Job Sheet'!BL18="920 x 2450",'Job Sheet'!AB18="Jasper"),1,"")</f>
        <v/>
      </c>
      <c r="VP12" s="73" t="str">
        <f>IF(AND('Job Sheet'!BK18="Standard Diamond",'Job Sheet'!BL18="920 x 2450",'Job Sheet'!AB18="Paperbark"),1,"")</f>
        <v/>
      </c>
      <c r="VQ12" s="73" t="str">
        <f>IF(AND('Job Sheet'!BK18="Standard Diamond",'Job Sheet'!BL18="920 x 2450",'Job Sheet'!AB18="Mist Green"),1,"")</f>
        <v/>
      </c>
      <c r="VR12" s="73" t="str">
        <f>IF(AND('Job Sheet'!BK18="Standard Diamond",'Job Sheet'!BL18="920 x 2450",'Job Sheet'!AB18="Primrose"),1,"")</f>
        <v/>
      </c>
      <c r="VS12" s="73" t="str">
        <f>IF(AND('Job Sheet'!BK18="Standard Diamond",'Job Sheet'!BL18="920 x 2450",'Job Sheet'!AB18="Ultra Silver"),1,"")</f>
        <v/>
      </c>
      <c r="VT12" s="73" t="str">
        <f>IF(AND('Job Sheet'!BK18="Standard Diamond",'Job Sheet'!BL18="920 x 2450",'Job Sheet'!AB18="Woodland Grey(Green Tone)"),1,"")</f>
        <v/>
      </c>
      <c r="VU12" s="73" t="str">
        <f>IF(AND('Job Sheet'!BK18="Standard Diamond",'Job Sheet'!BL18="920 x 2450",'Job Sheet'!AB18="Pearl White"),1,"")</f>
        <v/>
      </c>
      <c r="VV12" s="73" t="str">
        <f>IF(AND('Job Sheet'!BK18="Standard Diamond",'Job Sheet'!BL18="920 x 2450",'Job Sheet'!AB18="Monument"),1,"")</f>
        <v/>
      </c>
      <c r="VW12" s="73" t="str">
        <f>IF(AND('Job Sheet'!BK18="Standard Diamond",'Job Sheet'!BL18="920 x 2450",'Job Sheet'!AB18="Surfmist"),1,"")</f>
        <v/>
      </c>
      <c r="VX12" s="73" t="str">
        <f>IF(AND('Job Sheet'!BK18="Standard Diamond",'Job Sheet'!BL18="920 x 2450",'Job Sheet'!AB18="Dune"),1,"")</f>
        <v/>
      </c>
      <c r="VY12" s="73" t="str">
        <f>IF(AND('Job Sheet'!BK18="Standard Diamond",'Job Sheet'!BL18="920 x 2450",'Job Sheet'!AB18="Custom Powdercoat"),1,"")</f>
        <v/>
      </c>
      <c r="VZ12" s="73" t="str">
        <f>IF(AND('Job Sheet'!BK18="Standard Diamond",'Job Sheet'!BL18="1200 x 2450",'Job Sheet'!AB18="APO Grey"),1,"")</f>
        <v/>
      </c>
      <c r="WA12" s="73" t="str">
        <f>IF(AND('Job Sheet'!BK18="Standard Diamond",'Job Sheet'!BL18="1200 x 2450",'Job Sheet'!AB18="White Birch"),1,"")</f>
        <v/>
      </c>
      <c r="WB12" s="73" t="str">
        <f>IF(AND('Job Sheet'!BK18="Standard Diamond",'Job Sheet'!BL18="1200 x 2450",'Job Sheet'!AB18="Black"),1,"")</f>
        <v/>
      </c>
      <c r="WC12" s="73" t="str">
        <f>IF(AND('Job Sheet'!BK18="Standard Diamond",'Job Sheet'!BL18="1200 x 2450",'Job Sheet'!AB18="Brown"),1,"")</f>
        <v/>
      </c>
      <c r="WD12" s="73" t="str">
        <f>IF(AND('Job Sheet'!BK18="Standard Diamond",'Job Sheet'!BL18="1200 x 2450",'Job Sheet'!AB18="Deep Ocean"),1,"")</f>
        <v/>
      </c>
      <c r="WE12" s="73" t="str">
        <f>IF(AND('Job Sheet'!BK18="Standard Diamond",'Job Sheet'!BL18="1200 x 2450",'Job Sheet'!AB18="Jasper"),1,"")</f>
        <v/>
      </c>
      <c r="WF12" s="73" t="str">
        <f>IF(AND('Job Sheet'!BK18="Standard Diamond",'Job Sheet'!BL18="1200 x 2450",'Job Sheet'!AB18="Paperbark"),1,"")</f>
        <v/>
      </c>
      <c r="WG12" s="73" t="str">
        <f>IF(AND('Job Sheet'!BK18="Standard Diamond",'Job Sheet'!BL18="1200 x 2450",'Job Sheet'!AB18="Mist Green"),1,"")</f>
        <v/>
      </c>
      <c r="WH12" s="73" t="str">
        <f>IF(AND('Job Sheet'!BK18="Standard Diamond",'Job Sheet'!BL18="1200 x 2450",'Job Sheet'!AB18="Primrose"),1,"")</f>
        <v/>
      </c>
      <c r="WI12" s="73" t="str">
        <f>IF(AND('Job Sheet'!BK18="Standard Diamond",'Job Sheet'!BL18="1200 x 2450",'Job Sheet'!AB18="Ultra Silver"),1,"")</f>
        <v/>
      </c>
      <c r="WJ12" s="73" t="str">
        <f>IF(AND('Job Sheet'!BK18="Standard Diamond",'Job Sheet'!BL18="1200 x 2450",'Job Sheet'!AB18="Woodland Grey(Green Tone)"),1,"")</f>
        <v/>
      </c>
      <c r="WK12" s="73" t="str">
        <f>IF(AND('Job Sheet'!BK18="Standard Diamond",'Job Sheet'!BL18="1200 x 2450",'Job Sheet'!AB18="Pearl White"),1,"")</f>
        <v/>
      </c>
      <c r="WL12" s="73" t="str">
        <f>IF(AND('Job Sheet'!BK18="Standard Diamond",'Job Sheet'!BL18="1200 x 2450",'Job Sheet'!AB18="Monument"),1,"")</f>
        <v/>
      </c>
      <c r="WM12" s="73" t="str">
        <f>IF(AND('Job Sheet'!BK18="Standard Diamond",'Job Sheet'!BL18="1200 x 2450",'Job Sheet'!AB18="Surfmist"),1,"")</f>
        <v/>
      </c>
      <c r="WN12" s="73" t="str">
        <f>IF(AND('Job Sheet'!BK18="Standard Diamond",'Job Sheet'!BL18="1200 x 2450",'Mitred Cutting'!D18="Dune"),1,"")</f>
        <v/>
      </c>
      <c r="WO12" s="73" t="str">
        <f>IF(AND('Job Sheet'!BK18="Standard Diamond",'Job Sheet'!BL18="1200 x 2450",'Job Sheet'!AB18="Custom Powdercoat"),1,"")</f>
        <v/>
      </c>
      <c r="WP12" s="73" t="str">
        <f>IF(AND('Job Sheet'!BK18="Decorative Diamond",'Job Sheet'!BL18="770 x 2050",'Job Sheet'!AB18="APO Grey"),1,"")</f>
        <v/>
      </c>
      <c r="WQ12" s="73" t="str">
        <f>IF(AND('Job Sheet'!BK18="Decorative Diamond",'Job Sheet'!BL18="770 x 2050",'Job Sheet'!AB18="White Birch"),1,"")</f>
        <v/>
      </c>
      <c r="WR12" s="73" t="str">
        <f>IF(AND('Job Sheet'!BK18="Decorative Diamond",'Job Sheet'!BL18="770 x 2050",'Job Sheet'!AB18="Black"),1,"")</f>
        <v/>
      </c>
      <c r="WS12" s="73" t="str">
        <f>IF(AND('Job Sheet'!BK18="Decorative Diamond",'Job Sheet'!BL18="770 x 2050",'Job Sheet'!AB18="Brown"),1,"")</f>
        <v/>
      </c>
      <c r="WT12" s="73" t="str">
        <f>IF(AND('Job Sheet'!BK18="Decorative Diamond",'Job Sheet'!BL18="770 x 2050",'Job Sheet'!AB18="Deep Ocean"),1,"")</f>
        <v/>
      </c>
      <c r="WU12" s="73" t="str">
        <f>IF(AND('Job Sheet'!BK18="Decorative Diamond",'Job Sheet'!BL18="770 x 2050",'Job Sheet'!AB18="Jasper"),1,"")</f>
        <v/>
      </c>
      <c r="WV12" s="73" t="str">
        <f>IF(AND('Job Sheet'!BK18="Decorative Diamond",'Job Sheet'!BL18="770 x 2050",'Job Sheet'!AB18="Paperbark"),1,"")</f>
        <v/>
      </c>
      <c r="WW12" s="73" t="str">
        <f>IF(AND('Job Sheet'!BK18="Decorative Diamond",'Job Sheet'!BL18="770 x 2050",'Job Sheet'!AB18="Mist Green"),1,"")</f>
        <v/>
      </c>
      <c r="WX12" s="73" t="str">
        <f>IF(AND('Job Sheet'!BK18="Decorative Diamond",'Job Sheet'!BL18="770 x 2050",'Job Sheet'!AB18="Primrose"),1,"")</f>
        <v/>
      </c>
      <c r="WY12" s="73" t="str">
        <f>IF(AND('Job Sheet'!BK18="Decorative Diamond",'Job Sheet'!BL18="770 x 2050",'Job Sheet'!AB18="Ultra Silver"),1,"")</f>
        <v/>
      </c>
      <c r="WZ12" s="73" t="str">
        <f>IF(AND('Job Sheet'!BK18="Decorative Diamond",'Job Sheet'!BL18="770 x 2050",'Job Sheet'!AB18="Woodland Grey(Green Tone)"),1,"")</f>
        <v/>
      </c>
      <c r="XA12" s="73" t="str">
        <f>IF(AND('Job Sheet'!BK18="Decorative Diamond",'Job Sheet'!BL18="770 x 2050",'Job Sheet'!AB18="Pearl White"),1,"")</f>
        <v/>
      </c>
      <c r="XB12" s="73" t="str">
        <f>IF(AND('Job Sheet'!BK18="Decorative Diamond",'Job Sheet'!BL18="770 x 2050",'Job Sheet'!AB18="Monument"),1,"")</f>
        <v/>
      </c>
      <c r="XC12" s="73" t="str">
        <f>IF(AND('Job Sheet'!BK18="Decorative Diamond",'Job Sheet'!BL18="770 x 2050",'Job Sheet'!AB18="Surfmist"),1,"")</f>
        <v/>
      </c>
      <c r="XD12" s="73" t="str">
        <f>IF(AND('Job Sheet'!BK18="Decorative Diamond",'Job Sheet'!BL18="770 x 2050",'Job Sheet'!AB18="Dune"),1,"")</f>
        <v/>
      </c>
      <c r="XE12" s="73" t="str">
        <f>IF(AND('Job Sheet'!BK18="Decorative Diamond",'Job Sheet'!BL18="770 x 2050",'Job Sheet'!AB18="Custom Powdercoat"),1,"")</f>
        <v/>
      </c>
      <c r="XF12" s="73" t="str">
        <f>IF(AND('Job Sheet'!BK18="Decorative Diamond",'Job Sheet'!BL18="900 x 2050",'Job Sheet'!AB18="APO Grey"),1,"")</f>
        <v/>
      </c>
      <c r="XG12" s="73" t="str">
        <f>IF(AND('Job Sheet'!BK18="Decorative Diamond",'Job Sheet'!BL18="900 x 2050",'Job Sheet'!AB18="White Birch"),1,"")</f>
        <v/>
      </c>
      <c r="XH12" s="73" t="str">
        <f>IF(AND('Job Sheet'!BK18="Decorative Diamond",'Job Sheet'!BL18="900 x 2050",'Job Sheet'!AB18="Black"),1,"")</f>
        <v/>
      </c>
      <c r="XI12" s="73" t="str">
        <f>IF(AND('Job Sheet'!BK18="Decorative Diamond",'Job Sheet'!BL18="900 x 2050",'Job Sheet'!AB18="Brown"),1,"")</f>
        <v/>
      </c>
      <c r="XJ12" s="73" t="str">
        <f>IF(AND('Job Sheet'!BK18="Decorative Diamond",'Job Sheet'!BL18="900 x 2050",'Job Sheet'!AB18="Deep Ocean"),1,"")</f>
        <v/>
      </c>
      <c r="XK12" s="73" t="str">
        <f>IF(AND('Job Sheet'!BK18="Decorative Diamond",'Job Sheet'!BL18="900 x 2050",'Job Sheet'!AB18="Jasper"),1,"")</f>
        <v/>
      </c>
      <c r="XL12" s="73" t="str">
        <f>IF(AND('Job Sheet'!BK18="Decorative Diamond",'Job Sheet'!BL18="900 x 2050",'Job Sheet'!AB18="Paperbark"),1,"")</f>
        <v/>
      </c>
      <c r="XM12" s="73" t="str">
        <f>IF(AND('Job Sheet'!BK18="Decorative Diamond",'Job Sheet'!BL18="900 x 2050",'Job Sheet'!AB18="Mist Green"),1,"")</f>
        <v/>
      </c>
      <c r="XN12" s="73" t="str">
        <f>IF(AND('Job Sheet'!BK18="Decorative Diamond",'Job Sheet'!BL18="900 x 2050",'Job Sheet'!AB18="Primrose"),1,"")</f>
        <v/>
      </c>
      <c r="XO12" s="73" t="str">
        <f>IF(AND('Job Sheet'!BK18="Decorative Diamond",'Job Sheet'!BL18="900 x 2050",'Job Sheet'!AB18="Ultra Silver"),1,"")</f>
        <v/>
      </c>
      <c r="XP12" s="73" t="str">
        <f>IF(AND('Job Sheet'!BK18="Decorative Diamond",'Job Sheet'!BL18="900 x 2050",'Job Sheet'!AB18="Woodland Grey(Green Tone)"),1,"")</f>
        <v/>
      </c>
      <c r="XQ12" s="73" t="str">
        <f>IF(AND('Job Sheet'!BK18="Decorative Diamond",'Job Sheet'!BL18="900 x 2050",'Job Sheet'!AB18="Pearl White"),1,"")</f>
        <v/>
      </c>
      <c r="XR12" s="73" t="str">
        <f>IF(AND('Job Sheet'!BK18="Decorative Diamond",'Job Sheet'!BL18="900 x 2050",'Job Sheet'!AB18="Monument"),1,"")</f>
        <v/>
      </c>
      <c r="XS12" s="73" t="str">
        <f>IF(AND('Job Sheet'!BK18="Decorative Diamond",'Job Sheet'!BL18="900 x 2050",'Job Sheet'!AB18="Surfmist"),1,"")</f>
        <v/>
      </c>
      <c r="XT12" s="73" t="str">
        <f>IF(AND('Job Sheet'!BK18="Decorative Diamond",'Job Sheet'!BL18="900 x 2050",'Job Sheet'!AB18="Dune"),1,"")</f>
        <v/>
      </c>
      <c r="XU12" s="73" t="str">
        <f>IF(AND('Job Sheet'!BK18="Decorative Diamond",'Job Sheet'!BL18="900 x 2050",'Job Sheet'!AB18="Custom Powdercoat"),1,"")</f>
        <v/>
      </c>
      <c r="XV12" s="73" t="str">
        <f>IF(AND('Job Sheet'!BK18="Decorative Diamond",'Job Sheet'!BL18="1150 x 2050",'Job Sheet'!AB18="APO Grey"),1,"")</f>
        <v/>
      </c>
      <c r="XW12" s="73" t="str">
        <f>IF(AND('Job Sheet'!BK18="Decorative Diamond",'Job Sheet'!BL18="1150 x 2050",'Job Sheet'!AB18="White Birch"),1,"")</f>
        <v/>
      </c>
      <c r="XX12" s="73" t="str">
        <f>IF(AND('Job Sheet'!BK18="Decorative Diamond",'Job Sheet'!BL18="1150 x 2050",'Job Sheet'!AB18="Black"),1,"")</f>
        <v/>
      </c>
      <c r="XY12" s="73" t="str">
        <f>IF(AND('Job Sheet'!BK18="Decorative Diamond",'Job Sheet'!BL18="1150 x 2050",'Job Sheet'!AB18="Brown"),1,"")</f>
        <v/>
      </c>
      <c r="XZ12" s="73" t="str">
        <f>IF(AND('Job Sheet'!BK18="Decorative Diamond",'Job Sheet'!BL18="1150 x 2050",'Job Sheet'!AB18="Deep Ocean"),1,"")</f>
        <v/>
      </c>
      <c r="YA12" s="73" t="str">
        <f>IF(AND('Job Sheet'!BK18="Decorative Diamond",'Job Sheet'!BL18="1150 x 2050",'Job Sheet'!AB18="Jasper"),1,"")</f>
        <v/>
      </c>
      <c r="YB12" s="73" t="str">
        <f>IF(AND('Job Sheet'!BK18="Decorative Diamond",'Job Sheet'!BL18="1150 x 2050",'Job Sheet'!AB18="Paperbark"),1,"")</f>
        <v/>
      </c>
      <c r="YC12" s="73" t="str">
        <f>IF(AND('Job Sheet'!BK18="Decorative Diamond",'Job Sheet'!BL18="1150 x 2050",'Job Sheet'!AB18="Mist Green"),1,"")</f>
        <v/>
      </c>
      <c r="YD12" s="73" t="str">
        <f>IF(AND('Job Sheet'!BK18="Decorative Diamond",'Job Sheet'!BL18="1150 x 2050",'Job Sheet'!AB18="Primrose"),1,"")</f>
        <v/>
      </c>
      <c r="YE12" s="73" t="str">
        <f>IF(AND('Job Sheet'!BK18="Decorative Diamond",'Job Sheet'!BL18="1150 x 2050",'Job Sheet'!AB18="Ultra Silver"),1,"")</f>
        <v/>
      </c>
      <c r="YF12" s="73" t="str">
        <f>IF(AND('Job Sheet'!BK18="Decorative Diamond",'Job Sheet'!BL18="1150 x 2050",'Job Sheet'!AB18="Woodland Grey(Green Tone)"),1,"")</f>
        <v/>
      </c>
      <c r="YG12" s="73" t="str">
        <f>IF(AND('Job Sheet'!BK18="Decorative Diamond",'Job Sheet'!BL18="1150 x 2050",'Job Sheet'!AB18="Pearl White"),1,"")</f>
        <v/>
      </c>
      <c r="YH12" s="73" t="str">
        <f>IF(AND('Job Sheet'!BK18="Decorative Diamond",'Job Sheet'!BL18="1150 x 2050",'Job Sheet'!AB18="Monument"),1,"")</f>
        <v/>
      </c>
      <c r="YI12" s="73" t="str">
        <f>IF(AND('Job Sheet'!BK18="Decorative Diamond",'Job Sheet'!BL18="1150 x 2050",'Job Sheet'!AB18="Surfmist"),1,"")</f>
        <v/>
      </c>
      <c r="YJ12" s="73" t="str">
        <f>IF(AND('Job Sheet'!BK18="Decorative Diamond",'Job Sheet'!BL18="1150 x 2050",'Job Sheet'!AB18="Dune"),1,"")</f>
        <v/>
      </c>
      <c r="YK12" s="73" t="str">
        <f>IF(AND('Job Sheet'!BK18="Decorative Diamond",'Job Sheet'!BL18="1150 x 2050",'Job Sheet'!AB18="Custom Powdercoat"),1,"")</f>
        <v/>
      </c>
      <c r="YL12" s="73" t="str">
        <f>IF(AND('Job Sheet'!AE18="DVA Mesh",'Job Sheet'!BR18="750 x 2000",'Job Sheet'!AF18="Apo Grey"),1,"")</f>
        <v/>
      </c>
      <c r="YM12" s="73" t="str">
        <f>IF(AND('Job Sheet'!AE18="DVA Mesh",'Job Sheet'!BR18="750 x 2000",'Job Sheet'!AF18="Birch White"),1,"")</f>
        <v/>
      </c>
      <c r="YN12" s="73" t="str">
        <f>IF(AND('Job Sheet'!AE18="DVA Mesh",'Job Sheet'!BR18="750 x 2000",'Job Sheet'!AF18="Black"),1,"")</f>
        <v/>
      </c>
      <c r="YO12" s="73" t="str">
        <f>IF(AND('Job Sheet'!AE18="DVA Mesh",'Job Sheet'!BR18="750 x 2000",'Job Sheet'!AF18="Brown"),1,"")</f>
        <v/>
      </c>
      <c r="YP12" s="73" t="str">
        <f>IF(AND('Job Sheet'!AE18="DVA Mesh",'Job Sheet'!BR18="750 x 2000",'Job Sheet'!AF18="Deep Ocean"),1,"")</f>
        <v/>
      </c>
      <c r="YQ12" s="73" t="str">
        <f>IF(AND('Job Sheet'!AE18="DVA Mesh",'Job Sheet'!BR18="750 x 2000",'Job Sheet'!AF18="Jasper"),1,"")</f>
        <v/>
      </c>
      <c r="YR12" s="73" t="str">
        <f>IF(AND('Job Sheet'!AE18="DVA Mesh",'Job Sheet'!BR18="750 x 2000",'Job Sheet'!AF18="Paperbark"),1,"")</f>
        <v/>
      </c>
      <c r="YS12" s="73" t="str">
        <f>IF(AND('Job Sheet'!AE18="DVA Mesh",'Job Sheet'!BR18="750 x 2000",'Job Sheet'!AF18="Mist Green"),1,"")</f>
        <v/>
      </c>
      <c r="YT12" s="73" t="str">
        <f>IF(AND('Job Sheet'!AE18="DVA Mesh",'Job Sheet'!BR18="750 x 2000",'Job Sheet'!AF18="Primrose"),1,"")</f>
        <v/>
      </c>
      <c r="YU12" s="73" t="str">
        <f>IF(AND('Job Sheet'!AE18="DVA Mesh",'Job Sheet'!BR18="750 x 2000",'Job Sheet'!AF18="Ultra Silver"),1,"")</f>
        <v/>
      </c>
      <c r="YV12" s="73" t="str">
        <f>IF(AND('Job Sheet'!AE18="DVA Mesh",'Job Sheet'!BR18="750 x 2000",'Job Sheet'!AF18="Woodland Grey(Green Tone)"),1,"")</f>
        <v/>
      </c>
      <c r="YW12" s="73" t="str">
        <f>IF(AND('Job Sheet'!AE18="DVA Mesh",'Job Sheet'!BR18="750 x 2000",'Job Sheet'!AF18="Pearl White"),1,"")</f>
        <v/>
      </c>
      <c r="YX12" s="73" t="str">
        <f>IF(AND('Job Sheet'!AE18="DVA Mesh",'Job Sheet'!BR18="750 x 2000",'Job Sheet'!AF18="Monument"),1,"")</f>
        <v/>
      </c>
      <c r="YY12" s="73" t="str">
        <f>IF(AND('Job Sheet'!AE18="DVA Mesh",'Job Sheet'!BR18="750 x 2000",'Job Sheet'!AF18="Surfmist"),1,"")</f>
        <v/>
      </c>
      <c r="YZ12" s="73" t="str">
        <f>IF(AND('Job Sheet'!AE18="DVA Mesh",'Job Sheet'!BR18="750 x 2000",'Job Sheet'!AF18="Dune"),1,"")</f>
        <v/>
      </c>
      <c r="ZA12" s="73" t="str">
        <f>IF(AND('Job Sheet'!AE18="DVA Mesh",'Job Sheet'!BR18="750 x 2000",'Job Sheet'!AF18="Custom Powdercoat"),1,"")</f>
        <v/>
      </c>
      <c r="ZB12" s="73" t="str">
        <f>IF(AND('Job Sheet'!AE18="DVA Mesh",'Job Sheet'!BR18="825 x 2000",'Job Sheet'!AF18="Apo Grey"),1,"")</f>
        <v/>
      </c>
      <c r="ZC12" s="73" t="str">
        <f>IF(AND('Job Sheet'!AE18="DVA Mesh",'Job Sheet'!BR18="825 x 2000",'Job Sheet'!AF18="Birch White"),1,"")</f>
        <v/>
      </c>
      <c r="ZD12" s="73" t="str">
        <f>IF(AND('Job Sheet'!AE18="DVA Mesh",'Job Sheet'!BR18="825 x 2000",'Job Sheet'!AF18="Black"),1,"")</f>
        <v/>
      </c>
      <c r="ZE12" s="73" t="str">
        <f>IF(AND('Job Sheet'!AE18="DVA Mesh",'Job Sheet'!BR18="825 x 2000",'Job Sheet'!AF18="Brown"),1,"")</f>
        <v/>
      </c>
      <c r="ZF12" s="73" t="str">
        <f>IF(AND('Job Sheet'!AE18="DVA Mesh",'Job Sheet'!BR18="825 x 2000",'Job Sheet'!AF18="Deep Ocean"),1,"")</f>
        <v/>
      </c>
      <c r="ZG12" s="73" t="str">
        <f>IF(AND('Job Sheet'!AE18="DVA Mesh",'Job Sheet'!BR18="825 x 2000",'Job Sheet'!AF18="Jasper"),1,"")</f>
        <v/>
      </c>
      <c r="ZH12" s="73" t="str">
        <f>IF(AND('Job Sheet'!AE18="DVA Mesh",'Job Sheet'!BR18="825 x 2000",'Job Sheet'!AF18="Paperbark"),1,"")</f>
        <v/>
      </c>
      <c r="ZI12" s="73" t="str">
        <f>IF(AND('Job Sheet'!AE18="DVA Mesh",'Job Sheet'!BR18="825 x 2000",'Job Sheet'!AF18="Mist Green"),1,"")</f>
        <v/>
      </c>
      <c r="ZJ12" s="73" t="str">
        <f>IF(AND('Job Sheet'!AE18="DVA Mesh",'Job Sheet'!BR18="825 x 2000",'Job Sheet'!AF18="Primrose"),1,"")</f>
        <v/>
      </c>
      <c r="ZK12" s="73" t="str">
        <f>IF(AND('Job Sheet'!AE18="DVA Mesh",'Job Sheet'!BR18="825 x 2000",'Job Sheet'!AF18="Ultra Silver"),1,"")</f>
        <v/>
      </c>
      <c r="ZL12" s="73" t="str">
        <f>IF(AND('Job Sheet'!AE18="DVA Mesh",'Job Sheet'!BR18="825 x 2000",'Job Sheet'!AF18="Woodland Grey(Green Tone)"),1,"")</f>
        <v/>
      </c>
      <c r="ZM12" s="73" t="str">
        <f>IF(AND('Job Sheet'!AE18="DVA Mesh",'Job Sheet'!BR18="825 x 2000",'Job Sheet'!AF18="Pearl White"),1,"")</f>
        <v/>
      </c>
      <c r="ZN12" s="73" t="str">
        <f>IF(AND('Job Sheet'!AE18="DVA Mesh",'Job Sheet'!BR18="825 x 2000",'Job Sheet'!AF18="Monument"),1,"")</f>
        <v/>
      </c>
      <c r="ZO12" s="73" t="str">
        <f>IF(AND('Job Sheet'!AE18="DVA Mesh",'Job Sheet'!BR18="825 x 2000",'Job Sheet'!AF18="Surfmist"),1,"")</f>
        <v/>
      </c>
      <c r="ZP12" s="73" t="str">
        <f>IF(AND('Job Sheet'!AE18="DVA Mesh",'Job Sheet'!BR18="825 x 2000",'Job Sheet'!AF18="Dune"),1,"")</f>
        <v/>
      </c>
      <c r="ZQ12" s="73" t="str">
        <f>IF(AND('Job Sheet'!AE18="DVA Mesh",'Job Sheet'!BR18="825 x 2000",'Job Sheet'!AF18="Custom Powdercoat"),1,"")</f>
        <v/>
      </c>
      <c r="ZR12" s="73" t="str">
        <f>IF(AND('Job Sheet'!AE18="DVA Mesh",'Job Sheet'!BR18="900 x 2200",'Job Sheet'!AF18="Apo Grey"),1,"")</f>
        <v/>
      </c>
      <c r="ZS12" s="73" t="str">
        <f>IF(AND('Job Sheet'!AE18="DVA Mesh",'Job Sheet'!BR18="900 x 2200",'Job Sheet'!AF18="Birch White"),1,"")</f>
        <v/>
      </c>
      <c r="ZT12" s="73" t="str">
        <f>IF(AND('Job Sheet'!AE18="DVA Mesh",'Job Sheet'!BR18="900 x 2200",'Job Sheet'!AF18="Black"),1,"")</f>
        <v/>
      </c>
      <c r="ZU12" s="73" t="str">
        <f>IF(AND('Job Sheet'!AE18="DVA Mesh",'Job Sheet'!BR18="900 x 2200",'Job Sheet'!AF18="Brown"),1,"")</f>
        <v/>
      </c>
      <c r="ZV12" s="73" t="str">
        <f>IF(AND('Job Sheet'!AE18="DVA Mesh",'Job Sheet'!BR18="900 x 2200",'Job Sheet'!AF18="Deep Ocean"),1,"")</f>
        <v/>
      </c>
      <c r="ZW12" s="73" t="str">
        <f>IF(AND('Job Sheet'!AE18="DVA Mesh",'Job Sheet'!BR18="900 x 2200",'Job Sheet'!AF18="Jasper"),1,"")</f>
        <v/>
      </c>
      <c r="ZX12" s="73" t="str">
        <f>IF(AND('Job Sheet'!AE18="DVA Mesh",'Job Sheet'!BR18="900 x 2200",'Job Sheet'!AF18="Paperbark"),1,"")</f>
        <v/>
      </c>
      <c r="ZY12" s="73" t="str">
        <f>IF(AND('Job Sheet'!AE18="DVA Mesh",'Job Sheet'!BR18="900 x 2200",'Job Sheet'!AF18="Mist Green"),1,"")</f>
        <v/>
      </c>
      <c r="ZZ12" s="73" t="str">
        <f>IF(AND('Job Sheet'!AE18="DVA Mesh",'Job Sheet'!BR18="900 x 2200",'Job Sheet'!AF18="Primrose"),1,"")</f>
        <v/>
      </c>
      <c r="AAA12" s="73" t="str">
        <f>IF(AND('Job Sheet'!AE18="DVA Mesh",'Job Sheet'!BR18="900 x 2200",'Job Sheet'!AF18="Ultra Silver"),1,"")</f>
        <v/>
      </c>
      <c r="AAB12" s="73" t="str">
        <f>IF(AND('Job Sheet'!AE18="DVA Mesh",'Job Sheet'!BR18="900 x 2200",'Job Sheet'!AF18="Woodland Grey(Green Tone)"),1,"")</f>
        <v/>
      </c>
      <c r="AAC12" s="73" t="str">
        <f>IF(AND('Job Sheet'!AE18="DVA Mesh",'Job Sheet'!BR18="900 x 2200",'Job Sheet'!AF18="Pearl White"),1,"")</f>
        <v/>
      </c>
      <c r="AAD12" s="73" t="str">
        <f>IF(AND('Job Sheet'!AE18="DVA Mesh",'Job Sheet'!BR18="900 x 2200",'Job Sheet'!AF18="Monument"),1,"")</f>
        <v/>
      </c>
      <c r="AAE12" s="73" t="str">
        <f>IF(AND('Job Sheet'!AE18="DVA Mesh",'Job Sheet'!BR18="900 x 2200",'Job Sheet'!AF18="Surfmist"),1,"")</f>
        <v/>
      </c>
      <c r="AAF12" s="73" t="str">
        <f>IF(AND('Job Sheet'!AE18="DVA Mesh",'Job Sheet'!BR18="900 x 2200",'Job Sheet'!AF18="Dune"),1,"")</f>
        <v/>
      </c>
      <c r="AAG12" s="73" t="str">
        <f>IF(AND('Job Sheet'!AE18="DVA Mesh",'Job Sheet'!BR18="900 x 2200",'Job Sheet'!AF18="Custom Powdercoat"),1,"")</f>
        <v/>
      </c>
      <c r="AAH12" s="73" t="str">
        <f>IF(AND('Job Sheet'!AE18="DVA Mesh",'Job Sheet'!BR18="900 x 2400",'Job Sheet'!AF18="Apo Grey"),1,"")</f>
        <v/>
      </c>
      <c r="AAI12" s="73" t="str">
        <f>IF(AND('Job Sheet'!AE18="DVA Mesh",'Job Sheet'!BR18="900 x 2400",'Job Sheet'!AF18="Birch White"),1,"")</f>
        <v/>
      </c>
      <c r="AAJ12" s="73" t="str">
        <f>IF(AND('Job Sheet'!AE18="DVA Mesh",'Job Sheet'!BR18="900 x 2400",'Job Sheet'!AF18="Black"),1,"")</f>
        <v/>
      </c>
      <c r="AAK12" s="73" t="str">
        <f>IF(AND('Job Sheet'!AE18="DVA Mesh",'Job Sheet'!BR18="900 x 2400",'Job Sheet'!AF18="Brown"),1,"")</f>
        <v/>
      </c>
      <c r="AAL12" s="73" t="str">
        <f>IF(AND('Job Sheet'!AE18="DVA Mesh",'Job Sheet'!BR18="900 x 2400",'Job Sheet'!AF18="Deep Ocean"),1,"")</f>
        <v/>
      </c>
      <c r="AAM12" s="73" t="str">
        <f>IF(AND('Job Sheet'!AE18="DVA Mesh",'Job Sheet'!BR18="900 x 2400",'Job Sheet'!AF18="Jasper"),1,"")</f>
        <v/>
      </c>
      <c r="AAN12" s="73" t="str">
        <f>IF(AND('Job Sheet'!AE18="DVA Mesh",'Job Sheet'!BR18="900 x 2400",'Job Sheet'!AF18="Paperbark"),1,"")</f>
        <v/>
      </c>
      <c r="AAO12" s="73" t="str">
        <f>IF(AND('Job Sheet'!AE18="DVA Mesh",'Job Sheet'!BR18="900 x 2400",'Job Sheet'!AF18="Mist Green"),1,"")</f>
        <v/>
      </c>
      <c r="AAP12" s="73" t="str">
        <f>IF(AND('Job Sheet'!AE18="DVA Mesh",'Job Sheet'!BR18="900 x 2400",'Job Sheet'!AF18="Primrose"),1,"")</f>
        <v/>
      </c>
      <c r="AAQ12" s="73" t="str">
        <f>IF(AND('Job Sheet'!AE18="DVA Mesh",'Job Sheet'!BR18="900 x 2400",'Job Sheet'!AF18="Ultra Silver"),1,"")</f>
        <v/>
      </c>
      <c r="AAR12" s="73" t="str">
        <f>IF(AND('Job Sheet'!AE18="DVA Mesh",'Job Sheet'!BR18="900 x 2400",'Job Sheet'!AF18="Woodland Grey(Green Tone)"),1,"")</f>
        <v/>
      </c>
      <c r="AAS12" s="73" t="str">
        <f>IF(AND('Job Sheet'!AE18="DVA Mesh",'Job Sheet'!BR18="900 x 2400",'Job Sheet'!AF18="Pearl White"),1,"")</f>
        <v/>
      </c>
      <c r="AAT12" s="73" t="str">
        <f>IF(AND('Job Sheet'!AE18="DVA Mesh",'Job Sheet'!BR18="900 x 2400",'Job Sheet'!AF18="Monument"),1,"")</f>
        <v/>
      </c>
      <c r="AAU12" s="73" t="str">
        <f>IF(AND('Job Sheet'!AE18="DVA Mesh",'Job Sheet'!BR18="900 x 2400",'Job Sheet'!AF18="Surfmist"),1,"")</f>
        <v/>
      </c>
      <c r="AAV12" s="73" t="str">
        <f>IF(AND('Job Sheet'!AE18="DVA Mesh",'Job Sheet'!BR18="900 x 2400",'Job Sheet'!AF18="Dune"),1,"")</f>
        <v/>
      </c>
      <c r="AAW12" s="73" t="str">
        <f>IF(AND('Job Sheet'!AE18="DVA Mesh",'Job Sheet'!BR18="900 x 2400",'Job Sheet'!AF18="Custom Powdercoat"),1,"")</f>
        <v/>
      </c>
      <c r="AAX12" s="73" t="str">
        <f>IF(AND('Job Sheet'!AE18="DVA Mesh",'Job Sheet'!BR18="1200 x 2200",'Job Sheet'!AF18="Apo Grey"),1,"")</f>
        <v/>
      </c>
      <c r="AAY12" s="73" t="str">
        <f>IF(AND('Job Sheet'!AE18="DVA Mesh",'Job Sheet'!BR18="1200 x 2200",'Job Sheet'!AF18="Birch White"),1,"")</f>
        <v/>
      </c>
      <c r="AAZ12" s="73" t="str">
        <f>IF(AND('Job Sheet'!AE18="DVA Mesh",'Job Sheet'!BR18="1200 x 2200",'Job Sheet'!AF18="Black"),1,"")</f>
        <v/>
      </c>
      <c r="ABA12" s="73" t="str">
        <f>IF(AND('Job Sheet'!AE18="DVA Mesh",'Job Sheet'!BR18="1200 x 2200",'Job Sheet'!AF18="Brown"),1,"")</f>
        <v/>
      </c>
      <c r="ABB12" s="73" t="str">
        <f>IF(AND('Job Sheet'!AE18="DVA Mesh",'Job Sheet'!BR18="1200 x 2200",'Job Sheet'!AF18="Deep Ocean"),1,"")</f>
        <v/>
      </c>
      <c r="ABC12" s="73" t="str">
        <f>IF(AND('Job Sheet'!AE18="DVA Mesh",'Job Sheet'!BR18="1200 x 2200",'Job Sheet'!AF18="Jasper"),1,"")</f>
        <v/>
      </c>
      <c r="ABD12" s="73" t="str">
        <f>IF(AND('Job Sheet'!AE18="DVA Mesh",'Job Sheet'!BR18="1200 x 2200",'Job Sheet'!AF18="Paperbark"),1,"")</f>
        <v/>
      </c>
      <c r="ABE12" s="73" t="str">
        <f>IF(AND('Job Sheet'!AE18="DVA Mesh",'Job Sheet'!BR18="1200 x 2200",'Job Sheet'!AF18="Mist Green"),1,"")</f>
        <v/>
      </c>
      <c r="ABF12" s="73" t="str">
        <f>IF(AND('Job Sheet'!AE18="DVA Mesh",'Job Sheet'!BR18="1200 x 2200",'Job Sheet'!AF18="Primrose"),1,"")</f>
        <v/>
      </c>
      <c r="ABG12" s="73" t="str">
        <f>IF(AND('Job Sheet'!AE18="DVA Mesh",'Job Sheet'!BR18="1200 x 2200",'Job Sheet'!AF18="Ultra Silver"),1,"")</f>
        <v/>
      </c>
      <c r="ABH12" s="73" t="str">
        <f>IF(AND('Job Sheet'!AE18="DVA Mesh",'Job Sheet'!BR18="1200 x 2200",'Job Sheet'!AF18="Woodland Grey(Green Tone)"),1,"")</f>
        <v/>
      </c>
      <c r="ABI12" s="73" t="str">
        <f>IF(AND('Job Sheet'!AE18="DVA Mesh",'Job Sheet'!BR18="1200 x 2200",'Job Sheet'!AF18="Pearl White"),1,"")</f>
        <v/>
      </c>
      <c r="ABJ12" s="73" t="str">
        <f>IF(AND('Job Sheet'!AE18="DVA Mesh",'Job Sheet'!BR18="1200 x 2200",'Job Sheet'!AF18="Monument"),1,"")</f>
        <v/>
      </c>
      <c r="ABK12" s="73" t="str">
        <f>IF(AND('Job Sheet'!AE18="DVA Mesh",'Job Sheet'!BR18="1200 x 2200",'Job Sheet'!AF18="Surfmist"),1,"")</f>
        <v/>
      </c>
      <c r="ABL12" s="73" t="str">
        <f>IF(AND('Job Sheet'!AE18="DVA Mesh",'Job Sheet'!BR18="1200 x 2200",'Job Sheet'!AF18="Dune"),1,"")</f>
        <v/>
      </c>
      <c r="ABM12" s="73" t="str">
        <f>IF(AND('Job Sheet'!AE18="DVA Mesh",'Job Sheet'!BR18="1200 x 2200",'Job Sheet'!AF18="Custom Powdercoat"),1,"")</f>
        <v/>
      </c>
      <c r="ABN12" s="73" t="str">
        <f>IF(AND('Job Sheet'!AE18="DVA Mesh",'Job Sheet'!BR18="1200 x 2400",'Job Sheet'!AF18="Apo Grey"),1,"")</f>
        <v/>
      </c>
      <c r="ABO12" s="73" t="str">
        <f>IF(AND('Job Sheet'!AE18="DVA Mesh",'Job Sheet'!BR18="1200 x 2400",'Job Sheet'!AF18="Birch White"),1,"")</f>
        <v/>
      </c>
      <c r="ABP12" s="73" t="str">
        <f>IF(AND('Job Sheet'!AE18="DVA Mesh",'Job Sheet'!BR18="1200 x 2400",'Job Sheet'!AF18="Black"),1,"")</f>
        <v/>
      </c>
      <c r="ABQ12" s="73" t="str">
        <f>IF(AND('Job Sheet'!AE18="DVA Mesh",'Job Sheet'!BR18="1200 x 2400",'Job Sheet'!AF18="Brown"),1,"")</f>
        <v/>
      </c>
      <c r="ABR12" s="73" t="str">
        <f>IF(AND('Job Sheet'!AE18="DVA Mesh",'Job Sheet'!BR18="1200 x 2400",'Job Sheet'!AF18="Deep Ocean"),1,"")</f>
        <v/>
      </c>
      <c r="ABS12" s="73" t="str">
        <f>IF(AND('Job Sheet'!AE18="DVA Mesh",'Job Sheet'!BR18="1200 x 2400",'Job Sheet'!AF18="Jasper"),1,"")</f>
        <v/>
      </c>
      <c r="ABT12" s="73" t="str">
        <f>IF(AND('Job Sheet'!AE18="DVA Mesh",'Job Sheet'!BR18="1200 x 2400",'Job Sheet'!AF18="Paperbark"),1,"")</f>
        <v/>
      </c>
      <c r="ABU12" s="73" t="str">
        <f>IF(AND('Job Sheet'!AE18="DVA Mesh",'Job Sheet'!BR18="1200 x 2400",'Job Sheet'!AF18="Mist Green"),1,"")</f>
        <v/>
      </c>
      <c r="ABV12" s="73" t="str">
        <f>IF(AND('Job Sheet'!AE18="DVA Mesh",'Job Sheet'!BR18="1200 x 2400",'Job Sheet'!AF18="Primrose"),1,"")</f>
        <v/>
      </c>
      <c r="ABW12" s="73" t="str">
        <f>IF(AND('Job Sheet'!AE18="DVA Mesh",'Job Sheet'!BR18="1200 x 2400",'Job Sheet'!AF18="Ultra Silver"),1,"")</f>
        <v/>
      </c>
      <c r="ABX12" s="73" t="str">
        <f>IF(AND('Job Sheet'!AE18="DVA Mesh",'Job Sheet'!BR18="1200 x 2400",'Job Sheet'!AF18="Woodland Grey(Green Tone)"),1,"")</f>
        <v/>
      </c>
      <c r="ABY12" s="73" t="str">
        <f>IF(AND('Job Sheet'!AE18="DVA Mesh",'Job Sheet'!BR18="1200 x 2400",'Job Sheet'!AF18="Pearl White"),1,"")</f>
        <v/>
      </c>
      <c r="ABZ12" s="73" t="str">
        <f>IF(AND('Job Sheet'!AE18="DVA Mesh",'Job Sheet'!BR18="1200 x 2400",'Job Sheet'!AF18="Monument"),1,"")</f>
        <v/>
      </c>
      <c r="ACA12" s="73" t="str">
        <f>IF(AND('Job Sheet'!AE18="DVA Mesh",'Job Sheet'!BR18="1200 x 2400",'Job Sheet'!AF18="Surfmist"),1,"")</f>
        <v/>
      </c>
      <c r="ACB12" s="73" t="str">
        <f>IF(AND('Job Sheet'!AE18="DVA Mesh",'Job Sheet'!BR18="1200 x 2400",'Job Sheet'!AF18="Dune"),1,"")</f>
        <v/>
      </c>
      <c r="ACC12" s="73" t="str">
        <f>IF(AND('Job Sheet'!AE18="DVA Mesh",'Job Sheet'!BR18="1200 x 2400",'Job Sheet'!AF18="Custom Powdercoat"),1,"")</f>
        <v/>
      </c>
      <c r="ACD12" s="73" t="str">
        <f>IF('Job Sheet'!AE18="Fibreglass Mesh",CONCATENATE('Job Sheet'!BH18," x ",'Job Sheet'!BI18),"")</f>
        <v/>
      </c>
      <c r="ACE12" s="73" t="str">
        <f>IF('Job Sheet'!AE18="Aluminium Mesh",CONCATENATE('Job Sheet'!BH18," x ",'Job Sheet'!BI18),"")</f>
        <v/>
      </c>
      <c r="ACF12" s="73" t="str">
        <f>IF('Job Sheet'!AE18="Tuff Mesh",CONCATENATE('Job Sheet'!BH18," x ",'Job Sheet'!BI18),"")</f>
        <v/>
      </c>
      <c r="ACI12" s="73" t="str">
        <f>IF('Job Sheet'!AE18="Pet Mesh",CONCATENATE('Job Sheet'!BH18," x ",'Job Sheet'!BI18),"")</f>
        <v/>
      </c>
      <c r="ACJ12" s="73"/>
      <c r="ACK12" t="str">
        <f>IF(Guillotine!F19="SP13AB Apo Grey",1,"")</f>
        <v/>
      </c>
      <c r="ACL12" t="str">
        <f>IF(Guillotine!F19="SP13AB White Birch",1,"")</f>
        <v/>
      </c>
      <c r="ACM12" t="str">
        <f>IF(Guillotine!F19="SP13AB Black",1,"")</f>
        <v/>
      </c>
      <c r="ACN12" t="str">
        <f>IF(Guillotine!F19="SP13AB Brown",1,"")</f>
        <v/>
      </c>
      <c r="ACO12" t="str">
        <f>IF(Guillotine!F19="SP13AB Deep Ocean",1,"")</f>
        <v/>
      </c>
      <c r="ACP12" t="str">
        <f>IF(Guillotine!F19="SP13AB Jasper",1,"")</f>
        <v/>
      </c>
      <c r="ACQ12" t="str">
        <f>IF(Guillotine!F19="SP13AB Paperbark",1,"")</f>
        <v/>
      </c>
      <c r="ACR12" t="str">
        <f>IF(Guillotine!F19="SP13AB Mist Green",1,"")</f>
        <v/>
      </c>
      <c r="ACS12" t="str">
        <f>IF(Guillotine!F19="SP13AB Primrose",1,"")</f>
        <v/>
      </c>
      <c r="ACT12" t="str">
        <f>IF(Guillotine!F19="SP13AB Ultra Silver",1,"")</f>
        <v/>
      </c>
      <c r="ACU12" t="str">
        <f>IF(Guillotine!F19="SP13AB Woodland Grey(Green Tone)",1,"")</f>
        <v/>
      </c>
      <c r="ACV12" t="str">
        <f>IF(Guillotine!F19="SP13AB Pearl White",1,"")</f>
        <v/>
      </c>
      <c r="ACW12" t="str">
        <f>IF(Guillotine!F19="SP13AB Monument",1,"")</f>
        <v/>
      </c>
      <c r="ACX12" t="str">
        <f>IF(Guillotine!F19="SP13AB Surfmist",1,"")</f>
        <v/>
      </c>
      <c r="ACY12" t="str">
        <f>IF(Guillotine!F19="SP13AB Dune",1,"")</f>
        <v/>
      </c>
      <c r="ACZ12" t="str">
        <f>IF(Guillotine!F19="SP13AB Powdercoat",1,"")</f>
        <v/>
      </c>
      <c r="ADA12" t="str">
        <f>IF(Guillotine!F19="SP13BB Apo Grey",1,"")</f>
        <v/>
      </c>
      <c r="ADB12" t="str">
        <f>IF(Guillotine!F19="SP13BB White Birch",1,"")</f>
        <v/>
      </c>
      <c r="ADC12" t="str">
        <f>IF(Guillotine!F19="SP13BB Black",1,"")</f>
        <v/>
      </c>
      <c r="ADD12" t="str">
        <f>IF(Guillotine!F19="SP13BB Brown",1,"")</f>
        <v/>
      </c>
      <c r="ADE12" t="str">
        <f>IF(Guillotine!F19="SP13BB Deep Ocean",1,"")</f>
        <v/>
      </c>
      <c r="ADF12" t="str">
        <f>IF(Guillotine!F19="SP13BB Jasper",1,"")</f>
        <v/>
      </c>
      <c r="ADG12" t="str">
        <f>IF(Guillotine!F19="SP13BB Paperbark",1,"")</f>
        <v/>
      </c>
      <c r="ADH12" t="str">
        <f>IF(Guillotine!F19="SP13BB Mist Green",1,"")</f>
        <v/>
      </c>
      <c r="ADI12" t="str">
        <f>IF(Guillotine!F19="SP13BB Primrose",1,"")</f>
        <v/>
      </c>
      <c r="ADJ12" t="str">
        <f>IF(Guillotine!F19="SP13BB Ultra Silver",1,"")</f>
        <v/>
      </c>
      <c r="ADK12" t="str">
        <f>IF(Guillotine!F19="SP13BB Woodland Grey(Green Tone)",1,"")</f>
        <v/>
      </c>
      <c r="ADL12" t="str">
        <f>IF(Guillotine!F19="SP13BB Pearl White",1,"")</f>
        <v/>
      </c>
      <c r="ADM12" t="str">
        <f>IF(Guillotine!F19="SP13BB Monument",1,"")</f>
        <v/>
      </c>
      <c r="ADN12" t="str">
        <f>IF(Guillotine!F19="SP13BB Surfmist",1,"")</f>
        <v/>
      </c>
      <c r="ADO12" t="str">
        <f>IF(Guillotine!F19="SP13BB Dune",1,"")</f>
        <v/>
      </c>
      <c r="ADP12" t="str">
        <f>IF(Guillotine!F19="SP13BB Powdercoat",1,"")</f>
        <v/>
      </c>
      <c r="ADQ12" t="str">
        <f>IF(Guillotine!F19="SP14AB Apo Grey",1,"")</f>
        <v/>
      </c>
      <c r="ADR12" t="str">
        <f>IF(Guillotine!F19="SP14AB White Birch",1,"")</f>
        <v/>
      </c>
      <c r="ADS12" t="str">
        <f>IF(Guillotine!F19="SP14AB Black",1,"")</f>
        <v/>
      </c>
      <c r="ADT12" t="str">
        <f>IF(Guillotine!F19="SP14AB Brown",1,"")</f>
        <v/>
      </c>
      <c r="ADU12" t="str">
        <f>IF(Guillotine!F19="SP14AB Deep Ocean",1,"")</f>
        <v/>
      </c>
      <c r="ADV12" t="str">
        <f>IF(Guillotine!F19="SP14AB Jasper",1,"")</f>
        <v/>
      </c>
      <c r="ADW12" t="str">
        <f>IF(Guillotine!F19="SP14AB Paperbark",1,"")</f>
        <v/>
      </c>
      <c r="ADX12" t="str">
        <f>IF(Guillotine!F19="SP14AB Mist Green",1,"")</f>
        <v/>
      </c>
      <c r="ADY12" t="str">
        <f>IF(Guillotine!F19="SP14AB Primrose",1,"")</f>
        <v/>
      </c>
      <c r="ADZ12" t="str">
        <f>IF(Guillotine!F19="SP14AB Ultra Silver",1,"")</f>
        <v/>
      </c>
      <c r="AEA12" t="str">
        <f>IF(Guillotine!F19="SP14AB Woodland Grey(Green Tone)",1,"")</f>
        <v/>
      </c>
      <c r="AEB12" t="str">
        <f>IF(Guillotine!F19="SP14AB Pearl White",1,"")</f>
        <v/>
      </c>
      <c r="AEC12" t="str">
        <f>IF(Guillotine!F19="SP14AB Monument",1,"")</f>
        <v/>
      </c>
      <c r="AED12" t="str">
        <f>IF(Guillotine!F19="SP14AB Surfmist",1,"")</f>
        <v/>
      </c>
      <c r="AEE12" t="str">
        <f>IF(Guillotine!F19="SP14AB Dune",1,"")</f>
        <v/>
      </c>
      <c r="AEF12" t="str">
        <f>IF(Guillotine!F19="SP14AB Powdercoat",1,"")</f>
        <v/>
      </c>
      <c r="AEG12" t="str">
        <f>IF(Guillotine!F19="SP17AB Apo Grey",1,"")</f>
        <v/>
      </c>
      <c r="AEH12" t="str">
        <f>IF(Guillotine!F19="SP17AB White Birch",1,"")</f>
        <v/>
      </c>
      <c r="AEI12" t="str">
        <f>IF(Guillotine!F19="SP17AB Black",1,"")</f>
        <v/>
      </c>
      <c r="AEJ12" t="str">
        <f>IF(Guillotine!F19="SP17AB Brown",1,"")</f>
        <v/>
      </c>
      <c r="AEK12" t="str">
        <f>IF(Guillotine!F19="SP17AB Deep Ocean",1,"")</f>
        <v/>
      </c>
      <c r="AEL12" t="str">
        <f>IF(Guillotine!F19="SP17AB Jasper",1,"")</f>
        <v/>
      </c>
      <c r="AEM12" t="str">
        <f>IF(Guillotine!F19="SP17AB Paperbark",1,"")</f>
        <v/>
      </c>
      <c r="AEN12" t="str">
        <f>IF(Guillotine!F19="SP17AB Mist Green",1,"")</f>
        <v/>
      </c>
      <c r="AEO12" t="str">
        <f>IF(Guillotine!F19="SP17AB Primrose",1,"")</f>
        <v/>
      </c>
      <c r="AEP12" t="str">
        <f>IF(Guillotine!F19="SP17AB Ultra Silver",1,"")</f>
        <v/>
      </c>
      <c r="AEQ12" t="str">
        <f>IF(Guillotine!F19="SP17AB Woodland Grey(Green Tone)",1,"")</f>
        <v/>
      </c>
      <c r="AER12" t="str">
        <f>IF(Guillotine!F19="SP17AB Pearl White",1,"")</f>
        <v/>
      </c>
      <c r="AES12" t="str">
        <f>IF(Guillotine!F19="SP17AB Monument",1,"")</f>
        <v/>
      </c>
      <c r="AET12" t="str">
        <f>IF(Guillotine!F19="SP17AB Surfmist",1,"")</f>
        <v/>
      </c>
      <c r="AEU12" t="str">
        <f>IF(Guillotine!F19="SP17AB Dune",1,"")</f>
        <v/>
      </c>
      <c r="AEV12" t="str">
        <f>IF(Guillotine!F19="SP17AB Powdercoat",1,"")</f>
        <v/>
      </c>
      <c r="AEW12" t="str">
        <f>IF(Guillotine!F19="SP27AB Apo Grey",1,"")</f>
        <v/>
      </c>
      <c r="AEX12" t="str">
        <f>IF(Guillotine!F19="SP27AB White Birch",1,"")</f>
        <v/>
      </c>
      <c r="AEY12" t="str">
        <f>IF(Guillotine!F19="SP27AB Black",1,"")</f>
        <v/>
      </c>
      <c r="AEZ12" t="str">
        <f>IF(Guillotine!F19="SP27AB Brown",1,"")</f>
        <v/>
      </c>
      <c r="AFA12" t="str">
        <f>IF(Guillotine!F19="SP27AB Deep Ocean",1,"")</f>
        <v/>
      </c>
      <c r="AFB12" t="str">
        <f>IF(Guillotine!F19="SP27AB Jasper",1,"")</f>
        <v/>
      </c>
      <c r="AFC12" t="str">
        <f>IF(Guillotine!F19="SP27AB Paperbark",1,"")</f>
        <v/>
      </c>
      <c r="AFD12" t="str">
        <f>IF(Guillotine!F19="SP27AB Mist Green",1,"")</f>
        <v/>
      </c>
      <c r="AFE12" t="str">
        <f>IF(Guillotine!F19="SP27AB Primrose",1,"")</f>
        <v/>
      </c>
      <c r="AFF12" t="str">
        <f>IF(Guillotine!F19="SP27AB Ultra Silver",1,"")</f>
        <v/>
      </c>
      <c r="AFG12" t="str">
        <f>IF(Guillotine!F19="SP27AB Woodland Grey(Green Tone)",1,"")</f>
        <v/>
      </c>
      <c r="AFH12" t="str">
        <f>IF(Guillotine!F19="SP27AB Pearl White",1,"")</f>
        <v/>
      </c>
      <c r="AFI12" t="str">
        <f>IF(Guillotine!F19="SP27AB Monument",1,"")</f>
        <v/>
      </c>
      <c r="AFJ12" t="str">
        <f>IF(Guillotine!F19="SP27AB Surfmist",1,"")</f>
        <v/>
      </c>
      <c r="AFK12" t="str">
        <f>IF(Guillotine!F19="SP27AB Dune",1,"")</f>
        <v/>
      </c>
      <c r="AFL12" t="str">
        <f>IF(Guillotine!F19="SP27AB Powdercoat",1,"")</f>
        <v/>
      </c>
      <c r="AFM12" t="str">
        <f>IF(Guillotine!F19="SP29AB Apo Grey",1,"")</f>
        <v/>
      </c>
      <c r="AFN12" t="str">
        <f>IF(Guillotine!F19="SP29AB White Birch",1,"")</f>
        <v/>
      </c>
      <c r="AFO12" t="str">
        <f>IF(Guillotine!F19="SP29AB Black",1,"")</f>
        <v/>
      </c>
      <c r="AFP12" t="str">
        <f>IF(Guillotine!F19="SP29AB Brown",1,"")</f>
        <v/>
      </c>
      <c r="AFQ12" t="str">
        <f>IF(Guillotine!F19="SP29AB Deep Ocean",1,"")</f>
        <v/>
      </c>
      <c r="AFR12" t="str">
        <f>IF(Guillotine!F19="SP29AB Jasper",1,"")</f>
        <v/>
      </c>
      <c r="AFS12" t="str">
        <f>IF(Guillotine!F19="SP29AB Paperbark",1,"")</f>
        <v/>
      </c>
      <c r="AFT12" t="str">
        <f>IF(Guillotine!F19="SP29AB Mist Green",1,"")</f>
        <v/>
      </c>
      <c r="AFU12" t="str">
        <f>IF(Guillotine!F19="SP29AB Primrose",1,"")</f>
        <v/>
      </c>
      <c r="AFV12" t="str">
        <f>IF(Guillotine!F19="SP29AB Ultra Silver",1,"")</f>
        <v/>
      </c>
      <c r="AFW12" t="str">
        <f>IF(Guillotine!F19="SP29AB Woodland Grey(Green Tone)",1,"")</f>
        <v/>
      </c>
      <c r="AFX12" t="str">
        <f>IF(Guillotine!F19="SP29AB Pearl White",1,"")</f>
        <v/>
      </c>
      <c r="AFY12" t="str">
        <f>IF(Guillotine!F19="SP29AB Monument",1,"")</f>
        <v/>
      </c>
      <c r="AFZ12" t="str">
        <f>IF(Guillotine!F19="SP29AB Surfmist",1,"")</f>
        <v/>
      </c>
      <c r="AGA12" t="str">
        <f>IF(Guillotine!F19="SP29AB Dune",1,"")</f>
        <v/>
      </c>
      <c r="AGB12" t="str">
        <f>IF(Guillotine!F19="SP29AB Powdercoat",1,"")</f>
        <v/>
      </c>
      <c r="AGC12" t="str">
        <f>IF(Guillotine!F19="SP34AB Apo Grey",1,"")</f>
        <v/>
      </c>
      <c r="AGD12" t="str">
        <f>IF(Guillotine!F19="SP34AB White Birch",1,"")</f>
        <v/>
      </c>
      <c r="AGE12" t="str">
        <f>IF(Guillotine!F19="SP34AB Black",1,"")</f>
        <v/>
      </c>
      <c r="AGF12" t="str">
        <f>IF(Guillotine!F19="SP34AB Brown",1,"")</f>
        <v/>
      </c>
      <c r="AGG12" t="str">
        <f>IF(Guillotine!F19="SP34AB Deep Ocean",1,"")</f>
        <v/>
      </c>
      <c r="AGH12" t="str">
        <f>IF(Guillotine!F19="SP34AB Jasper",1,"")</f>
        <v/>
      </c>
      <c r="AGI12" t="str">
        <f>IF(Guillotine!F19="SP34AB Paperbark",1,"")</f>
        <v/>
      </c>
      <c r="AGJ12" t="str">
        <f>IF(Guillotine!F19="SP34AB Mist Green",1,"")</f>
        <v/>
      </c>
      <c r="AGK12" t="str">
        <f>IF(Guillotine!F19="SP34AB Primrose",1,"")</f>
        <v/>
      </c>
      <c r="AGL12" t="str">
        <f>IF(Guillotine!F19="SP34AB Ultra Silver",1,"")</f>
        <v/>
      </c>
      <c r="AGM12" t="str">
        <f>IF(Guillotine!F19="SP34AB Woodland Grey(Green Tone)",1,"")</f>
        <v/>
      </c>
      <c r="AGN12" t="str">
        <f>IF(Guillotine!F19="SP34AB Pearl White",1,"")</f>
        <v/>
      </c>
      <c r="AGO12" t="str">
        <f>IF(Guillotine!F19="SP34AB Monument",1,"")</f>
        <v/>
      </c>
      <c r="AGP12" t="str">
        <f>IF(Guillotine!F19="SP34AB Surfmist",1,"")</f>
        <v/>
      </c>
      <c r="AGQ12" t="str">
        <f>IF(Guillotine!F19="SP34AB Dune",1,"")</f>
        <v/>
      </c>
      <c r="AGR12" t="str">
        <f>IF(Guillotine!F19="SP34AB Powdercoat",1,"")</f>
        <v/>
      </c>
      <c r="AGS12" t="str">
        <f>IF(Guillotine!F19="SP37AB Apo Grey",1,"")</f>
        <v/>
      </c>
      <c r="AGT12" t="str">
        <f>IF(Guillotine!F19="SP37AB White Birch",1,"")</f>
        <v/>
      </c>
      <c r="AGU12" t="str">
        <f>IF(Guillotine!F19="SP37AB Black",1,"")</f>
        <v/>
      </c>
      <c r="AGV12" t="str">
        <f>IF(Guillotine!F19="SP37AB Brown",1,"")</f>
        <v/>
      </c>
      <c r="AGW12" t="str">
        <f>IF(Guillotine!F19="SP37AB Deep Ocean",1,"")</f>
        <v/>
      </c>
      <c r="AGX12" t="str">
        <f>IF(Guillotine!F19="SP37AB Jasper",1,"")</f>
        <v/>
      </c>
      <c r="AGY12" t="str">
        <f>IF(Guillotine!F19="SP37AB Paperbark",1,"")</f>
        <v/>
      </c>
      <c r="AGZ12" t="str">
        <f>IF(Guillotine!F19="SP37AB Mist Green",1,"")</f>
        <v/>
      </c>
      <c r="AHA12" t="str">
        <f>IF(Guillotine!F19="SP37AB Primrose",1,"")</f>
        <v/>
      </c>
      <c r="AHB12" t="str">
        <f>IF(Guillotine!F19="SP37AB Ultra Silver",1,"")</f>
        <v/>
      </c>
      <c r="AHC12" t="str">
        <f>IF(Guillotine!F19="SP37AB Woodland Grey(Green Tone)",1,"")</f>
        <v/>
      </c>
      <c r="AHD12" t="str">
        <f>IF(Guillotine!F19="SP37AB Pearl White",1,"")</f>
        <v/>
      </c>
      <c r="AHE12" t="str">
        <f>IF(Guillotine!F19="SP37AB Monument",1,"")</f>
        <v/>
      </c>
      <c r="AHF12" t="str">
        <f>IF(Guillotine!F19="SP37AB Surfmist",1,"")</f>
        <v/>
      </c>
      <c r="AHG12" t="str">
        <f>IF(Guillotine!F19="SP37AB Dune",1,"")</f>
        <v/>
      </c>
      <c r="AHH12" t="str">
        <f>IF(Guillotine!F19="SP37AB Powdercoat",1,"")</f>
        <v/>
      </c>
      <c r="AHI12" t="str">
        <f>IF(Guillotine!F19="SP52 Apo Grey",1,"")</f>
        <v/>
      </c>
      <c r="AHJ12" t="str">
        <f>IF(Guillotine!F19="SP52 White Birch",1,"")</f>
        <v/>
      </c>
      <c r="AHK12" t="str">
        <f>IF(Guillotine!F19="SP52 Black",1,"")</f>
        <v/>
      </c>
      <c r="AHL12" t="str">
        <f>IF(Guillotine!F19="SP52 Brown",1,"")</f>
        <v/>
      </c>
      <c r="AHM12" t="str">
        <f>IF(Guillotine!F19="SP52 Deep Ocean",1,"")</f>
        <v/>
      </c>
      <c r="AHN12" t="str">
        <f>IF(Guillotine!F19="SP52 Jasper",1,"")</f>
        <v/>
      </c>
      <c r="AHO12" t="str">
        <f>IF(Guillotine!F19="SP52 Paperbark",1,"")</f>
        <v/>
      </c>
      <c r="AHP12" t="str">
        <f>IF(Guillotine!F19="SP52 Mist Green",1,"")</f>
        <v/>
      </c>
      <c r="AHQ12" t="str">
        <f>IF(Guillotine!F19="SP52 Primrose",1,"")</f>
        <v/>
      </c>
      <c r="AHR12" t="str">
        <f>IF(Guillotine!F19="SP52 Ultra Silver",1,"")</f>
        <v/>
      </c>
      <c r="AHS12" t="str">
        <f>IF(Guillotine!F19="SP52 Woodland Grey(Green Tone)",1,"")</f>
        <v/>
      </c>
      <c r="AHT12" t="str">
        <f>IF(Guillotine!F19="SP52 Pearl White",1,"")</f>
        <v/>
      </c>
      <c r="AHU12" t="str">
        <f>IF(Guillotine!F19="SP52 Monument",1,"")</f>
        <v/>
      </c>
      <c r="AHV12" t="str">
        <f>IF(Guillotine!F19="SP52 Surfmist",1,"")</f>
        <v/>
      </c>
      <c r="AHW12" t="str">
        <f>IF(Guillotine!F19="SP52 Dune",1,"")</f>
        <v/>
      </c>
      <c r="AHX12" t="str">
        <f>IF(Guillotine!F19="SP52 Powdercoat",1,"")</f>
        <v/>
      </c>
      <c r="AHY12" t="str">
        <f>IF(Guillotine!F19="SP53 Apo Grey",1,"")</f>
        <v/>
      </c>
      <c r="AHZ12" t="str">
        <f>IF(Guillotine!F19="SP53 White Birch",1,"")</f>
        <v/>
      </c>
      <c r="AIA12" t="str">
        <f>IF(Guillotine!F19="SP53 Black",1,"")</f>
        <v/>
      </c>
      <c r="AIB12" t="str">
        <f>IF(Guillotine!F19="SP53 Brown",1,"")</f>
        <v/>
      </c>
      <c r="AIC12" t="str">
        <f>IF(Guillotine!F19="SP53 Deep Ocean",1,"")</f>
        <v/>
      </c>
      <c r="AID12" t="str">
        <f>IF(Guillotine!F19="SP53 Jasper",1,"")</f>
        <v/>
      </c>
      <c r="AIE12" t="str">
        <f>IF(Guillotine!F19="SP53 Paperbark",1,"")</f>
        <v/>
      </c>
      <c r="AIF12" t="str">
        <f>IF(Guillotine!F19="SP53 Mist Green",1,"")</f>
        <v/>
      </c>
      <c r="AIG12" t="str">
        <f>IF(Guillotine!F19="SP53 Primrose",1,"")</f>
        <v/>
      </c>
      <c r="AIH12" t="str">
        <f>IF(Guillotine!F19="SP53 Ultra Silver",1,"")</f>
        <v/>
      </c>
      <c r="AII12" t="str">
        <f>IF(Guillotine!F19="SP53 Woodland Grey(Green Tone)",1,"")</f>
        <v/>
      </c>
      <c r="AIJ12" t="str">
        <f>IF(Guillotine!F19="SP53 Pearl White",1,"")</f>
        <v/>
      </c>
      <c r="AIK12" t="str">
        <f>IF(Guillotine!F19="SP53 Monument",1,"")</f>
        <v/>
      </c>
      <c r="AIL12" t="str">
        <f>IF(Guillotine!F19="SP53 Surfmist",1,"")</f>
        <v/>
      </c>
      <c r="AIM12" t="str">
        <f>IF(Guillotine!F19="SP53 Dune",1,"")</f>
        <v/>
      </c>
      <c r="AIN12" t="str">
        <f>IF(Guillotine!F19="SP53 Powdercoat",1,"")</f>
        <v/>
      </c>
      <c r="AIO12" t="str">
        <f>IF(Guillotine!F19="SP55 Apo Grey",1,"")</f>
        <v/>
      </c>
      <c r="AIP12" t="str">
        <f>IF(Guillotine!F19="SP55 White Birch",1,"")</f>
        <v/>
      </c>
      <c r="AIQ12" t="str">
        <f>IF(Guillotine!F19="SP55 Black",1,"")</f>
        <v/>
      </c>
      <c r="AIR12" t="str">
        <f>IF(Guillotine!F19="SP55 Brown",1,"")</f>
        <v/>
      </c>
      <c r="AIS12" t="str">
        <f>IF(Guillotine!F19="SP55 Deep Ocean",1,"")</f>
        <v/>
      </c>
      <c r="AIT12" t="str">
        <f>IF(Guillotine!F19="SP55 Jasper",1,"")</f>
        <v/>
      </c>
      <c r="AIU12" t="str">
        <f>IF(Guillotine!F19="SP55 Paperbark",1,"")</f>
        <v/>
      </c>
      <c r="AIV12" t="str">
        <f>IF(Guillotine!F19="SP55 Mist Green",1,"")</f>
        <v/>
      </c>
      <c r="AIW12" t="str">
        <f>IF(Guillotine!F19="SP55 Primrose",1,"")</f>
        <v/>
      </c>
      <c r="AIX12" t="str">
        <f>IF(Guillotine!F19="SP55 Ultra Silver",1,"")</f>
        <v/>
      </c>
      <c r="AIY12" t="str">
        <f>IF(Guillotine!F19="SP55 Woodland Grey(Green Tone)",1,"")</f>
        <v/>
      </c>
      <c r="AIZ12" t="str">
        <f>IF(Guillotine!F19="SP55 Pearl White",1,"")</f>
        <v/>
      </c>
      <c r="AJA12" t="str">
        <f>IF(Guillotine!F19="SP55 Monument",1,"")</f>
        <v/>
      </c>
      <c r="AJB12" t="str">
        <f>IF(Guillotine!F19="SP55 Surfmist",1,"")</f>
        <v/>
      </c>
      <c r="AJC12" t="str">
        <f>IF(Guillotine!F19="SP55 Dune",1,"")</f>
        <v/>
      </c>
      <c r="AJD12" t="str">
        <f>IF(Guillotine!F19="SP55 Powdercoat",1,"")</f>
        <v/>
      </c>
      <c r="AJE12" t="str">
        <f>IF(Guillotine!F19="SP56 Apo Grey",1,"")</f>
        <v/>
      </c>
      <c r="AJF12" t="str">
        <f>IF(Guillotine!F19="SP56 White Birch",1,"")</f>
        <v/>
      </c>
      <c r="AJG12" t="str">
        <f>IF(Guillotine!F19="SP56 Black",1,"")</f>
        <v/>
      </c>
      <c r="AJH12" t="str">
        <f>IF(Guillotine!F19="SP56 Brown",1,"")</f>
        <v/>
      </c>
      <c r="AJI12" t="str">
        <f>IF(Guillotine!F19="SP56 Deep Ocean",1,"")</f>
        <v/>
      </c>
      <c r="AJJ12" t="str">
        <f>IF(Guillotine!F19="SP56 Jasper",1,"")</f>
        <v/>
      </c>
      <c r="AJK12" t="str">
        <f>IF(Guillotine!F19="SP56 Paperbark",1,"")</f>
        <v/>
      </c>
      <c r="AJL12" t="str">
        <f>IF(Guillotine!F19="SP56 Mist Green",1,"")</f>
        <v/>
      </c>
      <c r="AJM12" t="str">
        <f>IF(Guillotine!F19="SP56 Primrose",1,"")</f>
        <v/>
      </c>
      <c r="AJN12" t="str">
        <f>IF(Guillotine!F19="SP56 Ultra Silver",1,"")</f>
        <v/>
      </c>
      <c r="AJO12" t="str">
        <f>IF(Guillotine!F19="SP56 Woodland Grey(Green Tone)",1,"")</f>
        <v/>
      </c>
      <c r="AJP12" t="str">
        <f>IF(Guillotine!F19="SP56 Pearl White",1,"")</f>
        <v/>
      </c>
      <c r="AJQ12" t="str">
        <f>IF(Guillotine!F19="SP56 Monument",1,"")</f>
        <v/>
      </c>
      <c r="AJR12" t="str">
        <f>IF(Guillotine!F19="SP56 Surfmist",1,"")</f>
        <v/>
      </c>
      <c r="AJS12" t="str">
        <f>IF(Guillotine!F19="SP56 Dune",1,"")</f>
        <v/>
      </c>
      <c r="AJT12" t="str">
        <f>IF(Guillotine!F19="SP56 Powdercoat",1,"")</f>
        <v/>
      </c>
      <c r="AJU12" t="str">
        <f>IF(Guillotine!F19="SP65 Apo Grey",1,"")</f>
        <v/>
      </c>
      <c r="AJV12" t="str">
        <f>IF(Guillotine!F19="SP65 White Birch",1,"")</f>
        <v/>
      </c>
      <c r="AJW12" t="str">
        <f>IF(Guillotine!F19="SP65 Black",1,"")</f>
        <v/>
      </c>
      <c r="AJX12" t="str">
        <f>IF(Guillotine!F19="SP65 Brown",1,"")</f>
        <v/>
      </c>
      <c r="AJY12" t="str">
        <f>IF(Guillotine!F19="SP65 Deep Ocean",1,"")</f>
        <v/>
      </c>
      <c r="AJZ12" t="str">
        <f>IF(Guillotine!F19="SP65 Jasper",1,"")</f>
        <v/>
      </c>
      <c r="AKA12" t="str">
        <f>IF(Guillotine!F19="SP65 Paperbark",1,"")</f>
        <v/>
      </c>
      <c r="AKB12" t="str">
        <f>IF(Guillotine!F19="SP65 Mist Green",1,"")</f>
        <v/>
      </c>
      <c r="AKC12" t="str">
        <f>IF(Guillotine!F19="SP65 Primrose",1,"")</f>
        <v/>
      </c>
      <c r="AKD12" t="str">
        <f>IF(Guillotine!F19="SP65 Ultra Silver",1,"")</f>
        <v/>
      </c>
      <c r="AKE12" t="str">
        <f>IF(Guillotine!F19="SP65 Woodland Grey(Green Tone)",1,"")</f>
        <v/>
      </c>
      <c r="AKF12" t="str">
        <f>IF(Guillotine!F19="SP65 Pearl White",1,"")</f>
        <v/>
      </c>
      <c r="AKG12" t="str">
        <f>IF(Guillotine!F19="SP65 Monument",1,"")</f>
        <v/>
      </c>
      <c r="AKH12" t="str">
        <f>IF(Guillotine!F19="SP65 Surfmist",1,"")</f>
        <v/>
      </c>
      <c r="AKI12" t="str">
        <f>IF(Guillotine!F19="SP65 Dune",1,"")</f>
        <v/>
      </c>
      <c r="AKJ12" t="str">
        <f>IF(Guillotine!F19="SP65 Powdercoat",1,"")</f>
        <v/>
      </c>
      <c r="AKK12" t="str">
        <f>IF(Guillotine!F19="SP72 Apo Grey",1,"")</f>
        <v/>
      </c>
      <c r="AKL12" t="str">
        <f>IF(Guillotine!F19="SP72 White Birch",1,"")</f>
        <v/>
      </c>
      <c r="AKM12" t="str">
        <f>IF(Guillotine!F19="SP72 Black",1,"")</f>
        <v/>
      </c>
      <c r="AKN12" t="str">
        <f>IF(Guillotine!F19="SP72 Brown",1,"")</f>
        <v/>
      </c>
      <c r="AKO12" t="str">
        <f>IF(Guillotine!F19="SP72 Deep Ocean",1,"")</f>
        <v/>
      </c>
      <c r="AKP12" t="str">
        <f>IF(Guillotine!F19="SP72 Jasper",1,"")</f>
        <v/>
      </c>
      <c r="AKQ12" t="str">
        <f>IF(Guillotine!F19="SP72 Paperbark",1,"")</f>
        <v/>
      </c>
      <c r="AKR12" t="str">
        <f>IF(Guillotine!F19="SP72 Mist Green",1,"")</f>
        <v/>
      </c>
      <c r="AKS12" t="str">
        <f>IF(Guillotine!F19="SP72 Primrose",1,"")</f>
        <v/>
      </c>
      <c r="AKT12" t="str">
        <f>IF(Guillotine!F19="SP72 Ultra Silver",1,"")</f>
        <v/>
      </c>
      <c r="AKU12" t="str">
        <f>IF(Guillotine!F19="SP72 Woodland Grey(Green Tone)",1,"")</f>
        <v/>
      </c>
      <c r="AKV12" t="str">
        <f>IF(Guillotine!F19="SP72 Pearl White",1,"")</f>
        <v/>
      </c>
      <c r="AKW12" t="str">
        <f>IF(Guillotine!F19="SP72 Monument",1,"")</f>
        <v/>
      </c>
      <c r="AKX12" t="str">
        <f>IF(Guillotine!F19="SP72 Surfmist",1,"")</f>
        <v/>
      </c>
      <c r="AKY12" t="str">
        <f>IF(Guillotine!F19="SP72 Dune",1,"")</f>
        <v/>
      </c>
      <c r="AKZ12" t="str">
        <f>IF(Guillotine!F19="SP72 Powdercoat",1,"")</f>
        <v/>
      </c>
      <c r="ALA12" t="str">
        <f>IF(Guillotine!F19="SP74 Apo Grey",1,"")</f>
        <v/>
      </c>
      <c r="ALB12" t="str">
        <f>IF(Guillotine!F19="SP74 White Birch",1,"")</f>
        <v/>
      </c>
      <c r="ALC12" t="str">
        <f>IF(Guillotine!F19="SP74 Black",1,"")</f>
        <v/>
      </c>
      <c r="ALD12" t="str">
        <f>IF(Guillotine!F19="SP74 Brown",1,"")</f>
        <v/>
      </c>
      <c r="ALE12" t="str">
        <f>IF(Guillotine!F19="SP74 Deep Ocean",1,"")</f>
        <v/>
      </c>
      <c r="ALF12" t="str">
        <f>IF(Guillotine!F19="SP74 Jasper",1,"")</f>
        <v/>
      </c>
      <c r="ALG12" t="str">
        <f>IF(Guillotine!F19="SP74 Paperbark",1,"")</f>
        <v/>
      </c>
      <c r="ALH12" t="str">
        <f>IF(Guillotine!F19="SP74 Mist Green",1,"")</f>
        <v/>
      </c>
      <c r="ALI12" t="str">
        <f>IF(Guillotine!F19="SP74 Primrose",1,"")</f>
        <v/>
      </c>
      <c r="ALJ12" t="str">
        <f>IF(Guillotine!F19="SP74 Ultra Silver",1,"")</f>
        <v/>
      </c>
      <c r="ALK12" t="str">
        <f>IF(Guillotine!F19="SP74 Woodland Grey(Green Tone)",1,"")</f>
        <v/>
      </c>
      <c r="ALL12" t="str">
        <f>IF(Guillotine!F19="SP74 Pearl White",1,"")</f>
        <v/>
      </c>
      <c r="ALM12" t="str">
        <f>IF(Guillotine!F19="SP74 Monument",1,"")</f>
        <v/>
      </c>
      <c r="ALN12" t="str">
        <f>IF(Guillotine!F19="SP74 Surfmist",1,"")</f>
        <v/>
      </c>
      <c r="ALO12" t="str">
        <f>IF(Guillotine!F19="SP74 Dune",1,"")</f>
        <v/>
      </c>
      <c r="ALP12" t="str">
        <f>IF(Guillotine!F19="SP74 Powdercoat",1,"")</f>
        <v/>
      </c>
      <c r="ALQ12" t="str">
        <f>IF(Guillotine!F19="SP78 Apo Grey",1,"")</f>
        <v/>
      </c>
      <c r="ALR12" t="str">
        <f>IF(Guillotine!F19="SP78 White Birch",1,"")</f>
        <v/>
      </c>
      <c r="ALS12" t="str">
        <f>IF(Guillotine!F19="SP78 Black",1,"")</f>
        <v/>
      </c>
      <c r="ALT12" t="str">
        <f>IF(Guillotine!F19="SP78 Brown",1,"")</f>
        <v/>
      </c>
      <c r="ALU12" t="str">
        <f>IF(Guillotine!F19="SP78 Deep Ocean",1,"")</f>
        <v/>
      </c>
      <c r="ALV12" t="str">
        <f>IF(Guillotine!F19="SP78 Jasper",1,"")</f>
        <v/>
      </c>
      <c r="ALW12" t="str">
        <f>IF(Guillotine!F19="SP78 Paperbark",1,"")</f>
        <v/>
      </c>
      <c r="ALX12" t="str">
        <f>IF(Guillotine!F19="SP78 Mist Green",1,"")</f>
        <v/>
      </c>
      <c r="ALY12" t="str">
        <f>IF(Guillotine!F19="SP78 Primrose",1,"")</f>
        <v/>
      </c>
      <c r="ALZ12" t="str">
        <f>IF(Guillotine!F19="SP78 Ultra Silver",1,"")</f>
        <v/>
      </c>
      <c r="AMA12" t="str">
        <f>IF(Guillotine!F19="SP78 Woodland Grey(Green Tone)",1,"")</f>
        <v/>
      </c>
      <c r="AMB12" t="str">
        <f>IF(Guillotine!F19="SP78 Pearl White",1,"")</f>
        <v/>
      </c>
      <c r="AMC12" t="str">
        <f>IF(Guillotine!F19="SP78 Monument",1,"")</f>
        <v/>
      </c>
      <c r="AMD12" t="str">
        <f>IF(Guillotine!F19="SP78 Surfmist",1,"")</f>
        <v/>
      </c>
      <c r="AME12" t="str">
        <f>IF(Guillotine!F19="SP78 Dune",1,"")</f>
        <v/>
      </c>
      <c r="AMF12" t="str">
        <f>IF(Guillotine!F19="SP78 Powdercoat",1,"")</f>
        <v/>
      </c>
    </row>
    <row r="13" spans="4:1020" ht="13.2" customHeight="1">
      <c r="D13" t="str">
        <f>IF(Data!AV19="","",CONCATENATE(Data!BC$5,".",Data!BD$5))</f>
        <v/>
      </c>
      <c r="E13" t="str">
        <f>IF(D13="","",Data!AW19)</f>
        <v/>
      </c>
      <c r="F13" t="str">
        <f>IF(D13="","",Data!AV19)</f>
        <v/>
      </c>
      <c r="G13" t="str">
        <f t="shared" si="1"/>
        <v/>
      </c>
      <c r="H13" t="str">
        <f>IF(D13="","",Data!BF$5)</f>
        <v/>
      </c>
      <c r="I13" t="str">
        <f>IF(D13="","",Data!AX$5)</f>
        <v/>
      </c>
      <c r="J13" s="73" t="str">
        <f>IF(AND('Mitred Cutting'!C19="Standard",'Mitred Cutting'!D19="APO Grey"),(('Job Sheet'!BH19+'Job Sheet'!BI19)*2),"")</f>
        <v/>
      </c>
      <c r="K13" s="73" t="str">
        <f>IF(AND('Mitred Cutting'!C19="Standard",'Mitred Cutting'!D19="White Birch"),(('Job Sheet'!BH19+'Job Sheet'!BI19)*2),"")</f>
        <v/>
      </c>
      <c r="L13" s="73" t="str">
        <f>IF(AND('Mitred Cutting'!C19="Standard",'Mitred Cutting'!D19="Black"),(('Job Sheet'!BH19+'Job Sheet'!BI19)*2),"")</f>
        <v/>
      </c>
      <c r="M13" s="73" t="str">
        <f>IF(AND('Mitred Cutting'!C19="Standard",'Mitred Cutting'!D19="Brown"),(('Job Sheet'!BH19+'Job Sheet'!BI19)*2),"")</f>
        <v/>
      </c>
      <c r="N13" s="73" t="str">
        <f>IF(AND('Mitred Cutting'!C19="Standard",'Mitred Cutting'!D19="Deep Ocean"),(('Job Sheet'!BH19+'Job Sheet'!BI19)*2),"")</f>
        <v/>
      </c>
      <c r="O13" s="73" t="str">
        <f>IF(AND('Mitred Cutting'!C19="Standard",'Mitred Cutting'!D19="Jasper"),(('Job Sheet'!BH19+'Job Sheet'!BI19)*2),"")</f>
        <v/>
      </c>
      <c r="P13" s="73" t="str">
        <f>IF(AND('Mitred Cutting'!C19="Standard",'Mitred Cutting'!D19="Paperbark"),(('Job Sheet'!BH19+'Job Sheet'!BI19)*2),"")</f>
        <v/>
      </c>
      <c r="Q13" s="73" t="str">
        <f>IF(AND('Mitred Cutting'!C19="Standard",'Mitred Cutting'!D19="Mist Green"),(('Job Sheet'!BH19+'Job Sheet'!BI19)*2),"")</f>
        <v/>
      </c>
      <c r="R13" s="73" t="str">
        <f>IF(AND('Mitred Cutting'!C19="Standard",'Mitred Cutting'!D19="Primrose"),(('Job Sheet'!BH19+'Job Sheet'!BI19)*2),"")</f>
        <v/>
      </c>
      <c r="S13" s="73" t="str">
        <f>IF(AND('Mitred Cutting'!C19="Standard",'Mitred Cutting'!D19="Ultra Silver"),(('Job Sheet'!BH19+'Job Sheet'!BI19)*2),"")</f>
        <v/>
      </c>
      <c r="T13" s="73" t="str">
        <f>IF(AND('Mitred Cutting'!C19="Standard",'Mitred Cutting'!D19="Woodland Grey(Green Tone)"),(('Job Sheet'!BH19+'Job Sheet'!BI19)*2),"")</f>
        <v/>
      </c>
      <c r="U13" s="73" t="str">
        <f>IF(AND('Mitred Cutting'!C19="Standard",'Mitred Cutting'!D19="Pearl White"),(('Job Sheet'!BH19+'Job Sheet'!BI19)*2),"")</f>
        <v/>
      </c>
      <c r="V13" s="73" t="str">
        <f>IF(AND('Mitred Cutting'!C19="Standard",'Mitred Cutting'!D19="Monument"),(('Job Sheet'!BH19+'Job Sheet'!BI19)*2),"")</f>
        <v/>
      </c>
      <c r="W13" s="73" t="str">
        <f>IF(AND('Mitred Cutting'!C19="Standard",'Mitred Cutting'!D19="Surfmist"),(('Job Sheet'!BH19+'Job Sheet'!BI19)*2),"")</f>
        <v/>
      </c>
      <c r="X13" s="73" t="str">
        <f>IF(AND('Mitred Cutting'!C19="Standard",'Mitred Cutting'!D19="Dune"),(('Job Sheet'!BH19+'Job Sheet'!BI19)*2),"")</f>
        <v/>
      </c>
      <c r="Y13" s="73" t="str">
        <f>IF(AND('Mitred Cutting'!C19="Standard",'Job Sheet'!AA19="Woodland Grey (Dulux)"),(('Job Sheet'!BH19+'Job Sheet'!BI19)*2),"")</f>
        <v/>
      </c>
      <c r="Z13" s="73" t="str">
        <f>IF(AND('Mitred Cutting'!C19="Standard",Data!BP19="Powdercoat",'Job Sheet'!AA19&lt;&gt;"Woodland Grey (Dulux)"),(('Job Sheet'!BH19+'Job Sheet'!BI19)*2),"")</f>
        <v/>
      </c>
      <c r="AA13" s="73" t="str">
        <f>IF(AND('Mitred Cutting'!C19="Invisi-Gard",'Mitred Cutting'!D19="APO Grey"),(('Job Sheet'!BH19+'Job Sheet'!BI19)*2),"")</f>
        <v/>
      </c>
      <c r="AB13" s="73" t="str">
        <f>IF(AND('Mitred Cutting'!C19="Invisi-Gard",'Mitred Cutting'!D19="White Birch"),(('Job Sheet'!BH19+'Job Sheet'!BI19)*2),"")</f>
        <v/>
      </c>
      <c r="AC13" s="73" t="str">
        <f>IF(AND('Mitred Cutting'!C19="Invisi-Gard",'Mitred Cutting'!D19="Black"),(('Job Sheet'!BH19+'Job Sheet'!BI19)*2),"")</f>
        <v/>
      </c>
      <c r="AD13" s="73" t="str">
        <f>IF(AND('Mitred Cutting'!C19="Invisi-Gard",'Mitred Cutting'!D19="Brown"),(('Job Sheet'!BH19+'Job Sheet'!BI19)*2),"")</f>
        <v/>
      </c>
      <c r="AE13" s="73" t="str">
        <f>IF(AND('Mitred Cutting'!C19="Invisi-Gard",'Mitred Cutting'!D19="Deep Ocean"),(('Job Sheet'!BH19+'Job Sheet'!BI19)*2),"")</f>
        <v/>
      </c>
      <c r="AF13" s="73" t="str">
        <f>IF(AND('Mitred Cutting'!C19="Invisi-Gard",'Mitred Cutting'!D19="Jasper"),(('Job Sheet'!BH19+'Job Sheet'!BI19)*2),"")</f>
        <v/>
      </c>
      <c r="AG13" s="73" t="str">
        <f>IF(AND('Mitred Cutting'!C19="Invisi-Gard",'Mitred Cutting'!D19="Paperbark"),(('Job Sheet'!BH19+'Job Sheet'!BI19)*2),"")</f>
        <v/>
      </c>
      <c r="AH13" s="73" t="str">
        <f>IF(AND('Mitred Cutting'!C19="Invisi-Gard",'Mitred Cutting'!D19="Mist Green"),(('Job Sheet'!BH19+'Job Sheet'!BI19)*2),"")</f>
        <v/>
      </c>
      <c r="AI13" s="73" t="str">
        <f>IF(AND('Mitred Cutting'!C19="Invisi-Gard",'Mitred Cutting'!D19="Primrose"),(('Job Sheet'!BH19+'Job Sheet'!BI19)*2),"")</f>
        <v/>
      </c>
      <c r="AJ13" s="73" t="str">
        <f>IF(AND('Mitred Cutting'!C19="Invisi-Gard",'Mitred Cutting'!D19="Ultra Silver"),(('Job Sheet'!BH19+'Job Sheet'!BI19)*2),"")</f>
        <v/>
      </c>
      <c r="AK13" s="73" t="str">
        <f>IF(AND('Mitred Cutting'!C19="Invisi-Gard",'Mitred Cutting'!D19="Woodland Grey(Green Tone)"),(('Job Sheet'!BH19+'Job Sheet'!BI19)*2),"")</f>
        <v/>
      </c>
      <c r="AL13" s="73" t="str">
        <f>IF(AND('Mitred Cutting'!C19="Invisi-Gard",'Mitred Cutting'!D19="Pearl White"),(('Job Sheet'!BH19+'Job Sheet'!BI19)*2),"")</f>
        <v/>
      </c>
      <c r="AM13" s="73" t="str">
        <f>IF(AND('Mitred Cutting'!C19="Invisi-Gard",'Mitred Cutting'!D19="Monument"),(('Job Sheet'!BH19+'Job Sheet'!BI19)*2),"")</f>
        <v/>
      </c>
      <c r="AN13" s="73" t="str">
        <f>IF(AND('Mitred Cutting'!C19="Invisi-Gard",'Mitred Cutting'!D19="Surfmist"),(('Job Sheet'!BH19+'Job Sheet'!BI19)*2),"")</f>
        <v/>
      </c>
      <c r="AO13" s="73" t="str">
        <f>IF(AND('Mitred Cutting'!C19="Invisi-Gard",'Mitred Cutting'!D19="Dune"),(('Job Sheet'!BH19+'Job Sheet'!BI19)*2),"")</f>
        <v/>
      </c>
      <c r="AP13" s="73" t="str">
        <f>IF(AND('Mitred Cutting'!C19="Invisi-Gard",'Job Sheet'!AA19="Woodland Grey (Dulux)"),(('Job Sheet'!BH19+'Job Sheet'!BI19)*2),"")</f>
        <v/>
      </c>
      <c r="AQ13" s="73" t="str">
        <f>IF(AND('Mitred Cutting'!C19="Invisi-Gard",Data!BP19="Powdercoat",'Job Sheet'!AA19&lt;&gt;"Woodland Grey (Dulux)"),(('Job Sheet'!BH19+'Job Sheet'!BI19)*2),"")</f>
        <v/>
      </c>
      <c r="BZ13" s="73"/>
      <c r="CA13" s="73"/>
      <c r="CB13" s="73"/>
      <c r="CC13" s="73"/>
      <c r="CD13" s="73"/>
      <c r="CE13" s="73"/>
      <c r="CF13" s="73"/>
      <c r="CG13" s="73"/>
      <c r="CH13" s="73"/>
      <c r="CI13" s="73"/>
      <c r="CJ13" s="73"/>
      <c r="CK13" s="73"/>
      <c r="CL13" s="73"/>
      <c r="CM13" s="73"/>
      <c r="CN13" s="73"/>
      <c r="CO13" s="73"/>
      <c r="CP13" s="73"/>
      <c r="CQ13" s="73" t="str">
        <f>IF(D13="","",IF(AND('Job Sheet'!AO19="Yes",'Mitred Cutting'!I19="Short Leg Left, Right and Top",'Mitred Cutting'!J19="APO Grey"),(('Job Sheet'!E19*2+60)+'Job Sheet'!AP19+60),IF(AND('Mitred Cutting'!I19="Short Leg 1 Side",'Mitred Cutting'!J19="APO Grey"),'Job Sheet'!E19+30,IF(AND('Mitred Cutting'!I19="Short Leg Left, Right and Top",'Mitred Cutting'!J19="APO Grey"),(('Job Sheet'!E19*2+60)+'Job Sheet'!D19+60),""))))</f>
        <v/>
      </c>
      <c r="CR13" s="73" t="str">
        <f>IF(D13="","",IF(AND('Job Sheet'!AO19="Yes",'Mitred Cutting'!I19="Short Leg Left, Right and Top",'Mitred Cutting'!J19="White Birch"),(('Job Sheet'!E19*2+60)+'Job Sheet'!AP19+60),IF(AND('Mitred Cutting'!I19="Short Leg 1 Side",'Mitred Cutting'!J19="White Birch"),'Job Sheet'!E19+30,IF(AND('Mitred Cutting'!I19="Short Leg Left, Right and Top",'Mitred Cutting'!J19="White Birch"),(('Job Sheet'!E19*2+60)+'Job Sheet'!D19+60),""))))</f>
        <v/>
      </c>
      <c r="CS13" s="73" t="str">
        <f>IF(D13="","",IF(AND('Job Sheet'!AO19="Yes",'Mitred Cutting'!I19="Short Leg Left, Right and Top",'Mitred Cutting'!J19="Black"),(('Job Sheet'!E19*2+60)+'Job Sheet'!AP19+60),IF(AND('Mitred Cutting'!I19="Short Leg 1 Side",'Mitred Cutting'!J19="Black"),'Job Sheet'!E19+30,IF(AND('Mitred Cutting'!I19="Short Leg Left, Right and Top",'Mitred Cutting'!J19="Black"),(('Job Sheet'!E19*2+60)+'Job Sheet'!D19+60),""))))</f>
        <v/>
      </c>
      <c r="CT13" s="73" t="str">
        <f>IF(D13="","",IF(AND('Job Sheet'!AO19="Yes",'Mitred Cutting'!I19="Short Leg Left, Right and Top",'Mitred Cutting'!J19="Brown"),(('Job Sheet'!E19*2+60)+'Job Sheet'!AP19+60),IF(AND('Mitred Cutting'!I19="Short Leg 1 Side",'Mitred Cutting'!J19="Brown"),'Job Sheet'!E19+30,IF(AND('Mitred Cutting'!I19="Short Leg Left, Right and Top",'Mitred Cutting'!J19="Brown"),(('Job Sheet'!E19*2+60)+'Job Sheet'!D19+60),""))))</f>
        <v/>
      </c>
      <c r="CU13" s="73" t="str">
        <f>IF(D13="","",IF(AND('Job Sheet'!AO19="Yes",'Mitred Cutting'!I19="Short Leg Left, Right and Top",'Mitred Cutting'!J19="Deep Ocean"),(('Job Sheet'!E19*2+60)+'Job Sheet'!AP19+60),IF(AND('Mitred Cutting'!I19="Short Leg 1 Side",'Mitred Cutting'!J19="Deep Ocean"),'Job Sheet'!E19+30,IF(AND('Mitred Cutting'!I19="Short Leg Left, Right and Top",'Mitred Cutting'!J19="Deep Ocean"),(('Job Sheet'!E19*2+60)+'Job Sheet'!D19+60),""))))</f>
        <v/>
      </c>
      <c r="CV13" s="73" t="str">
        <f>IF(D13="","",IF(AND('Job Sheet'!AO19="Yes",'Mitred Cutting'!I19="Short Leg Left, Right and Top",'Mitred Cutting'!J19="Jasper"),(('Job Sheet'!E19*2+60)+'Job Sheet'!AP19+60),IF(AND('Mitred Cutting'!I19="Short Leg 1 Side",'Mitred Cutting'!J19="Jasper"),'Job Sheet'!E19+30,IF(AND('Mitred Cutting'!I19="Short Leg Left, Right and Top",'Mitred Cutting'!J19="Jasper"),(('Job Sheet'!E19*2+60)+'Job Sheet'!D19+60),""))))</f>
        <v/>
      </c>
      <c r="CW13" s="73" t="str">
        <f>IF(D13="","",IF(AND('Job Sheet'!AO19="Yes",'Mitred Cutting'!I19="Short Leg Left, Right and Top",'Mitred Cutting'!J19="Paperbark"),(('Job Sheet'!E19*2+60)+'Job Sheet'!AP19+60),IF(AND('Mitred Cutting'!I19="Short Leg 1 Side",'Mitred Cutting'!J19="Paperbark"),'Job Sheet'!E19+30,IF(AND('Mitred Cutting'!I19="Short Leg Left, Right and Top",'Mitred Cutting'!J19="Paperbark"),(('Job Sheet'!E19*2+60)+'Job Sheet'!D19+60),""))))</f>
        <v/>
      </c>
      <c r="CX13" s="73" t="str">
        <f>IF(D13="","",IF(AND('Job Sheet'!AO19="Yes",'Mitred Cutting'!I19="Short Leg Left, Right and Top",'Mitred Cutting'!J19="Mist Green"),(('Job Sheet'!E19*2+60)+'Job Sheet'!AP19+60),IF(AND('Mitred Cutting'!I19="Short Leg 1 Side",'Mitred Cutting'!J19="Mist Green"),'Job Sheet'!E19+30,IF(AND('Mitred Cutting'!I19="Short Leg Left, Right and Top",'Mitred Cutting'!J19="Mist Green"),(('Job Sheet'!E19*2+60)+'Job Sheet'!D19+60),""))))</f>
        <v/>
      </c>
      <c r="CY13" s="73" t="str">
        <f>IF(D13="","",IF(AND('Job Sheet'!AO19="Yes",'Mitred Cutting'!I19="Short Leg Left, Right and Top",'Mitred Cutting'!J19="Primrose"),(('Job Sheet'!E19*2+60)+'Job Sheet'!AP19+60),IF(AND('Mitred Cutting'!I19="Short Leg 1 Side",'Mitred Cutting'!J19="Primrose"),'Job Sheet'!E19+30,IF(AND('Mitred Cutting'!I19="Short Leg Left, Right and Top",'Mitred Cutting'!J19="Primrose"),(('Job Sheet'!E19*2+60)+'Job Sheet'!D19+60),""))))</f>
        <v/>
      </c>
      <c r="CZ13" s="73" t="str">
        <f>IF(D13="","",IF(AND('Job Sheet'!AO19="Yes",'Mitred Cutting'!I19="Short Leg Left, Right and Top",'Mitred Cutting'!J19="Ultra Silver"),(('Job Sheet'!E19*2+60)+'Job Sheet'!AP19+60),IF(AND('Mitred Cutting'!I19="Short Leg 1 Side",'Mitred Cutting'!J19="Ultra Silver"),'Job Sheet'!E19+30,IF(AND('Mitred Cutting'!I19="Short Leg Left, Right and Top",'Mitred Cutting'!J19="Ultra Silver"),(('Job Sheet'!E19*2+60)+'Job Sheet'!D19+60),""))))</f>
        <v/>
      </c>
      <c r="DA13" s="73" t="str">
        <f>IF(D13="","",IF(AND('Job Sheet'!AO19="Yes",'Mitred Cutting'!I19="Short Leg Left, Right and Top",'Mitred Cutting'!J19="Woodland Grey(Green Tone)"),(('Job Sheet'!E19*2+60)+'Job Sheet'!AP19+60),IF(AND('Mitred Cutting'!I19="Short Leg 1 Side",'Mitred Cutting'!J19="Woodland Grey(Green Tone)"),'Job Sheet'!E19+30,IF(AND('Mitred Cutting'!I19="Short Leg Left, Right and Top",'Mitred Cutting'!J19="Woodland Grey(Green Tone)"),(('Job Sheet'!E19*2+60)+'Job Sheet'!D19+60),""))))</f>
        <v/>
      </c>
      <c r="DB13" s="73" t="str">
        <f>IF(D13="","",IF(AND('Job Sheet'!AO19="Yes",'Mitred Cutting'!I19="Short Leg Left, Right and Top",'Mitred Cutting'!J19="Pearl White"),(('Job Sheet'!E19*2+60)+'Job Sheet'!AP19+60),IF(AND('Mitred Cutting'!I19="Short Leg 1 Side",'Mitred Cutting'!J19="Pearl White"),'Job Sheet'!E19+30,IF(AND('Mitred Cutting'!I19="Short Leg Left, Right and Top",'Mitred Cutting'!J19="Pearl White"),(('Job Sheet'!E19*2+60)+'Job Sheet'!D19+60),""))))</f>
        <v/>
      </c>
      <c r="DC13" s="73" t="str">
        <f>IF(D13="","",IF(AND('Job Sheet'!AO19="Yes",'Mitred Cutting'!I19="Short Leg Left, Right and Top",'Mitred Cutting'!J19="Monument"),(('Job Sheet'!E19*2+60)+'Job Sheet'!AP19+60),IF(AND('Mitred Cutting'!I19="Short Leg 1 Side",'Mitred Cutting'!J19="Monument"),'Job Sheet'!E19+30,IF(AND('Mitred Cutting'!I19="Short Leg Left, Right and Top",'Mitred Cutting'!J19="Monument"),(('Job Sheet'!E19*2+60)+'Job Sheet'!D19+60),""))))</f>
        <v/>
      </c>
      <c r="DD13" s="73" t="str">
        <f>IF(D13="","",IF(AND('Job Sheet'!AO19="Yes",'Mitred Cutting'!I19="Short Leg Left, Right and Top",'Mitred Cutting'!J19="Surfmist"),(('Job Sheet'!E19*2+60)+'Job Sheet'!AP19+60),IF(AND('Mitred Cutting'!I19="Short Leg 1 Side",'Mitred Cutting'!J19="Surfmist"),'Job Sheet'!E19+30,IF(AND('Mitred Cutting'!I19="Short Leg Left, Right and Top",'Mitred Cutting'!J19="Surfmist"),(('Job Sheet'!E19*2+60)+'Job Sheet'!D19+60),""))))</f>
        <v/>
      </c>
      <c r="DE13" s="73" t="str">
        <f>IF(D13="","",IF(AND('Job Sheet'!AO19="Yes",'Mitred Cutting'!I19="Short Leg Left, Right and Top",'Mitred Cutting'!J19="Dune"),(('Job Sheet'!E19*2+60)+'Job Sheet'!AP19+60),IF(AND('Mitred Cutting'!I19="Short Leg 1 Side",'Mitred Cutting'!J19="Dune"),'Job Sheet'!E19+30,IF(AND('Mitred Cutting'!I19="Short Leg Left, Right and Top",'Mitred Cutting'!J19="Dune"),(('Job Sheet'!E19*2+60)+'Job Sheet'!D19+60),""))))</f>
        <v/>
      </c>
      <c r="DG13" s="73" t="str">
        <f>IF(D13="","",IF(AND('Job Sheet'!AO19="Yes",'Mitred Cutting'!I19="Short Leg Left, Right and Top",Data!BP19="Powdercoat"),(('Job Sheet'!E19*2+60)+'Job Sheet'!AP19+60),IF(AND('Mitred Cutting'!I19="Short Leg 1 Side",Data!BP19="Powdercoat"),'Job Sheet'!E19+30,IF(AND('Mitred Cutting'!I19="Short Leg Left, Right and Top",Data!BP19="Powdercoat"),(('Job Sheet'!E19*2+60)+'Job Sheet'!D19+60),""))))</f>
        <v/>
      </c>
      <c r="DH13" s="73" t="str">
        <f>IF(D13="","",IF(AND('Job Sheet'!AO19="Yes",'Mitred Cutting'!I19="Long Leg Left, Right and Top",'Mitred Cutting'!J19="APO Grey"),(('Job Sheet'!E19*2+60)+'Job Sheet'!AP19+60),IF(AND('Mitred Cutting'!I19="Long Leg 1 Side",'Mitred Cutting'!J19="APO Grey"),'Job Sheet'!E19+30,IF(AND('Mitred Cutting'!I19="Long Leg Left, Right and Top",'Mitred Cutting'!J19="APO Grey"),(('Job Sheet'!E19*2+60)+'Job Sheet'!D19+60),""))))</f>
        <v/>
      </c>
      <c r="DI13" s="73" t="str">
        <f>IF(D13="","",IF(AND('Job Sheet'!AO19="Yes",'Mitred Cutting'!I19="Long Leg Left, Right and Top",'Mitred Cutting'!J19="White Birch"),(('Job Sheet'!E19*2+60)+'Job Sheet'!AP19+60),IF(AND('Mitred Cutting'!I19="Long Leg 1 Side",'Mitred Cutting'!J19="White Birch"),'Job Sheet'!E19+30,IF(AND('Mitred Cutting'!I19="Long Leg Left, Right and Top",'Mitred Cutting'!J19="White Birch"),(('Job Sheet'!E19*2+60)+'Job Sheet'!D19+60),""))))</f>
        <v/>
      </c>
      <c r="DJ13" s="73" t="str">
        <f>IF(D13="","",IF(AND('Job Sheet'!AO19="Yes",'Mitred Cutting'!I19="Long Leg Left, Right and Top",'Mitred Cutting'!J19="Black"),(('Job Sheet'!E19*2+60)+'Job Sheet'!AP19+60),IF(AND('Mitred Cutting'!I19="Long Leg 1 Side",'Mitred Cutting'!J19="Black"),'Job Sheet'!E19+30,IF(AND('Mitred Cutting'!I19="Long Leg Left, Right and Top",'Mitred Cutting'!J19="Black"),(('Job Sheet'!E19*2+60)+'Job Sheet'!D19+60),""))))</f>
        <v/>
      </c>
      <c r="DK13" s="73" t="str">
        <f>IF(D13="","",IF(AND('Job Sheet'!AO19="Yes",'Mitred Cutting'!I19="Long Leg Left, Right and Top",'Mitred Cutting'!J19="Brown"),(('Job Sheet'!E19*2+60)+'Job Sheet'!AP19+60),IF(AND('Mitred Cutting'!I19="Long Leg 1 Side",'Mitred Cutting'!J19="Brown"),'Job Sheet'!E19+30,IF(AND('Mitred Cutting'!I19="Long Leg Left, Right and Top",'Mitred Cutting'!J19="Brown"),(('Job Sheet'!E19*2+60)+'Job Sheet'!D19+60),""))))</f>
        <v/>
      </c>
      <c r="DL13" s="73" t="str">
        <f>IF(D13="","",IF(AND('Job Sheet'!AO19="Yes",'Mitred Cutting'!I19="Long Leg Left, Right and Top",'Mitred Cutting'!J19="Deep Ocean"),(('Job Sheet'!E19*2+60)+'Job Sheet'!AP19+60),IF(AND('Mitred Cutting'!I19="Long Leg 1 Side",'Mitred Cutting'!J19="Deep Ocean"),'Job Sheet'!E19+30,IF(AND('Mitred Cutting'!I19="Long Leg Left, Right and Top",'Mitred Cutting'!J19="Deep Ocean"),(('Job Sheet'!E19*2+60)+'Job Sheet'!D19+60),""))))</f>
        <v/>
      </c>
      <c r="DM13" s="73" t="str">
        <f>IF(D13="","",IF(AND('Job Sheet'!AO19="Yes",'Mitred Cutting'!I19="Long Leg Left, Right and Top",'Mitred Cutting'!J19="Jasper"),(('Job Sheet'!E19*2+60)+'Job Sheet'!AP19+60),IF(AND('Mitred Cutting'!I19="Long Leg 1 Side",'Mitred Cutting'!J19="Jasper"),'Job Sheet'!E19+30,IF(AND('Mitred Cutting'!I19="Long Leg Left, Right and Top",'Mitred Cutting'!J19="Jasper"),(('Job Sheet'!E19*2+60)+'Job Sheet'!D19+60),""))))</f>
        <v/>
      </c>
      <c r="DN13" s="73" t="str">
        <f>IF(D13="","",IF(AND('Job Sheet'!AO19="Yes",'Mitred Cutting'!I19="Long Leg Left, Right and Top",'Mitred Cutting'!J19="Paperbark"),(('Job Sheet'!E19*2+60)+'Job Sheet'!AP19+60),IF(AND('Mitred Cutting'!I19="Long Leg 1 Side",'Mitred Cutting'!J19="Paperbark"),'Job Sheet'!E19+30,IF(AND('Mitred Cutting'!I19="Long Leg Left, Right and Top",'Mitred Cutting'!J19="Paperbark"),(('Job Sheet'!E19*2+60)+'Job Sheet'!D19+60),""))))</f>
        <v/>
      </c>
      <c r="DO13" s="73" t="str">
        <f>IF(D13="","",IF(AND('Job Sheet'!AO19="Yes",'Mitred Cutting'!I19="Long Leg Left, Right and Top",'Mitred Cutting'!J19="Mist Green"),(('Job Sheet'!E19*2+60)+'Job Sheet'!AP19+60),IF(AND('Mitred Cutting'!I19="Long Leg 1 Side",'Mitred Cutting'!J19="Mist Green"),'Job Sheet'!E19+30,IF(AND('Mitred Cutting'!I19="Long Leg Left, Right and Top",'Mitred Cutting'!J19="Mist Green"),(('Job Sheet'!E19*2+60)+'Job Sheet'!D19+60),""))))</f>
        <v/>
      </c>
      <c r="DP13" s="73" t="str">
        <f>IF(D13="","",IF(AND('Job Sheet'!AO19="Yes",'Mitred Cutting'!I19="Long Leg Left, Right and Top",'Mitred Cutting'!J19="Primrose"),(('Job Sheet'!E19*2+60)+'Job Sheet'!AP19+60),IF(AND('Mitred Cutting'!I19="Long Leg 1 Side",'Mitred Cutting'!J19="Primrose"),'Job Sheet'!E19+30,IF(AND('Mitred Cutting'!I19="Long Leg Left, Right and Top",'Mitred Cutting'!J19="Primrose"),(('Job Sheet'!E19*2+60)+'Job Sheet'!D19+60),""))))</f>
        <v/>
      </c>
      <c r="DQ13" s="73" t="str">
        <f>IF(D13="","",IF(AND('Job Sheet'!AO19="Yes",'Mitred Cutting'!I19="Long Leg Left, Right and Top",'Mitred Cutting'!J19="Ultra Silver"),(('Job Sheet'!E19*2+60)+'Job Sheet'!AP19+60),IF(AND('Mitred Cutting'!I19="Long Leg 1 Side",'Mitred Cutting'!J19="Ultra Silver"),'Job Sheet'!E19+30,IF(AND('Mitred Cutting'!I19="Long Leg Left, Right and Top",'Mitred Cutting'!J19="Ultra Silver"),(('Job Sheet'!E19*2+60)+'Job Sheet'!D19+60),""))))</f>
        <v/>
      </c>
      <c r="DR13" s="73" t="str">
        <f>IF(D13="","",IF(AND('Job Sheet'!AO19="Yes",'Mitred Cutting'!I19="Long Leg Left, Right and Top",'Mitred Cutting'!J19="Woodland Grey(Green Tone)"),(('Job Sheet'!E19*2+60)+'Job Sheet'!AP19+60),IF(AND('Mitred Cutting'!I19="Long Leg 1 Side",'Mitred Cutting'!J19="Woodland Grey(Green Tone)"),'Job Sheet'!E19+30,IF(AND('Mitred Cutting'!I19="Long Leg Left, Right and Top",'Mitred Cutting'!J19="Woodland Grey(Green Tone)"),(('Job Sheet'!E19*2+60)+'Job Sheet'!D19+60),""))))</f>
        <v/>
      </c>
      <c r="DS13" s="73" t="str">
        <f>IF(D13="","",IF(AND('Job Sheet'!AO19="Yes",'Mitred Cutting'!I19="Long Leg Left, Right and Top",'Mitred Cutting'!J19="Pearl White"),(('Job Sheet'!E19*2+60)+'Job Sheet'!AP19+60),IF(AND('Mitred Cutting'!I19="Long Leg 1 Side",'Mitred Cutting'!J19="Pearl White"),'Job Sheet'!E19+30,IF(AND('Mitred Cutting'!I19="Long Leg Left, Right and Top",'Mitred Cutting'!J19="Pearl White"),(('Job Sheet'!E19*2+60)+'Job Sheet'!D19+60),""))))</f>
        <v/>
      </c>
      <c r="DT13" s="73" t="str">
        <f>IF(D13="","",IF(AND('Job Sheet'!AO19="Yes",'Mitred Cutting'!I19="Long Leg Left, Right and Top",'Mitred Cutting'!J19="Monument"),(('Job Sheet'!E19*2+60)+'Job Sheet'!AP19+60),IF(AND('Mitred Cutting'!I19="Long Leg 1 Side",'Mitred Cutting'!J19="Monument"),'Job Sheet'!E19+30,IF(AND('Mitred Cutting'!I19="Long Leg Left, Right and Top",'Mitred Cutting'!J19="Monument"),(('Job Sheet'!E19*2+60)+'Job Sheet'!D19+60),""))))</f>
        <v/>
      </c>
      <c r="DU13" s="73" t="str">
        <f>IF(D13="","",IF(AND('Job Sheet'!AO19="Yes",'Mitred Cutting'!I19="Long Leg Left, Right and Top",'Mitred Cutting'!J19="Surfmist"),(('Job Sheet'!E19*2+60)+'Job Sheet'!AP19+60),IF(AND('Mitred Cutting'!I19="Long Leg 1 Side",'Mitred Cutting'!J19="Surfmist"),'Job Sheet'!E19+30,IF(AND('Mitred Cutting'!I19="Long Leg Left, Right and Top",'Mitred Cutting'!J19="Surfmist"),(('Job Sheet'!E19*2+60)+'Job Sheet'!D19+60),""))))</f>
        <v/>
      </c>
      <c r="DV13" s="73" t="str">
        <f>IF(D13="","",IF(AND('Job Sheet'!AO19="Yes",'Mitred Cutting'!I19="Long Leg Left, Right and Top",'Mitred Cutting'!J19="Dune"),(('Job Sheet'!E19*2+60)+'Job Sheet'!AP19+60),IF(AND('Mitred Cutting'!I19="Long Leg 1 Side",'Mitred Cutting'!J19="Dune"),'Job Sheet'!E19+30,IF(AND('Mitred Cutting'!I19="Long Leg Left, Right and Top",'Mitred Cutting'!J19="Dune"),(('Job Sheet'!E19*2+60)+'Job Sheet'!D19+60),""))))</f>
        <v/>
      </c>
      <c r="DX13" s="73" t="str">
        <f>IF(D13="","",IF(AND('Job Sheet'!AO19="Yes",'Mitred Cutting'!I19="Long Leg Left, Right and Top",Data!BP19="Powdercoat"),(('Job Sheet'!E19*2+60)+'Job Sheet'!AP19+60),IF(AND('Mitred Cutting'!I19="Long Leg 1 Side",Data!BP19="Powdercoat"),'Job Sheet'!E19+30,IF(AND('Mitred Cutting'!I19="Long Leg Left, Right and Top",Data!BP19="Powdercoat"),(('Job Sheet'!E19*2+60)+'Job Sheet'!D19+60),""))))</f>
        <v/>
      </c>
      <c r="EA13" s="73" t="str">
        <f>IF(Data!AV19="","",IF('Job Sheet'!AV19="Yes",VLOOKUP(CONCATENATE('Job Sheet'!AW19,'Job Sheet'!AY19),DogDoor,4,FALSE),""))</f>
        <v/>
      </c>
      <c r="FE13" s="73" t="str">
        <f>IF(AND('Straight Cutting'!F19&lt;&gt;"",'Mitred Cutting'!D19="APO Grey"),'Straight Cutting'!F19,"")</f>
        <v/>
      </c>
      <c r="FF13" s="73" t="str">
        <f>IF(AND('Straight Cutting'!F19&lt;&gt;"",'Mitred Cutting'!D19="White Birch"),'Straight Cutting'!F19,"")</f>
        <v/>
      </c>
      <c r="FG13" s="73" t="str">
        <f>IF(AND('Straight Cutting'!F19&lt;&gt;"",'Mitred Cutting'!D19="Black"),'Straight Cutting'!F19,"")</f>
        <v/>
      </c>
      <c r="FH13" s="73" t="str">
        <f>IF(AND('Straight Cutting'!F19&lt;&gt;"",'Mitred Cutting'!D19="Brown"),'Straight Cutting'!F19,"")</f>
        <v/>
      </c>
      <c r="FI13" s="73" t="str">
        <f>IF(AND('Straight Cutting'!F19&lt;&gt;"",'Mitred Cutting'!D19="Deep Ocean"),'Straight Cutting'!F19,"")</f>
        <v/>
      </c>
      <c r="FJ13" s="73" t="str">
        <f>IF(AND('Straight Cutting'!F19&lt;&gt;"",'Mitred Cutting'!D19="Jasper"),'Straight Cutting'!F19,"")</f>
        <v/>
      </c>
      <c r="FK13" s="73" t="str">
        <f>IF(AND('Straight Cutting'!F19&lt;&gt;"",'Mitred Cutting'!D19="Paperbark"),'Straight Cutting'!F19,"")</f>
        <v/>
      </c>
      <c r="FL13" s="73" t="str">
        <f>IF(AND('Straight Cutting'!F19&lt;&gt;"",'Mitred Cutting'!D19="Mist Green"),'Straight Cutting'!F19,"")</f>
        <v/>
      </c>
      <c r="FM13" s="73" t="str">
        <f>IF(AND('Straight Cutting'!F19&lt;&gt;"",'Mitred Cutting'!D19="Primrose"),'Straight Cutting'!F19,"")</f>
        <v/>
      </c>
      <c r="FN13" s="73" t="str">
        <f>IF(AND('Straight Cutting'!F19&lt;&gt;"",'Mitred Cutting'!D19="Ultra Silver"),'Straight Cutting'!F19,"")</f>
        <v/>
      </c>
      <c r="FO13" s="73" t="str">
        <f>IF(AND('Straight Cutting'!F19&lt;&gt;"",'Mitred Cutting'!D19="Woodland Grey(Green Tone)"),'Straight Cutting'!F19,"")</f>
        <v/>
      </c>
      <c r="FP13" s="73" t="str">
        <f>IF(AND('Straight Cutting'!F19&lt;&gt;"",'Mitred Cutting'!D19="Pearl White"),'Straight Cutting'!F19,"")</f>
        <v/>
      </c>
      <c r="FQ13" s="73" t="str">
        <f>IF(AND('Straight Cutting'!F19&lt;&gt;"",'Mitred Cutting'!D19="Monument"),'Straight Cutting'!F19,"")</f>
        <v/>
      </c>
      <c r="FR13" s="73" t="str">
        <f>IF(AND('Straight Cutting'!F19&lt;&gt;"",'Mitred Cutting'!D19="Surfmist"),'Straight Cutting'!F19,"")</f>
        <v/>
      </c>
      <c r="FS13" s="73" t="str">
        <f>IF(AND('Straight Cutting'!F19&lt;&gt;"",'Mitred Cutting'!D19="Dune"),'Straight Cutting'!F19,"")</f>
        <v/>
      </c>
      <c r="FU13" s="73" t="str">
        <f>IF(AND('Straight Cutting'!F19&lt;&gt;"",Data!BP19="Powdercoat",'Job Sheet'!AA19&lt;&gt;"Woodland Grey (Dulux)"),'Straight Cutting'!F19,"")</f>
        <v/>
      </c>
      <c r="FV13" s="73" t="str">
        <f>IF(AND('Straight Cutting'!E19="F &amp; Z Frames",'Mitred Cutting'!D19="APO Grey"),'Straight Cutting'!G19,"")</f>
        <v/>
      </c>
      <c r="FW13" s="73" t="str">
        <f>IF(AND('Straight Cutting'!E19="F &amp; Z Frames",'Mitred Cutting'!D19="White Birch"),'Straight Cutting'!G19,"")</f>
        <v/>
      </c>
      <c r="FX13" s="73" t="str">
        <f>IF(AND('Straight Cutting'!E19="F &amp; Z Frames",'Mitred Cutting'!D19="Black"),'Straight Cutting'!G19,"")</f>
        <v/>
      </c>
      <c r="FY13" s="73" t="str">
        <f>IF(AND('Straight Cutting'!E19="F &amp; Z Frames",'Mitred Cutting'!D19="Brown"),'Straight Cutting'!G19,"")</f>
        <v/>
      </c>
      <c r="FZ13" s="73" t="str">
        <f>IF(AND('Straight Cutting'!E19="F &amp; Z Frames",'Mitred Cutting'!D19="Deep Ocean"),'Straight Cutting'!G19,"")</f>
        <v/>
      </c>
      <c r="GA13" s="73" t="str">
        <f>IF(AND('Straight Cutting'!E19="F &amp; Z Frames",'Mitred Cutting'!D19="Jasper"),'Straight Cutting'!G19,"")</f>
        <v/>
      </c>
      <c r="GB13" s="73" t="str">
        <f>IF(AND('Straight Cutting'!E19="F &amp; Z Frames",'Mitred Cutting'!D19="Paperbark"),'Straight Cutting'!G19,"")</f>
        <v/>
      </c>
      <c r="GC13" s="73" t="str">
        <f>IF(AND('Straight Cutting'!E19="F &amp; Z Frames",'Mitred Cutting'!D19="Mist Green"),'Straight Cutting'!G19,"")</f>
        <v/>
      </c>
      <c r="GD13" s="73" t="str">
        <f>IF(AND('Straight Cutting'!E19="F &amp; Z Frames",'Mitred Cutting'!D19="Primrose"),'Straight Cutting'!G19,"")</f>
        <v/>
      </c>
      <c r="GE13" s="73" t="str">
        <f>IF(AND('Straight Cutting'!E19="F &amp; Z Frames",'Mitred Cutting'!D19="Ultra Silver"),'Straight Cutting'!G19,"")</f>
        <v/>
      </c>
      <c r="GF13" s="73" t="str">
        <f>IF(AND('Straight Cutting'!E19="F &amp; Z Frames",'Mitred Cutting'!D19="Woodland Grey(Green Tone)"),'Straight Cutting'!G19,"")</f>
        <v/>
      </c>
      <c r="GG13" s="73" t="str">
        <f>IF(AND('Straight Cutting'!E19="F &amp; Z Frames",'Mitred Cutting'!D19="Pearl White"),'Straight Cutting'!G19,"")</f>
        <v/>
      </c>
      <c r="GH13" s="73" t="str">
        <f>IF(AND('Straight Cutting'!E19="F &amp; Z Frames",'Mitred Cutting'!D19="Monument"),'Straight Cutting'!G19,"")</f>
        <v/>
      </c>
      <c r="GI13" s="73" t="str">
        <f>IF(AND('Straight Cutting'!E19="F &amp; Z Frames",'Mitred Cutting'!D19="Surfmist"),'Straight Cutting'!G19,"")</f>
        <v/>
      </c>
      <c r="GJ13" s="73" t="str">
        <f>IF(AND('Straight Cutting'!E19="F &amp; Z Frames",'Mitred Cutting'!D19="Dune"),'Straight Cutting'!G19,"")</f>
        <v/>
      </c>
      <c r="GK13" s="73" t="str">
        <f>IF(AND('Straight Cutting'!E19="F &amp; Z Frames",Data!BP19="Powdercoat"),'Straight Cutting'!G19,"")</f>
        <v/>
      </c>
      <c r="GL13" s="73" t="str">
        <f>IF(AND('Straight Cutting'!E19="F &amp; High Step Z Frame",'Mitred Cutting'!D19="APO Grey"),'Straight Cutting'!G19,"")</f>
        <v/>
      </c>
      <c r="GM13" s="73" t="str">
        <f>IF(AND('Straight Cutting'!E19="F &amp; High Step Z Frame",'Mitred Cutting'!D19="White Birch"),'Straight Cutting'!G19,"")</f>
        <v/>
      </c>
      <c r="GN13" s="73" t="str">
        <f>IF(AND('Straight Cutting'!E19="F &amp; High Step Z Frame",'Mitred Cutting'!D19="Black"),'Straight Cutting'!G19,"")</f>
        <v/>
      </c>
      <c r="GO13" s="73" t="str">
        <f>IF(AND('Straight Cutting'!E19="F &amp; High Step Z Frame",'Mitred Cutting'!D19="Brown"),'Straight Cutting'!G19,"")</f>
        <v/>
      </c>
      <c r="GP13" s="73" t="str">
        <f>IF(AND('Straight Cutting'!E19="F &amp; High Step Z Frame",'Mitred Cutting'!D19="Deep Ocean"),'Straight Cutting'!G19,"")</f>
        <v/>
      </c>
      <c r="GQ13" s="73" t="str">
        <f>IF(AND('Straight Cutting'!E19="F &amp; High Step Z Frame",'Mitred Cutting'!D19="Jasper"),'Straight Cutting'!G19,"")</f>
        <v/>
      </c>
      <c r="GR13" s="73" t="str">
        <f>IF(AND('Straight Cutting'!E19="F &amp; High Step Z Frame",'Mitred Cutting'!D19="Paperbark"),'Straight Cutting'!G19,"")</f>
        <v/>
      </c>
      <c r="GS13" s="73" t="str">
        <f>IF(AND('Straight Cutting'!E19="F &amp; High Step Z Frame",'Mitred Cutting'!D19="Mist Green"),'Straight Cutting'!G19,"")</f>
        <v/>
      </c>
      <c r="GT13" s="73" t="str">
        <f>IF(AND('Straight Cutting'!E19="F &amp; High Step Z Frame",'Mitred Cutting'!D19="Primrose"),'Straight Cutting'!G19,"")</f>
        <v/>
      </c>
      <c r="GU13" s="73" t="str">
        <f>IF(AND('Straight Cutting'!E19="F &amp; High Step Z Frame",'Mitred Cutting'!D19="Ultra Silver"),'Straight Cutting'!G19,"")</f>
        <v/>
      </c>
      <c r="GV13" s="73" t="str">
        <f>IF(AND('Straight Cutting'!E19="F &amp; High Step Z Frame",'Mitred Cutting'!D19="Woodland Grey(Green Tone)"),'Straight Cutting'!G19,"")</f>
        <v/>
      </c>
      <c r="GW13" s="73" t="str">
        <f>IF(AND('Straight Cutting'!E19="F &amp; High Step Z Frame",'Mitred Cutting'!D19="Pearl White"),'Straight Cutting'!G19,"")</f>
        <v/>
      </c>
      <c r="GX13" s="73" t="str">
        <f>IF(AND('Straight Cutting'!E19="F &amp; High Step Z Frame",'Mitred Cutting'!D19="Monument"),'Straight Cutting'!G19,"")</f>
        <v/>
      </c>
      <c r="GY13" s="73" t="str">
        <f>IF(AND('Straight Cutting'!E19="F &amp; High Step Z Frame",'Mitred Cutting'!D19="Surfmist"),'Straight Cutting'!G19,"")</f>
        <v/>
      </c>
      <c r="GZ13" s="73" t="str">
        <f>IF(AND('Straight Cutting'!E19="F &amp; High Step Z Frame",'Mitred Cutting'!D19="Dune"),'Straight Cutting'!G19,"")</f>
        <v/>
      </c>
      <c r="HA13" s="73" t="str">
        <f>IF(AND('Straight Cutting'!E19="F &amp; High Step Z Frame",Data!BP19="Powdercoat"),'Straight Cutting'!G19,"")</f>
        <v/>
      </c>
      <c r="HB13" s="73" t="str">
        <f>IF(AND('Straight Cutting'!I19&lt;&gt;"",'Mitred Cutting'!D19="APO Grey"),'Straight Cutting'!I19,"")</f>
        <v/>
      </c>
      <c r="HC13" s="73" t="str">
        <f>IF(AND('Straight Cutting'!I19&lt;&gt;"",'Mitred Cutting'!D19="White Birch"),'Straight Cutting'!I19,"")</f>
        <v/>
      </c>
      <c r="HD13" s="73" t="str">
        <f>IF(AND('Straight Cutting'!I19&lt;&gt;"",'Mitred Cutting'!D19="Black"),'Straight Cutting'!I19,"")</f>
        <v/>
      </c>
      <c r="HE13" s="73" t="str">
        <f>IF(AND('Straight Cutting'!I19&lt;&gt;"",'Mitred Cutting'!D19="Brown"),'Straight Cutting'!I19,"")</f>
        <v/>
      </c>
      <c r="HF13" s="73" t="str">
        <f>IF(AND('Straight Cutting'!I19&lt;&gt;"",'Mitred Cutting'!D19="Deep Ocean"),'Straight Cutting'!I19,"")</f>
        <v/>
      </c>
      <c r="HG13" s="73" t="str">
        <f>IF(AND('Straight Cutting'!I19&lt;&gt;"",'Mitred Cutting'!D19="Jasper"),'Straight Cutting'!I19,"")</f>
        <v/>
      </c>
      <c r="HH13" s="73" t="str">
        <f>IF(AND('Straight Cutting'!I19&lt;&gt;"",'Mitred Cutting'!D19="Paperbark"),'Straight Cutting'!I19,"")</f>
        <v/>
      </c>
      <c r="HI13" s="73" t="str">
        <f>IF(AND('Straight Cutting'!I19&lt;&gt;"",'Mitred Cutting'!D19="Mist Green"),'Straight Cutting'!I19,"")</f>
        <v/>
      </c>
      <c r="HJ13" s="73" t="str">
        <f>IF(AND('Straight Cutting'!I19&lt;&gt;"",'Mitred Cutting'!D19="Primrose"),'Straight Cutting'!I19,"")</f>
        <v/>
      </c>
      <c r="HK13" s="73" t="str">
        <f>IF(AND('Straight Cutting'!I19&lt;&gt;"",'Mitred Cutting'!D19="Ultra Silver"),'Straight Cutting'!I19,"")</f>
        <v/>
      </c>
      <c r="HL13" s="73" t="str">
        <f>IF(AND('Straight Cutting'!I19&lt;&gt;"",'Mitred Cutting'!D19="Woodland Grey(Green Tone)"),'Straight Cutting'!I19,"")</f>
        <v/>
      </c>
      <c r="HM13" s="73" t="str">
        <f>IF(AND('Straight Cutting'!I19&lt;&gt;"",'Mitred Cutting'!D19="Pearl White"),'Straight Cutting'!I19,"")</f>
        <v/>
      </c>
      <c r="HN13" s="73" t="str">
        <f>IF(AND('Straight Cutting'!I19&lt;&gt;"",'Mitred Cutting'!D19="Monument"),'Straight Cutting'!I19,"")</f>
        <v/>
      </c>
      <c r="HO13" s="73" t="str">
        <f>IF(AND('Straight Cutting'!I19&lt;&gt;"",'Mitred Cutting'!D19="Surfmist"),'Straight Cutting'!I19,"")</f>
        <v/>
      </c>
      <c r="HP13" s="73" t="str">
        <f>IF(AND('Straight Cutting'!I19&lt;&gt;"",'Mitred Cutting'!D19="Dune"),'Straight Cutting'!I19,"")</f>
        <v/>
      </c>
      <c r="HR13" s="73" t="str">
        <f>IF(AND('Straight Cutting'!I19&lt;&gt;"",'Mitred Cutting'!D19="Powdercoat"),'Straight Cutting'!I19,"")</f>
        <v/>
      </c>
      <c r="HS13" s="73" t="str">
        <f>IF(AND('Mitred Cutting'!D19="APO Grey",'Job Sheet'!AQ19="T Mullion with Cutouts and 2 Lock Bolts"),'Straight Cutting'!J19,"")</f>
        <v/>
      </c>
      <c r="HT13" s="73" t="str">
        <f>IF(AND('Mitred Cutting'!D19="White Birch",'Job Sheet'!AQ19="T Mullion with Cutouts and 2 Lock Bolts"),'Straight Cutting'!J19,"")</f>
        <v/>
      </c>
      <c r="HU13" s="73" t="str">
        <f>IF(AND('Mitred Cutting'!D19="Black",'Job Sheet'!AQ19="T Mullion with Cutouts and 2 Lock Bolts"),'Straight Cutting'!J19,"")</f>
        <v/>
      </c>
      <c r="HV13" s="73" t="str">
        <f>IF(AND('Mitred Cutting'!D19="Brown",'Job Sheet'!AQ19="T Mullion with Cutouts and 2 Lock Bolts"),'Straight Cutting'!J19,"")</f>
        <v/>
      </c>
      <c r="HW13" s="73" t="str">
        <f>IF(AND('Mitred Cutting'!D19="Deep Ocean",'Job Sheet'!AQ19="T Mullion with Cutouts and 2 Lock Bolts"),'Straight Cutting'!J19,"")</f>
        <v/>
      </c>
      <c r="HX13" s="73" t="str">
        <f>IF(AND('Mitred Cutting'!D19="Jasper",'Job Sheet'!AQ19="T Mullion with Cutouts and 2 Lock Bolts"),'Straight Cutting'!J19,"")</f>
        <v/>
      </c>
      <c r="HY13" s="73" t="str">
        <f>IF(AND('Mitred Cutting'!D19="Paperbark",'Job Sheet'!AQ19="T Mullion with Cutouts and 2 Lock Bolts"),'Straight Cutting'!J19,"")</f>
        <v/>
      </c>
      <c r="HZ13" s="73" t="str">
        <f>IF(AND('Mitred Cutting'!D19="Mist Green",'Job Sheet'!AQ19="T Mullion with Cutouts and 2 Lock Bolts"),'Straight Cutting'!J19,"")</f>
        <v/>
      </c>
      <c r="IA13" s="73" t="str">
        <f>IF(AND('Mitred Cutting'!D19="Primrose",'Job Sheet'!AQ19="T Mullion with Cutouts and 2 Lock Bolts"),'Straight Cutting'!J19,"")</f>
        <v/>
      </c>
      <c r="IB13" s="73" t="str">
        <f>IF(AND('Mitred Cutting'!D19="Ultra Silver",'Job Sheet'!AQ19="T Mullion with Cutouts and 2 Lock Bolts"),'Straight Cutting'!J19,"")</f>
        <v/>
      </c>
      <c r="IC13" s="73" t="str">
        <f>IF(AND('Mitred Cutting'!D19="Woodland Grey(Green Tone)",'Job Sheet'!AQ19="T Mullion with Cutouts and 2 Lock Bolts"),'Straight Cutting'!J19,"")</f>
        <v/>
      </c>
      <c r="ID13" s="73" t="str">
        <f>IF(AND('Mitred Cutting'!D19="Pearl White",'Job Sheet'!AQ19="T Mullion with Cutouts and 2 Lock Bolts"),'Straight Cutting'!J19,"")</f>
        <v/>
      </c>
      <c r="IE13" s="73" t="str">
        <f>IF(AND('Mitred Cutting'!D19="Monument",'Job Sheet'!AQ19="T Mullion with Cutouts and 2 Lock Bolts"),'Straight Cutting'!J19,"")</f>
        <v/>
      </c>
      <c r="IF13" s="73" t="str">
        <f>IF(AND('Mitred Cutting'!D19="Surfmist",'Job Sheet'!AQ19="T Mullion with Cutouts and 2 Lock Bolts"),'Straight Cutting'!J19,"")</f>
        <v/>
      </c>
      <c r="IG13" s="73" t="str">
        <f>IF(AND('Mitred Cutting'!D19="Dune",'Job Sheet'!AQ19="T Mullion with Cutouts and 2 Lock Bolts"),'Straight Cutting'!J19,"")</f>
        <v/>
      </c>
      <c r="IH13" s="73" t="str">
        <f>IF(AND('Job Sheet'!Z19="Custom Powdercoat",'Job Sheet'!AQ19="T Mullion with Cutouts and 2 Lock Bolts"),'Straight Cutting'!J19,"")</f>
        <v/>
      </c>
      <c r="II13" s="73" t="str">
        <f>IF(AND('Mitred Cutting'!D19="Apo Grey",'Straight Cutting'!E19="Bug Strip Frame"),'Job Sheet'!BH19-2+'Job Sheet'!BI19-50,IF(AND('Mitred Cutting'!D19="Apo Grey",'Straight Cutting'!E19&lt;&gt;"Bug Strip Frame"),'Straight Cutting'!D19,""))</f>
        <v/>
      </c>
      <c r="IJ13" s="73" t="str">
        <f>IF(AND('Mitred Cutting'!D19="White Birch",'Straight Cutting'!E19="Bug Strip Frame"),'Job Sheet'!BH19-2+'Job Sheet'!BI19-50,IF(AND('Mitred Cutting'!D19="White Birch",'Straight Cutting'!E19&lt;&gt;"Bug Strip Frame"),'Straight Cutting'!D19,""))</f>
        <v/>
      </c>
      <c r="IK13" s="73" t="str">
        <f>IF(AND('Mitred Cutting'!D19="Black",'Straight Cutting'!E19="Bug Strip Frame"),'Job Sheet'!BH19-2+'Job Sheet'!BI19-50,IF(AND('Mitred Cutting'!D19="Black",'Straight Cutting'!E19&lt;&gt;"Bug Strip Frame"),'Straight Cutting'!D19,""))</f>
        <v/>
      </c>
      <c r="IL13" s="73" t="str">
        <f>IF(AND('Mitred Cutting'!D19="Brown",'Straight Cutting'!E19="Bug Strip Frame"),'Job Sheet'!BH19-2+'Job Sheet'!BI19-50,IF(AND('Mitred Cutting'!D19="Brown",'Straight Cutting'!E19&lt;&gt;"Bug Strip Frame"),'Straight Cutting'!D19,""))</f>
        <v/>
      </c>
      <c r="IM13" s="73" t="str">
        <f>IF(AND('Mitred Cutting'!D19="Deep Ocean",'Straight Cutting'!E19="Bug Strip Frame"),'Job Sheet'!BH19-2+'Job Sheet'!BI19-50,IF(AND('Mitred Cutting'!D19="Deep Ocean",'Straight Cutting'!E19&lt;&gt;"Bug Strip Frame"),'Straight Cutting'!D19,""))</f>
        <v/>
      </c>
      <c r="IN13" s="73" t="str">
        <f>IF(AND('Mitred Cutting'!D19="Jasper",'Straight Cutting'!E19="Bug Strip Frame"),'Job Sheet'!BH19-2+'Job Sheet'!BI19-50,IF(AND('Mitred Cutting'!D19="Jasper",'Straight Cutting'!E19&lt;&gt;"Bug Strip Frame"),'Straight Cutting'!D19,""))</f>
        <v/>
      </c>
      <c r="IO13" s="73" t="str">
        <f>IF(AND('Mitred Cutting'!D19="Paperbark",'Straight Cutting'!E19="Bug Strip Frame"),'Job Sheet'!BH19-2+'Job Sheet'!BI19-50,IF(AND('Mitred Cutting'!D19="Paperbark",'Straight Cutting'!E19&lt;&gt;"Bug Strip Frame"),'Straight Cutting'!D19,""))</f>
        <v/>
      </c>
      <c r="IP13" s="73" t="str">
        <f>IF(AND('Mitred Cutting'!D19="Mist Green",'Straight Cutting'!E19="Bug Strip Frame"),'Job Sheet'!BH19-2+'Job Sheet'!BI19-50,IF(AND('Mitred Cutting'!D19="Mist Green",'Straight Cutting'!E19&lt;&gt;"Bug Strip Frame"),'Straight Cutting'!D19,""))</f>
        <v/>
      </c>
      <c r="IQ13" s="73" t="str">
        <f>IF(AND('Mitred Cutting'!D19="Primrose",'Straight Cutting'!E19="Bug Strip Frame"),'Job Sheet'!BH19-2+'Job Sheet'!BI19-50,IF(AND('Mitred Cutting'!D19="Primrose",'Straight Cutting'!E19&lt;&gt;"Bug Strip Frame"),'Straight Cutting'!D19,""))</f>
        <v/>
      </c>
      <c r="IR13" s="73" t="str">
        <f>IF(AND('Mitred Cutting'!D19="Ultra Silver",'Straight Cutting'!E19="Bug Strip Frame"),'Job Sheet'!BH19-2+'Job Sheet'!BI19-50,IF(AND('Mitred Cutting'!D19="Ultra Silver",'Straight Cutting'!E19&lt;&gt;"Bug Strip Frame"),'Straight Cutting'!D19,""))</f>
        <v/>
      </c>
      <c r="IS13" s="73" t="str">
        <f>IF(AND('Mitred Cutting'!D19="Woodland Grey(Green Tone)",'Straight Cutting'!E19="Bug Strip Frame"),'Job Sheet'!BH19-2+'Job Sheet'!BI19-50,IF(AND('Mitred Cutting'!D19="Woodland Grey(Green Tone)",'Straight Cutting'!E19&lt;&gt;"Bug Strip Frame"),'Straight Cutting'!D19,""))</f>
        <v/>
      </c>
      <c r="IT13" s="73" t="str">
        <f>IF(AND('Mitred Cutting'!D19="Pearl White",'Straight Cutting'!E19="Bug Strip Frame"),'Job Sheet'!BH19-2+'Job Sheet'!BI19-50,IF(AND('Mitred Cutting'!D19="Pearl White",'Straight Cutting'!E19&lt;&gt;"Bug Strip Frame"),'Straight Cutting'!D19,""))</f>
        <v/>
      </c>
      <c r="IU13" s="73" t="str">
        <f>IF(AND('Mitred Cutting'!D19="Monument",'Straight Cutting'!E19="Bug Strip Frame"),'Job Sheet'!BH19-2+'Job Sheet'!BI19-50,IF(AND('Mitred Cutting'!D19="Monument",'Straight Cutting'!E19&lt;&gt;"Bug Strip Frame"),'Straight Cutting'!D19,""))</f>
        <v/>
      </c>
      <c r="IV13" s="73" t="str">
        <f>IF(AND('Mitred Cutting'!D19="Surfmist",'Straight Cutting'!E19="Bug Strip Frame"),'Job Sheet'!BH19-2+'Job Sheet'!BI19-50,IF(AND('Mitred Cutting'!D19="Surfmist",'Straight Cutting'!E19&lt;&gt;"Bug Strip Frame"),'Straight Cutting'!D19,""))</f>
        <v/>
      </c>
      <c r="IW13" s="73" t="str">
        <f>IF(AND('Mitred Cutting'!D19="Dune",'Straight Cutting'!E19="Bug Strip Frame"),'Job Sheet'!BH19-2+'Job Sheet'!BI19-50,IF(AND('Mitred Cutting'!D19="Dune",'Straight Cutting'!E19&lt;&gt;"Bug Strip Frame"),'Straight Cutting'!D19,""))</f>
        <v/>
      </c>
      <c r="IX13" s="73" t="str">
        <f>IF(AND('Job Sheet'!AA19="Woodland Grey (Dulux)",'Straight Cutting'!E19="Bug Strip Frame"),'Job Sheet'!BH19-2+'Job Sheet'!BI19-50,IF(AND('Job Sheet'!AA19="Woodland Grey (Dulux)",'Straight Cutting'!E19&lt;&gt;"Bug Strip Frame"),'Straight Cutting'!D19,""))</f>
        <v/>
      </c>
      <c r="IY13" s="73" t="str">
        <f>IF(AND('Job Sheet'!Z19="Custom Powdercoat",'Job Sheet'!AA19&lt;&gt;"Woodland Grey (Dulux)",'Straight Cutting'!E19="Bug Strip Frame"),'Job Sheet'!BH19-2+'Job Sheet'!BI19-50,IF(AND('Job Sheet'!Z19="Custom Powdercoat",'Job Sheet'!AA19&lt;&gt;"Woodland Grey (Dulux)",'Straight Cutting'!E19&lt;&gt;"Bug Strip Frame"),'Straight Cutting'!D19,""))</f>
        <v/>
      </c>
      <c r="IZ13" s="73" t="str">
        <f>IF(AND('Straight Cutting'!L19="U Channel",'Mitred Cutting'!D19="APO Grey"),'Straight Cutting'!L19,"")</f>
        <v/>
      </c>
      <c r="JA13" s="73" t="str">
        <f>IF(AND('Straight Cutting'!K19="U Channel",'Mitred Cutting'!D19="White Birch"),'Straight Cutting'!L19,"")</f>
        <v/>
      </c>
      <c r="JB13" s="73" t="str">
        <f>IF(AND('Straight Cutting'!K19="U Channel",'Mitred Cutting'!D19="Black"),'Straight Cutting'!L19,"")</f>
        <v/>
      </c>
      <c r="JC13" s="73" t="str">
        <f>IF(AND('Straight Cutting'!K19="U Channel",'Mitred Cutting'!D19="Brown"),'Straight Cutting'!L19,"")</f>
        <v/>
      </c>
      <c r="JD13" s="73" t="str">
        <f>IF(AND('Straight Cutting'!K19="U Channel",'Mitred Cutting'!D19="Deep Ocean"),'Straight Cutting'!L19,"")</f>
        <v/>
      </c>
      <c r="JE13" s="73" t="str">
        <f>IF(AND('Straight Cutting'!K19="U Channel",'Mitred Cutting'!D19="Jasper"),'Straight Cutting'!L19,"")</f>
        <v/>
      </c>
      <c r="JF13" s="73" t="str">
        <f>IF(AND('Straight Cutting'!K19="U Channel",'Mitred Cutting'!D19="Paperbark"),'Straight Cutting'!L19,"")</f>
        <v/>
      </c>
      <c r="JG13" s="73" t="str">
        <f>IF(AND('Straight Cutting'!K19="U Channel",'Mitred Cutting'!D19="Mist Green"),'Straight Cutting'!L19,"")</f>
        <v/>
      </c>
      <c r="JH13" s="73" t="str">
        <f>IF(AND('Straight Cutting'!K19="U Channel",'Mitred Cutting'!D19="Primrose"),'Straight Cutting'!L19,"")</f>
        <v/>
      </c>
      <c r="JI13" s="73" t="str">
        <f>IF(AND('Straight Cutting'!K19="U Channel",'Mitred Cutting'!D19="Ultra Silver"),'Straight Cutting'!L19,"")</f>
        <v/>
      </c>
      <c r="JJ13" s="73" t="str">
        <f>IF(AND('Straight Cutting'!K19="U Channel",'Mitred Cutting'!D19="Woodland Grey(Green Tone)"),'Straight Cutting'!L19,"")</f>
        <v/>
      </c>
      <c r="JK13" s="73" t="str">
        <f>IF(AND('Straight Cutting'!K19="U Channel",'Mitred Cutting'!D19="Pearl White"),'Straight Cutting'!L19,"")</f>
        <v/>
      </c>
      <c r="JL13" s="73" t="str">
        <f>IF(AND('Straight Cutting'!K19="U Channel",'Mitred Cutting'!D19="Monument"),'Straight Cutting'!L19,"")</f>
        <v/>
      </c>
      <c r="JM13" s="73" t="str">
        <f>IF(AND('Straight Cutting'!K19="U Channel",'Mitred Cutting'!D19="Surfmist"),'Straight Cutting'!L19,"")</f>
        <v/>
      </c>
      <c r="JN13" s="73" t="str">
        <f>IF(AND('Straight Cutting'!K19="U Channel",'Mitred Cutting'!D19="Dune"),'Straight Cutting'!L19,"")</f>
        <v/>
      </c>
      <c r="JO13" s="73" t="str">
        <f>IF(AND('Straight Cutting'!K19="U Channel",'Job Sheet'!Z19="Custom Powdercoat"),'Straight Cutting'!L19,"")</f>
        <v/>
      </c>
      <c r="JP13" s="73" t="str">
        <f>IF(AND('Straight Cutting'!K19="U Channel with Pip",'Mitred Cutting'!D19="APO Grey"),'Straight Cutting'!L19,"")</f>
        <v/>
      </c>
      <c r="JQ13" s="73" t="str">
        <f>IF(AND('Straight Cutting'!K19="U Channel with Pip",'Mitred Cutting'!D19="White Birch"),'Straight Cutting'!L19,"")</f>
        <v/>
      </c>
      <c r="JR13" s="73" t="str">
        <f>IF(AND('Straight Cutting'!K19="U Channel with Pip",'Mitred Cutting'!D19="Black"),'Straight Cutting'!L19,"")</f>
        <v/>
      </c>
      <c r="JS13" s="73" t="str">
        <f>IF(AND('Straight Cutting'!K19="U Channel with Pip",'Mitred Cutting'!D19="Brown"),'Straight Cutting'!L19,"")</f>
        <v/>
      </c>
      <c r="JT13" s="73" t="str">
        <f>IF(AND('Straight Cutting'!K19="U Channel with Pip",'Mitred Cutting'!D19="Deep Ocean"),'Straight Cutting'!L19,"")</f>
        <v/>
      </c>
      <c r="JU13" s="73" t="str">
        <f>IF(AND('Straight Cutting'!K19="U Channel with Pip",'Mitred Cutting'!D19="Jasper"),'Straight Cutting'!L19,"")</f>
        <v/>
      </c>
      <c r="JV13" s="73" t="str">
        <f>IF(AND('Straight Cutting'!K19="U Channel with Pip",'Mitred Cutting'!D19="Paperbark"),'Straight Cutting'!L19,"")</f>
        <v/>
      </c>
      <c r="JW13" s="73" t="str">
        <f>IF(AND('Straight Cutting'!K19="U Channel with Pip",'Mitred Cutting'!D19="Mist Green"),'Straight Cutting'!L19,"")</f>
        <v/>
      </c>
      <c r="JX13" s="73" t="str">
        <f>IF(AND('Straight Cutting'!K19="U Channel with Pip",'Mitred Cutting'!D19="Primrose"),'Straight Cutting'!L19,"")</f>
        <v/>
      </c>
      <c r="JY13" s="73" t="str">
        <f>IF(AND('Straight Cutting'!K19="U Channel with Pip",'Mitred Cutting'!D19="Ultra Silver"),'Straight Cutting'!L19,"")</f>
        <v/>
      </c>
      <c r="JZ13" s="73" t="str">
        <f>IF(AND('Straight Cutting'!K19="U Channel with Pip",'Mitred Cutting'!D19="Woodland Grey(Green Tone)"),'Straight Cutting'!L19,"")</f>
        <v/>
      </c>
      <c r="KA13" s="73" t="str">
        <f>IF(AND('Straight Cutting'!K19="U Channel with Pip",'Mitred Cutting'!D19="Pearl White"),'Straight Cutting'!L19,"")</f>
        <v/>
      </c>
      <c r="KB13" s="73" t="str">
        <f>IF(AND('Straight Cutting'!K19="U Channel with Pip",'Mitred Cutting'!D19="Monument"),'Straight Cutting'!L19,"")</f>
        <v/>
      </c>
      <c r="KC13" s="73" t="str">
        <f>IF(AND('Straight Cutting'!K19="U Channel with Pip",'Mitred Cutting'!D19="Surfmist"),'Straight Cutting'!L19,"")</f>
        <v/>
      </c>
      <c r="KD13" s="73" t="str">
        <f>IF(AND('Straight Cutting'!K19="U Channel with Pip",'Mitred Cutting'!D19="Dune"),'Straight Cutting'!L19,"")</f>
        <v/>
      </c>
      <c r="KE13" s="73" t="str">
        <f>IF(AND('Straight Cutting'!K19="U Channel with Pip",'Job Sheet'!Z19="Custom Powdercoat"),'Straight Cutting'!L19,"")</f>
        <v/>
      </c>
      <c r="KF13" s="73" t="str">
        <f>IF(AND('Mitred Cutting'!D19="APO Grey",(OR('Straight Cutting'!M19="Bottom Fix Bottom Track",'Straight Cutting'!M19="U Channel &amp; Bottom Fix Bottom Track"))),'Straight Cutting'!N19,"")</f>
        <v/>
      </c>
      <c r="KG13" s="73" t="str">
        <f>IF(AND('Mitred Cutting'!D19="White Birch",(OR('Straight Cutting'!M19="Bottom Fix Bottom Track",'Straight Cutting'!M19="U Channel &amp; Bottom Fix Bottom Track"))),'Straight Cutting'!N19,"")</f>
        <v/>
      </c>
      <c r="KH13" s="73" t="str">
        <f>IF(AND('Mitred Cutting'!D19="Black",(OR('Straight Cutting'!M19="Bottom Fix Bottom Track",'Straight Cutting'!M19="U Channel &amp; Bottom Fix Bottom Track"))),'Straight Cutting'!N19,"")</f>
        <v/>
      </c>
      <c r="KI13" s="73" t="str">
        <f>IF(AND('Mitred Cutting'!D19="Brown",(OR('Straight Cutting'!M19="Bottom Fix Bottom Track",'Straight Cutting'!M19="U Channel &amp; Bottom Fix Bottom Track"))),'Straight Cutting'!N19,"")</f>
        <v/>
      </c>
      <c r="KJ13" s="73" t="str">
        <f>IF(AND('Mitred Cutting'!D19="Deep Ocean",(OR('Straight Cutting'!M19="Bottom Fix Bottom Track",'Straight Cutting'!M19="U Channel &amp; Bottom Fix Bottom Track"))),'Straight Cutting'!N19,"")</f>
        <v/>
      </c>
      <c r="KK13" s="73" t="str">
        <f>IF(AND('Mitred Cutting'!D19="Jasper",(OR('Straight Cutting'!M19="Bottom Fix Bottom Track",'Straight Cutting'!M19="U Channel &amp; Bottom Fix Bottom Track"))),'Straight Cutting'!N19,"")</f>
        <v/>
      </c>
      <c r="KL13" s="73" t="str">
        <f>IF(AND('Mitred Cutting'!D19="Paperbark",(OR('Straight Cutting'!M19="Bottom Fix Bottom Track",'Straight Cutting'!M19="U Channel &amp; Bottom Fix Bottom Track"))),'Straight Cutting'!N19,"")</f>
        <v/>
      </c>
      <c r="KM13" s="73" t="str">
        <f>IF(AND('Mitred Cutting'!D19="Mist Green",(OR('Straight Cutting'!M19="Bottom Fix Bottom Track",'Straight Cutting'!M19="U Channel &amp; Bottom Fix Bottom Track"))),'Straight Cutting'!N19,"")</f>
        <v/>
      </c>
      <c r="KN13" s="73" t="str">
        <f>IF(AND('Mitred Cutting'!D19="Primrose",(OR('Straight Cutting'!M19="Bottom Fix Bottom Track",'Straight Cutting'!M19="U Channel &amp; Bottom Fix Bottom Track"))),'Straight Cutting'!N19,"")</f>
        <v/>
      </c>
      <c r="KO13" s="73" t="str">
        <f>IF(AND('Mitred Cutting'!D19="Ultra Silver",(OR('Straight Cutting'!M19="Bottom Fix Bottom Track",'Straight Cutting'!M19="U Channel &amp; Bottom Fix Bottom Track"))),'Straight Cutting'!N19,"")</f>
        <v/>
      </c>
      <c r="KP13" s="73" t="str">
        <f>IF(AND('Mitred Cutting'!D19="Woodland Grey(Green Tone)",(OR('Straight Cutting'!M19="Bottom Fix Bottom Track",'Straight Cutting'!M19="U Channel &amp; Bottom Fix Bottom Track"))),'Straight Cutting'!N19,"")</f>
        <v/>
      </c>
      <c r="KQ13" s="73" t="str">
        <f>IF(AND('Mitred Cutting'!D19="Pearl White",(OR('Straight Cutting'!M19="Bottom Fix Bottom Track",'Straight Cutting'!M19="U Channel &amp; Bottom Fix Bottom Track"))),'Straight Cutting'!N19,"")</f>
        <v/>
      </c>
      <c r="KR13" s="73" t="str">
        <f>IF(AND('Mitred Cutting'!D19="Monument",(OR('Straight Cutting'!M19="Bottom Fix Bottom Track",'Straight Cutting'!M19="U Channel &amp; Bottom Fix Bottom Track"))),'Straight Cutting'!N19,"")</f>
        <v/>
      </c>
      <c r="KS13" s="73" t="str">
        <f>IF(AND('Mitred Cutting'!D19="Surfmist",(OR('Straight Cutting'!M19="Bottom Fix Bottom Track",'Straight Cutting'!M19="U Channel &amp; Bottom Fix Bottom Track"))),'Straight Cutting'!N19,"")</f>
        <v/>
      </c>
      <c r="KT13" s="73" t="str">
        <f>IF(AND('Mitred Cutting'!D19="Dune",(OR('Straight Cutting'!M19="Bottom Fix Bottom Track",'Straight Cutting'!M19="U Channel &amp; Bottom Fix Bottom Track"))),'Straight Cutting'!N19,"")</f>
        <v/>
      </c>
      <c r="KU13" s="73" t="str">
        <f>IF(AND('Job Sheet'!Z19="Custom Powdercoat",(OR('Straight Cutting'!M19="Bottom Fix Bottom Track",'Straight Cutting'!M19="U Channel &amp; Bottom Fix Bottom Track"))),'Straight Cutting'!N19,"")</f>
        <v/>
      </c>
      <c r="KV13" s="73" t="str">
        <f>IF(AND('Mitred Cutting'!D19="APO Grey",(OR('Straight Cutting'!M19="Face Fix Bottom Track",'Straight Cutting'!M19="U Channel &amp; Face Fix Bottom Track"))),'Straight Cutting'!N19,"")</f>
        <v/>
      </c>
      <c r="KW13" s="73" t="str">
        <f>IF(AND('Mitred Cutting'!D19="White Birch",(OR('Straight Cutting'!M19="Face Fix Bottom Track",'Straight Cutting'!M19="U Channel &amp; Face Fix Bottom Track"))),'Straight Cutting'!N19,"")</f>
        <v/>
      </c>
      <c r="KX13" s="73" t="str">
        <f>IF(AND('Mitred Cutting'!D19="Black",(OR('Straight Cutting'!M19="Face Fix Bottom Track",'Straight Cutting'!M19="U Channel &amp; Face Fix Bottom Track"))),'Straight Cutting'!N19,"")</f>
        <v/>
      </c>
      <c r="KY13" s="73" t="str">
        <f>IF(AND('Mitred Cutting'!D19="Brown",(OR('Straight Cutting'!M19="Face Fix Bottom Track",'Straight Cutting'!M19="U Channel &amp; Face Fix Bottom Track"))),'Straight Cutting'!N19,"")</f>
        <v/>
      </c>
      <c r="KZ13" s="73" t="str">
        <f>IF(AND('Mitred Cutting'!D19="Deep Ocean",(OR('Straight Cutting'!M19="Face Fix Bottom Track",'Straight Cutting'!M19="U Channel &amp; Face Fix Bottom Track"))),'Straight Cutting'!N19,"")</f>
        <v/>
      </c>
      <c r="LA13" s="73" t="str">
        <f>IF(AND('Mitred Cutting'!D19="Jasper",(OR('Straight Cutting'!M19="Face Fix Bottom Track",'Straight Cutting'!M19="U Channel &amp; Face Fix Bottom Track"))),'Straight Cutting'!N19,"")</f>
        <v/>
      </c>
      <c r="LB13" s="73" t="str">
        <f>IF(AND('Mitred Cutting'!D19="Paperbark",(OR('Straight Cutting'!M19="Face Fix Bottom Track",'Straight Cutting'!M19="U Channel &amp; Face Fix Bottom Track"))),'Straight Cutting'!N19,"")</f>
        <v/>
      </c>
      <c r="LC13" s="73" t="str">
        <f>IF(AND('Mitred Cutting'!D19="Mist Green",(OR('Straight Cutting'!M19="Face Fix Bottom Track",'Straight Cutting'!M19="U Channel &amp; Face Fix Bottom Track"))),'Straight Cutting'!N19,"")</f>
        <v/>
      </c>
      <c r="LD13" s="73" t="str">
        <f>IF(AND('Mitred Cutting'!D19="Primrose",(OR('Straight Cutting'!M19="Face Fix Bottom Track",'Straight Cutting'!M19="U Channel &amp; Face Fix Bottom Track"))),'Straight Cutting'!N19,"")</f>
        <v/>
      </c>
      <c r="LE13" s="73" t="str">
        <f>IF(AND('Mitred Cutting'!D19="Ultra Silver",(OR('Straight Cutting'!M19="Face Fix Bottom Track",'Straight Cutting'!M19="U Channel &amp; Face Fix Bottom Track"))),'Straight Cutting'!N19,"")</f>
        <v/>
      </c>
      <c r="LF13" s="73" t="str">
        <f>IF(AND('Mitred Cutting'!D19="Woodland Grey(Green Tone)",(OR('Straight Cutting'!M19="Face Fix Bottom Track",'Straight Cutting'!M19="U Channel &amp; Face Fix Bottom Track"))),'Straight Cutting'!N19,"")</f>
        <v/>
      </c>
      <c r="LG13" s="73" t="str">
        <f>IF(AND('Mitred Cutting'!D19="Pearl White",(OR('Straight Cutting'!M19="Face Fix Bottom Track",'Straight Cutting'!M19="U Channel &amp; Face Fix Bottom Track"))),'Straight Cutting'!N19,"")</f>
        <v/>
      </c>
      <c r="LH13" s="73" t="str">
        <f>IF(AND('Mitred Cutting'!D19="Monument",(OR('Straight Cutting'!M19="Face Fix Bottom Track",'Straight Cutting'!M19="U Channel &amp; Face Fix Bottom Track"))),'Straight Cutting'!N19,"")</f>
        <v/>
      </c>
      <c r="LI13" s="73" t="str">
        <f>IF(AND('Mitred Cutting'!D19="Surfmist",(OR('Straight Cutting'!M19="Face Fix Bottom Track",'Straight Cutting'!M19="U Channel &amp; Face Fix Bottom Track"))),'Straight Cutting'!N19,"")</f>
        <v/>
      </c>
      <c r="LJ13" s="73" t="str">
        <f>IF(AND('Mitred Cutting'!D19="Dune",(OR('Straight Cutting'!M19="Face Fix Bottom Track",'Straight Cutting'!M19="U Channel &amp; Face Fix Bottom Track"))),'Straight Cutting'!N19,"")</f>
        <v/>
      </c>
      <c r="LK13" s="73" t="str">
        <f>IF(AND('Job Sheet'!Z19="Custom Powdercoat",(OR('Straight Cutting'!M19="Face Fix Bottom Track",'Straight Cutting'!M19="U Channel &amp; Face Fix Bottom Track"))),'Straight Cutting'!N19,"")</f>
        <v/>
      </c>
      <c r="LL13" s="73" t="str">
        <f>IF(AND('Straight Cutting'!H19&lt;&gt;"",'Mitred Cutting'!D19="APO Grey"),'Straight Cutting'!H19/4300,"")</f>
        <v/>
      </c>
      <c r="LM13" s="73" t="str">
        <f>IF(AND('Straight Cutting'!H19&lt;&gt;"",'Mitred Cutting'!D19="White Birch"),'Straight Cutting'!H19,"")</f>
        <v/>
      </c>
      <c r="LN13" s="73" t="str">
        <f>IF(AND('Straight Cutting'!H19&lt;&gt;"",'Mitred Cutting'!D19="Black"),'Straight Cutting'!H19,"")</f>
        <v/>
      </c>
      <c r="LO13" s="73" t="str">
        <f>IF(AND('Straight Cutting'!H19&lt;&gt;"",'Mitred Cutting'!D19="Brown"),'Straight Cutting'!H19,"")</f>
        <v/>
      </c>
      <c r="LP13" s="73" t="str">
        <f>IF(AND('Straight Cutting'!H19&lt;&gt;"",'Mitred Cutting'!D19="Deep Ocean"),'Straight Cutting'!H19,"")</f>
        <v/>
      </c>
      <c r="LQ13" s="73" t="str">
        <f>IF(AND('Straight Cutting'!H19&lt;&gt;"",'Mitred Cutting'!D19="Jasper"),'Straight Cutting'!H19,"")</f>
        <v/>
      </c>
      <c r="LR13" s="73" t="str">
        <f>IF(AND('Straight Cutting'!H19&lt;&gt;"",'Mitred Cutting'!D19="Paperbark"),'Straight Cutting'!H19,"")</f>
        <v/>
      </c>
      <c r="LS13" s="73" t="str">
        <f>IF(AND('Straight Cutting'!H19&lt;&gt;"",'Mitred Cutting'!D19="Mist Green"),'Straight Cutting'!H19,"")</f>
        <v/>
      </c>
      <c r="LT13" s="73" t="str">
        <f>IF(AND('Straight Cutting'!H19&lt;&gt;"",'Mitred Cutting'!D19="Primrose"),'Straight Cutting'!H19,"")</f>
        <v/>
      </c>
      <c r="LU13" s="73" t="str">
        <f>IF(AND('Straight Cutting'!H19&lt;&gt;"",'Mitred Cutting'!D19="Ultra Silver"),'Straight Cutting'!H19,"")</f>
        <v/>
      </c>
      <c r="LV13" s="73" t="str">
        <f>IF(AND('Straight Cutting'!H19&lt;&gt;"",'Mitred Cutting'!D19="Woodland Grey(Green Tone)"),'Straight Cutting'!H19,"")</f>
        <v/>
      </c>
      <c r="LW13" s="73" t="str">
        <f>IF(AND('Straight Cutting'!H19&lt;&gt;"",'Mitred Cutting'!D19="Pearl White"),'Straight Cutting'!H19,"")</f>
        <v/>
      </c>
      <c r="LX13" s="73" t="str">
        <f>IF(AND('Straight Cutting'!H19&lt;&gt;"",'Mitred Cutting'!D19="Monument"),'Straight Cutting'!H19,"")</f>
        <v/>
      </c>
      <c r="LY13" s="73" t="str">
        <f>IF(AND('Straight Cutting'!H19&lt;&gt;"",'Mitred Cutting'!D19="Surfmist"),'Straight Cutting'!H19,"")</f>
        <v/>
      </c>
      <c r="LZ13" s="73" t="str">
        <f>IF(AND('Straight Cutting'!H19&lt;&gt;"",'Mitred Cutting'!D19="Dune"),'Straight Cutting'!H19,"")</f>
        <v/>
      </c>
      <c r="MA13" s="73" t="str">
        <f>IF(AND('Straight Cutting'!H19&lt;&gt;"",'Job Sheet'!Z19="Custom Powdercoat"),'Straight Cutting'!H19,"")</f>
        <v/>
      </c>
      <c r="MB13" s="73" t="str">
        <f>IF(AND('Mitred Cutting'!D19="APO Grey",OR('Straight Cutting'!M19="H Shaped Bottom Track",'Straight Cutting'!M19="U Channel &amp; H Shaped Bottom Track")),'Straight Cutting'!N19,"")</f>
        <v/>
      </c>
      <c r="MC13" s="73" t="str">
        <f>IF(AND('Mitred Cutting'!D19="Birch White",OR('Straight Cutting'!M19="H Shaped Bottom Track",'Straight Cutting'!M19="U Channel &amp; H Shaped Bottom Track")),'Straight Cutting'!N19,"")</f>
        <v/>
      </c>
      <c r="MD13" s="73" t="str">
        <f>IF(AND('Mitred Cutting'!D19="Black",OR('Straight Cutting'!M19="H Shaped Bottom Track",'Straight Cutting'!M19="U Channel &amp; H Shaped Bottom Track")),'Straight Cutting'!N19,"")</f>
        <v/>
      </c>
      <c r="ME13" s="73" t="str">
        <f>IF(AND('Mitred Cutting'!D19="Brown",OR('Straight Cutting'!M19="H Shaped Bottom Track",'Straight Cutting'!M19="U Channel &amp; H Shaped Bottom Track")),'Straight Cutting'!N19,"")</f>
        <v/>
      </c>
      <c r="MF13" s="73" t="str">
        <f>IF(AND('Mitred Cutting'!D19="Deep Ocean",OR('Straight Cutting'!M19="H Shaped Bottom Track",'Straight Cutting'!M19="U Channel &amp; H Shaped Bottom Track")),'Straight Cutting'!N19,"")</f>
        <v/>
      </c>
      <c r="MG13" s="73" t="str">
        <f>IF(AND('Mitred Cutting'!D19="Jasper",OR('Straight Cutting'!M19="H Shaped Bottom Track",'Straight Cutting'!M19="U Channel &amp; H Shaped Bottom Track")),'Straight Cutting'!N19,"")</f>
        <v/>
      </c>
      <c r="MH13" s="73" t="str">
        <f>IF(AND('Mitred Cutting'!D19="Paperbark",OR('Straight Cutting'!M19="H Shaped Bottom Track",'Straight Cutting'!M19="U Channel &amp; H Shaped Bottom Track")),'Straight Cutting'!N19,"")</f>
        <v/>
      </c>
      <c r="MI13" s="73" t="str">
        <f>IF(AND('Mitred Cutting'!D19="Mist Green",OR('Straight Cutting'!M19="H Shaped Bottom Track",'Straight Cutting'!M19="U Channel &amp; H Shaped Bottom Track")),'Straight Cutting'!N19,"")</f>
        <v/>
      </c>
      <c r="MJ13" s="73" t="str">
        <f>IF(AND('Mitred Cutting'!D19="Primrose",OR('Straight Cutting'!M19="H Shaped Bottom Track",'Straight Cutting'!M19="U Channel &amp; H Shaped Bottom Track")),'Straight Cutting'!N19,"")</f>
        <v/>
      </c>
      <c r="MK13" s="73" t="str">
        <f>IF(AND('Mitred Cutting'!D19="Ultra Silver",OR('Straight Cutting'!M19="H Shaped Bottom Track",'Straight Cutting'!M19="U Channel &amp; H Shaped Bottom Track")),'Straight Cutting'!N19,"")</f>
        <v/>
      </c>
      <c r="ML13" s="73" t="str">
        <f>IF(AND('Mitred Cutting'!D19="Woodland Grey(Green Tone)",OR('Straight Cutting'!M19="H Shaped Bottom Track",'Straight Cutting'!M19="U Channel &amp; H Shaped Bottom Track")),'Straight Cutting'!N19,"")</f>
        <v/>
      </c>
      <c r="MM13" s="73" t="str">
        <f>IF(AND('Mitred Cutting'!D19="Pearl White",OR('Straight Cutting'!M19="H Shaped Bottom Track",'Straight Cutting'!M19="U Channel &amp; H Shaped Bottom Track")),'Straight Cutting'!N19,"")</f>
        <v/>
      </c>
      <c r="MN13" s="73" t="str">
        <f>IF(AND('Mitred Cutting'!D19="Monument",OR('Straight Cutting'!M19="H Shaped Bottom Track",'Straight Cutting'!M19="U Channel &amp; H Shaped Bottom Track")),'Straight Cutting'!N19,"")</f>
        <v/>
      </c>
      <c r="MO13" s="73" t="str">
        <f>IF(AND('Mitred Cutting'!D19="Surfmist",OR('Straight Cutting'!M19="H Shaped Bottom Track",'Straight Cutting'!M19="U Channel &amp; H Shaped Bottom Track")),'Straight Cutting'!N19,"")</f>
        <v/>
      </c>
      <c r="MP13" s="73" t="str">
        <f>IF(AND('Mitred Cutting'!D19="Dune",OR('Straight Cutting'!M19="H Shaped Bottom Track",'Straight Cutting'!M19="U Channel &amp; H Shaped Bottom Track")),'Straight Cutting'!N19,"")</f>
        <v/>
      </c>
      <c r="MQ13" s="73" t="str">
        <f>IF(AND('Job Sheet'!Z19="Custom Powdercoat",OR('Straight Cutting'!M19="H Shaped Bottom Track",'Straight Cutting'!M19="U Channel &amp; H Shaped Bottom Track")),'Straight Cutting'!N19,"")</f>
        <v/>
      </c>
      <c r="MR13" s="73" t="str">
        <f>IF(AND('Straight Cutting'!P19="APO Grey",(OR('Job Sheet'!AI19="Yes",'Job Sheet'!AI19="Yes - Centre"))),'Straight Cutting'!Q19,"")</f>
        <v/>
      </c>
      <c r="MS13" s="73" t="str">
        <f>IF(AND('Straight Cutting'!P19="White Birch",(OR('Job Sheet'!AI19="Yes",'Job Sheet'!AI19="Yes - Centre"))),'Straight Cutting'!Q19,"")</f>
        <v/>
      </c>
      <c r="MT13" s="73" t="str">
        <f>IF(AND('Straight Cutting'!P19="Black",(OR('Job Sheet'!AI19="Yes",'Job Sheet'!AI19="Yes - Centre"))),'Straight Cutting'!Q19,"")</f>
        <v/>
      </c>
      <c r="MU13" s="73" t="str">
        <f>IF(AND('Straight Cutting'!P19="Brown",(OR('Job Sheet'!AI19="Yes",'Job Sheet'!AI19="Yes - Centre"))),'Straight Cutting'!Q19,"")</f>
        <v/>
      </c>
      <c r="MV13" s="73" t="str">
        <f>IF(AND('Straight Cutting'!P19="Deep Ocean",(OR('Job Sheet'!AI19="Yes",'Job Sheet'!AI19="Yes - Centre"))),'Straight Cutting'!Q19,"")</f>
        <v/>
      </c>
      <c r="MW13" s="73" t="str">
        <f>IF(AND('Straight Cutting'!P19="Jasper",(OR('Job Sheet'!AI19="Yes",'Job Sheet'!AI19="Yes - Centre"))),'Straight Cutting'!Q19,"")</f>
        <v/>
      </c>
      <c r="MX13" s="73" t="str">
        <f>IF(AND('Straight Cutting'!P19="Paperbark",(OR('Job Sheet'!AI19="Yes",'Job Sheet'!AI19="Yes - Centre"))),'Straight Cutting'!Q19,"")</f>
        <v/>
      </c>
      <c r="MY13" s="73" t="str">
        <f>IF(AND('Straight Cutting'!P19="Mist Green",(OR('Job Sheet'!AI19="Yes",'Job Sheet'!AI19="Yes - Centre"))),'Straight Cutting'!Q19,"")</f>
        <v/>
      </c>
      <c r="MZ13" s="73" t="str">
        <f>IF(AND('Straight Cutting'!P19="Primrose",(OR('Job Sheet'!AI19="Yes",'Job Sheet'!AI19="Yes - Centre"))),'Straight Cutting'!Q19,"")</f>
        <v/>
      </c>
      <c r="NA13" s="73" t="str">
        <f>IF(AND('Straight Cutting'!P19="Ultra Silver",(OR('Job Sheet'!AI19="Yes",'Job Sheet'!AI19="Yes - Centre"))),'Straight Cutting'!Q19,"")</f>
        <v/>
      </c>
      <c r="NB13" s="73" t="str">
        <f>IF(AND('Straight Cutting'!P19="Woodland Grey(Green Tone)",(OR('Job Sheet'!AI19="Yes",'Job Sheet'!AI19="Yes - Centre"))),'Straight Cutting'!Q19,"")</f>
        <v/>
      </c>
      <c r="NC13" s="73" t="str">
        <f>IF(AND('Straight Cutting'!P19="Pearl White",(OR('Job Sheet'!AI19="Yes",'Job Sheet'!AI19="Yes - Centre"))),'Straight Cutting'!Q19,"")</f>
        <v/>
      </c>
      <c r="ND13" s="73" t="str">
        <f>IF(AND('Straight Cutting'!P19="Monument",(OR('Job Sheet'!AI19="Yes",'Job Sheet'!AI19="Yes - Centre"))),'Straight Cutting'!Q19,"")</f>
        <v/>
      </c>
      <c r="NE13" s="73" t="str">
        <f>IF(AND('Straight Cutting'!P19="Surfmist",(OR('Job Sheet'!AI19="Yes",'Job Sheet'!AI19="Yes - Centre"))),'Straight Cutting'!Q19,"")</f>
        <v/>
      </c>
      <c r="NF13" s="73" t="str">
        <f>IF(AND('Straight Cutting'!P19="Dune",(OR('Job Sheet'!AI19="Yes",'Job Sheet'!AI19="Yes - Centre"))),'Straight Cutting'!Q19,"")</f>
        <v/>
      </c>
      <c r="NH13" s="73" t="str">
        <f>IF(AND('Straight Cutting'!P19="APO Grey",(OR('Job Sheet'!AI19="Yes",'Job Sheet'!AI19="Yes - Centre"))),'Straight Cutting'!R19,"")</f>
        <v/>
      </c>
      <c r="NI13" s="73" t="str">
        <f>IF(AND('Straight Cutting'!P19="White Birch",(OR('Job Sheet'!AI19="Yes",'Job Sheet'!AI19="Yes - Centre"))),'Straight Cutting'!R19,"")</f>
        <v/>
      </c>
      <c r="NJ13" s="73" t="str">
        <f>IF(AND('Straight Cutting'!P19="Black",(OR('Job Sheet'!AI19="Yes",'Job Sheet'!AI19="Yes - Centre"))),'Straight Cutting'!R19,"")</f>
        <v/>
      </c>
      <c r="NK13" s="73" t="str">
        <f>IF(AND('Straight Cutting'!P19="Brown",(OR('Job Sheet'!AI19="Yes",'Job Sheet'!AI19="Yes - Centre"))),'Straight Cutting'!R19,"")</f>
        <v/>
      </c>
      <c r="NL13" s="73" t="str">
        <f>IF(AND('Straight Cutting'!P19="Deep Ocean",(OR('Job Sheet'!AI19="Yes",'Job Sheet'!AI19="Yes - Centre"))),'Straight Cutting'!R19,"")</f>
        <v/>
      </c>
      <c r="NM13" s="73" t="str">
        <f>IF(AND('Straight Cutting'!P19="Jasper",(OR('Job Sheet'!AI19="Yes",'Job Sheet'!AI19="Yes - Centre"))),'Straight Cutting'!R19,"")</f>
        <v/>
      </c>
      <c r="NN13" s="73" t="str">
        <f>IF(AND('Straight Cutting'!P19="Paperbark",(OR('Job Sheet'!AI19="Yes",'Job Sheet'!AI19="Yes - Centre"))),'Straight Cutting'!R19,"")</f>
        <v/>
      </c>
      <c r="NO13" s="73" t="str">
        <f>IF(AND('Straight Cutting'!P19="Mist Green",(OR('Job Sheet'!AI19="Yes",'Job Sheet'!AI19="Yes - Centre"))),'Straight Cutting'!R19,"")</f>
        <v/>
      </c>
      <c r="NP13" s="73" t="str">
        <f>IF(AND('Straight Cutting'!P19="Primrose",(OR('Job Sheet'!AI19="Yes",'Job Sheet'!AI19="Yes - Centre"))),'Straight Cutting'!R19,"")</f>
        <v/>
      </c>
      <c r="NQ13" s="73" t="str">
        <f>IF(AND('Straight Cutting'!P19="Ultra Silver",(OR('Job Sheet'!AI19="Yes",'Job Sheet'!AI19="Yes - Centre"))),'Straight Cutting'!R19,"")</f>
        <v/>
      </c>
      <c r="NR13" s="73" t="str">
        <f>IF(AND('Straight Cutting'!P19="Woodland Grey(Green Tone)",(OR('Job Sheet'!AI19="Yes",'Job Sheet'!AI19="Yes - Centre"))),'Straight Cutting'!R19,"")</f>
        <v/>
      </c>
      <c r="NS13" s="73" t="str">
        <f>IF(AND('Straight Cutting'!P19="Pearl White",(OR('Job Sheet'!AI19="Yes",'Job Sheet'!AI19="Yes - Centre"))),'Straight Cutting'!R19,"")</f>
        <v/>
      </c>
      <c r="NT13" s="73" t="str">
        <f>IF(AND('Straight Cutting'!P19="Monument",(OR('Job Sheet'!AI19="Yes",'Job Sheet'!AI19="Yes - Centre"))),'Straight Cutting'!R19,"")</f>
        <v/>
      </c>
      <c r="NU13" s="73" t="str">
        <f>IF(AND('Straight Cutting'!P19="Surfmist",(OR('Job Sheet'!AI19="Yes",'Job Sheet'!AI19="Yes - Centre"))),'Straight Cutting'!R19,"")</f>
        <v/>
      </c>
      <c r="NV13" s="73" t="str">
        <f>IF(AND('Straight Cutting'!P19="Dune",(OR('Job Sheet'!AI19="Yes",'Job Sheet'!AI19="Yes - Centre"))),'Straight Cutting'!R19,"")</f>
        <v/>
      </c>
      <c r="ON13" s="73" t="str">
        <f>IF(Data!AW19="","",IF(VLOOKUP(CONCATENATE(Data!BO19,'Job Sheet'!AE19),DoorType,4,FALSE)="Yes",(('Job Sheet'!BH19-98)*2+('Job Sheet'!BI19-96)*2)/2700,""))</f>
        <v/>
      </c>
      <c r="OO13" s="73" t="str">
        <f>IF(Data!AW19="","",IF('Mitred Cutting'!F19="1.6mm",(('Job Sheet'!BH19-114)*2+('Job Sheet'!BI19-114)*2)/3100,""))</f>
        <v/>
      </c>
      <c r="OP13" s="73" t="str">
        <f>IF(Data!AW19="","",IF('Mitred Cutting'!F19="2mm",(('Job Sheet'!BH19-114)*2+('Job Sheet'!BI19-114)*2)/3100,""))</f>
        <v/>
      </c>
      <c r="OQ13" s="48" t="str">
        <f>IF(Data!AW19="","",IF('Straight Cutting'!R19&lt;&gt;"",(('Job Sheet'!BO19*4)+('Job Sheet'!BQ19*2)+('Job Sheet'!BP19*2))/4000,IF('Mitred Cutting'!C19="Invisi-Gard",(('Job Sheet'!BO19+'Job Sheet'!BP19)*2)/4000,"")))</f>
        <v/>
      </c>
      <c r="OR13" s="48" t="str">
        <f t="shared" si="2"/>
        <v/>
      </c>
      <c r="OS13" s="48" t="str">
        <f t="shared" si="3"/>
        <v/>
      </c>
      <c r="OT13" s="73" t="str">
        <f>IF(D13="","",'Job Sheet'!BH19-2)</f>
        <v/>
      </c>
      <c r="OU13" s="73" t="str">
        <f>IF(OR('Job Sheet'!AE19="Fibreglass Mesh",'Job Sheet'!AE19="Tuff Mesh",'Job Sheet'!AE19="Pet Mesh",'Job Sheet'!AE19="Aluminium Mesh"),'Job Sheet'!BH19*2+'Job Sheet'!BI19*2-200,"")</f>
        <v/>
      </c>
      <c r="OV13" s="73" t="str">
        <f>IF('Job Sheet'!M19="Not Required","",IF(Punching!K19="Hinged High",1,""))</f>
        <v/>
      </c>
      <c r="OW13" s="73" t="str">
        <f>IF('Job Sheet'!M19="Not Required","",IF(Punching!K19="Hinged Low",1,""))</f>
        <v/>
      </c>
      <c r="OX13" s="73" t="str">
        <f>IF('Job Sheet'!M19="Not Required","",IF(Punching!K19="Hinged Pool",1,""))</f>
        <v/>
      </c>
      <c r="OY13" s="73" t="str">
        <f>IF('Job Sheet'!M19="Not Required","",IF(Punching!K19="Hinged Adjustable",1,""))</f>
        <v/>
      </c>
      <c r="OZ13" s="73" t="str">
        <f>IF('Job Sheet'!M19="Not Required","",IF(Punching!K19="Sliding High",1,""))</f>
        <v/>
      </c>
      <c r="PA13" s="73" t="str">
        <f>IF('Job Sheet'!M19="Not Required","",IF(Punching!K19="Sliding Low",1,""))</f>
        <v/>
      </c>
      <c r="PB13" s="73" t="str">
        <f>IF('Job Sheet'!M19="Not Required","",IF(Punching!K19="Sliding Pool",1,""))</f>
        <v/>
      </c>
      <c r="PC13" s="73" t="str">
        <f>IF('Job Sheet'!M19="Not Required","",IF(Punching!K19="Sliding Adjustable",1,""))</f>
        <v/>
      </c>
      <c r="PD13" s="73" t="str">
        <f t="shared" si="0"/>
        <v/>
      </c>
      <c r="PH13" s="73" t="str">
        <f>IF('Job Sheet'!AV19&lt;&gt;"Yes","",IF(OR('Job Sheet'!AY19="Left",'Job Sheet'!AY19="Right"),"1","2"))</f>
        <v/>
      </c>
      <c r="PO13" s="73" t="str">
        <f>IF('Job Sheet'!M19="Bass Latch",1,"")</f>
        <v/>
      </c>
      <c r="PP13" s="73" t="str">
        <f>IF('Job Sheet'!AU19="Yes","2","")</f>
        <v/>
      </c>
      <c r="PQ13" s="73" t="str">
        <f>IF('Job Sheet'!U19="Black",1,"")</f>
        <v/>
      </c>
      <c r="PR13" s="73" t="str">
        <f>IF('Job Sheet'!U19="Dune",1,"")</f>
        <v/>
      </c>
      <c r="PS13" s="73" t="str">
        <f>IF('Job Sheet'!U19="Jasper",1,"")</f>
        <v/>
      </c>
      <c r="PT13" s="73" t="str">
        <f>IF('Job Sheet'!U19="Monument",1,"")</f>
        <v/>
      </c>
      <c r="PU13" s="73" t="str">
        <f>IF('Job Sheet'!U19="Paperbark",1,"")</f>
        <v/>
      </c>
      <c r="PV13" s="73" t="str">
        <f>IF('Job Sheet'!U19="Primrose",1,"")</f>
        <v/>
      </c>
      <c r="PW13" s="73" t="str">
        <f>IF('Job Sheet'!U19="Surfmist",1,"")</f>
        <v/>
      </c>
      <c r="PX13" s="73" t="str">
        <f>IF('Job Sheet'!U19="White",1,"")</f>
        <v/>
      </c>
      <c r="PY13" s="73" t="str">
        <f>IF('Job Sheet'!U19="Woodland Grey(Green Tone)",1,"")</f>
        <v/>
      </c>
      <c r="PZ13" s="73" t="str">
        <f>IF(AND(OR('Job Sheet'!M19="Single Lock",'Job Sheet'!M19="Triple Lock"),'Job Sheet'!J19="Hinged",'Job Sheet'!Q19="Black"),1,"")</f>
        <v/>
      </c>
      <c r="QA13" s="73" t="str">
        <f>IF(AND(OR('Job Sheet'!M19="Single Lock",'Job Sheet'!M19="Triple Lock"),'Job Sheet'!J19="Hinged",'Job Sheet'!Q19="Dune"),1,"")</f>
        <v/>
      </c>
      <c r="QB13" s="73" t="str">
        <f>IF(AND(OR('Job Sheet'!M19="Single Lock",'Job Sheet'!M19="Triple Lock"),'Job Sheet'!J19="Hinged",'Job Sheet'!Q19="Jasper"),1,"")</f>
        <v/>
      </c>
      <c r="QC13" s="73" t="str">
        <f>IF(AND(OR('Job Sheet'!M19="Single Lock",'Job Sheet'!M19="Triple Lock"),'Job Sheet'!J19="Hinged",'Job Sheet'!Q19="Monument"),1,"")</f>
        <v/>
      </c>
      <c r="QD13" s="73" t="str">
        <f>IF(AND(OR('Job Sheet'!M19="Single Lock",'Job Sheet'!M19="Triple Lock"),'Job Sheet'!J19="Hinged",'Job Sheet'!Q19="Paperbark"),1,"")</f>
        <v/>
      </c>
      <c r="QE13" s="73" t="str">
        <f>IF(AND(OR('Job Sheet'!M19="Single Lock",'Job Sheet'!M19="Triple Lock"),'Job Sheet'!J19="Hinged",'Job Sheet'!Q19="Primrose"),1,"")</f>
        <v/>
      </c>
      <c r="QF13" s="73" t="str">
        <f>IF(AND(OR('Job Sheet'!M19="Single Lock",'Job Sheet'!M19="Triple Lock"),'Job Sheet'!J19="Hinged",'Job Sheet'!Q19="Surfmist"),1,"")</f>
        <v/>
      </c>
      <c r="QG13" s="73" t="str">
        <f>IF(AND(OR('Job Sheet'!M19="Single Lock",'Job Sheet'!M19="Triple Lock"),'Job Sheet'!J19="Hinged",'Job Sheet'!Q19="White"),1,"")</f>
        <v/>
      </c>
      <c r="QH13" s="73" t="str">
        <f>IF(AND(OR('Job Sheet'!M19="Single Lock",'Job Sheet'!M19="Triple Lock"),'Job Sheet'!J19="Hinged",'Job Sheet'!Q19="Woodland Grey(Green Tone)"),1,"")</f>
        <v/>
      </c>
      <c r="QI13" s="73" t="str">
        <f>IF(AND(OR('Job Sheet'!M19="Push 2 Go Single Lock",'Job Sheet'!M19="Push 2 Go Triple Lock"),'Job Sheet'!J19="Hinged",'Job Sheet'!Q19="Black"),1,"")</f>
        <v/>
      </c>
      <c r="QJ13" s="73" t="str">
        <f>IF(AND(OR('Job Sheet'!M19="Push 2 Go Single Lock",'Job Sheet'!M19="Push 2 Go Triple Lock"),'Job Sheet'!J19="Hinged",'Job Sheet'!Q19="Dune"),1,"")</f>
        <v/>
      </c>
      <c r="QK13" s="73" t="str">
        <f>IF(AND(OR('Job Sheet'!M19="Push 2 Go Single Lock",'Job Sheet'!M19="Push 2 Go Triple Lock"),'Job Sheet'!J19="Hinged",'Job Sheet'!Q19="Jasper"),1,"")</f>
        <v/>
      </c>
      <c r="QL13" s="73" t="str">
        <f>IF(AND(OR('Job Sheet'!M19="Push 2 Go Single Lock",'Job Sheet'!M19="Push 2 Go Triple Lock"),'Job Sheet'!J19="Hinged",'Job Sheet'!Q19="Monument"),1,"")</f>
        <v/>
      </c>
      <c r="QM13" s="73" t="str">
        <f>IF(AND(OR('Job Sheet'!M19="Push 2 Go Single Lock",'Job Sheet'!M19="Push 2 Go Triple Lock"),'Job Sheet'!J19="Hinged",'Job Sheet'!Q19="Paperbark"),1,"")</f>
        <v/>
      </c>
      <c r="QN13" s="73" t="str">
        <f>IF(AND(OR('Job Sheet'!M19="Push 2 Go Single Lock",'Job Sheet'!M19="Push 2 Go Triple Lock"),'Job Sheet'!J19="Hinged",'Job Sheet'!Q19="Primrose"),1,"")</f>
        <v/>
      </c>
      <c r="QO13" s="73" t="str">
        <f>IF(AND(OR('Job Sheet'!M19="Push 2 Go Single Lock",'Job Sheet'!M19="Push 2 Go Triple Lock"),'Job Sheet'!J19="Hinged",'Job Sheet'!Q19="Surfmist"),1,"")</f>
        <v/>
      </c>
      <c r="QP13" s="73" t="str">
        <f>IF(AND(OR('Job Sheet'!M19="Push 2 Go Single Lock",'Job Sheet'!M19="Push 2 Go Triple Lock"),'Job Sheet'!J19="Hinged",'Job Sheet'!Q19="White"),1,"")</f>
        <v/>
      </c>
      <c r="QQ13" s="73" t="str">
        <f>IF(AND(OR('Job Sheet'!M19="Push 2 Go Single Lock",'Job Sheet'!M19="Push 2 Go Triple Lock"),'Job Sheet'!J19="Hinged",'Job Sheet'!Q19="Woodland Grey(Green Tone)"),1,"")</f>
        <v/>
      </c>
      <c r="QR13" s="73" t="str">
        <f>IF('Job Sheet'!M19="Bass Latch","",IF(AND(OR('Job Sheet'!J19="Sliding",'Job Sheet'!J19="Stacker"),'Job Sheet'!Q19="Black"),1,""))</f>
        <v/>
      </c>
      <c r="QS13" s="73" t="str">
        <f>IF('Job Sheet'!M19="Bass Latch","",IF(AND(OR('Job Sheet'!J19="Sliding",'Job Sheet'!J19="Stacker"),'Job Sheet'!Q19="Dune"),1,""))</f>
        <v/>
      </c>
      <c r="QT13" s="73" t="str">
        <f>IF('Job Sheet'!M19="Bass Latch","",IF(AND(OR('Job Sheet'!J19="Sliding",'Job Sheet'!J19="Stacker"),'Job Sheet'!Q19="Jasper"),1,""))</f>
        <v/>
      </c>
      <c r="QU13" s="73" t="str">
        <f>IF('Job Sheet'!M19="Bass Latch","",IF(AND(OR('Job Sheet'!J19="Sliding",'Job Sheet'!J19="Stacker"),'Job Sheet'!Q19="Monument"),1,""))</f>
        <v/>
      </c>
      <c r="QV13" s="73" t="str">
        <f>IF('Job Sheet'!M19="Bass Latch","",IF(AND(OR('Job Sheet'!J19="Sliding",'Job Sheet'!J19="Stacker"),'Job Sheet'!Q19="Paperbark"),1,""))</f>
        <v/>
      </c>
      <c r="QW13" s="73" t="str">
        <f>IF('Job Sheet'!M19="Bass Latch","",IF(AND(OR('Job Sheet'!J19="Sliding",'Job Sheet'!J19="Stacker"),'Job Sheet'!Q19="Primrose"),1,""))</f>
        <v/>
      </c>
      <c r="QX13" s="73" t="str">
        <f>IF('Job Sheet'!M19="Bass Latch","",IF(AND(OR('Job Sheet'!J19="Sliding",'Job Sheet'!J19="Stacker"),'Job Sheet'!Q19="Surfmist"),1,""))</f>
        <v/>
      </c>
      <c r="QY13" s="73" t="str">
        <f>IF('Job Sheet'!M19="Bass Latch","",IF(AND('Job Sheet'!J19="Sliding",'Job Sheet'!Q19="White"),1,""))</f>
        <v/>
      </c>
      <c r="QZ13" s="73" t="str">
        <f>IF('Job Sheet'!M19="Bass Latch","",IF(AND(OR('Job Sheet'!J19="Sliding",'Job Sheet'!J19="Stacker"),'Job Sheet'!Q19="Woodland Grey(Green Tone)"),1,""))</f>
        <v/>
      </c>
      <c r="RA13" s="73" t="str">
        <f>IF(OR('Job Sheet'!M19="Single Lock",'Job Sheet'!M19="Triple Lock"),1,"")</f>
        <v/>
      </c>
      <c r="RB13" s="73" t="str">
        <f>IF('Job Sheet'!R19="Extended",1,"")</f>
        <v/>
      </c>
      <c r="RC13" s="73" t="str">
        <f>IF(OR('Job Sheet'!J19="Sliding",'Job Sheet'!J19="Stacker"),4,"")</f>
        <v/>
      </c>
      <c r="RD13" s="73" t="str">
        <f>IF('Job Sheet'!J19="Hinged",3,"")</f>
        <v/>
      </c>
      <c r="RF13" s="73" t="str">
        <f>IF(AND('Job Sheet'!AW19="Small 190mm x 240mm",'Job Sheet'!AX19="Black"),1,"")</f>
        <v/>
      </c>
      <c r="RG13" s="73" t="str">
        <f>IF(AND('Job Sheet'!AW19="Medium 225mm x 305mm",'Job Sheet'!AX19="Black"),1,"")</f>
        <v/>
      </c>
      <c r="RH13" s="73" t="str">
        <f>IF(AND('Job Sheet'!AW19="Large 260mm x 400mm",'Job Sheet'!AX19="Black"),1,"")</f>
        <v/>
      </c>
      <c r="RI13" s="73" t="str">
        <f>IF(AND('Job Sheet'!AW19="Small 190mm x 240mm",'Job Sheet'!AX19="White"),1,"")</f>
        <v/>
      </c>
      <c r="RJ13" s="73" t="str">
        <f>IF(AND('Job Sheet'!AW19="Medium 225mm x 305mm",'Job Sheet'!AX19="White"),1,"")</f>
        <v/>
      </c>
      <c r="RK13" s="73" t="str">
        <f>IF(AND('Job Sheet'!AW19="Large 260mm x 400mm",'Job Sheet'!AX19="White"),1,"")</f>
        <v/>
      </c>
      <c r="RL13" s="73" t="str">
        <f>IF('Job Sheet'!AQ19="T Mullion with Cutouts and 2 Lock Bolts",2,"")</f>
        <v/>
      </c>
      <c r="RM13" s="73" t="str">
        <f>IF('Job Sheet'!U19="Water Closer",1,"")</f>
        <v/>
      </c>
      <c r="RN13" s="73" t="str">
        <f>IF('Job Sheet'!AO19="Yes, Included in other Door","",IF(OR('Mitred Cutting'!I19="Long Leg Left, Right and Top",'Mitred Cutting'!I19="Short Leg Left, Right and Top"),2,""))</f>
        <v/>
      </c>
      <c r="RO13" s="73" t="str">
        <f>IF(AND('Mitred Cutting'!C19="Invisi-Gard",(OR('Job Sheet'!AI19="Yes",'Job Sheet'!AI19="Yes - Centre"))),2,"")</f>
        <v/>
      </c>
      <c r="RQ13" s="73" t="str">
        <f>IF('Job Sheet'!M19="Ultra Secua Digital Triple Lock",1,"")</f>
        <v/>
      </c>
      <c r="RT13" s="73" t="str">
        <f>IF(AND('Job Sheet'!BL19="750 x 2000",(OR('Job Sheet'!BK19="Woven Stainless Steel",'Job Sheet'!BK19="Invisi-Gard Woven Stainless Steel"))),1,"")</f>
        <v/>
      </c>
      <c r="RU13" s="73" t="str">
        <f>IF(AND('Job Sheet'!BL19="750 x 2400",(OR('Job Sheet'!BK19="Woven Stainless Steel",'Job Sheet'!BK19="Invisi-Gard Woven Stainless Steel"))),1,"")</f>
        <v/>
      </c>
      <c r="RV13" s="73" t="str">
        <f>IF(AND('Job Sheet'!BL19="750 x 3000",(OR('Job Sheet'!BK19="Woven Stainless Steel",'Job Sheet'!BK19="Invisi-Gard Woven Stainless Steel"))),1,"")</f>
        <v/>
      </c>
      <c r="RW13" s="73" t="str">
        <f>IF(AND('Job Sheet'!BL19="900 x 2000",(OR('Job Sheet'!BK19="Woven Stainless Steel",'Job Sheet'!BK19="Invisi-Gard Woven Stainless Steel"))),1,"")</f>
        <v/>
      </c>
      <c r="RX13" s="73" t="str">
        <f>IF(AND('Job Sheet'!BL19="900 x 2400",(OR('Job Sheet'!BK19="Woven Stainless Steel",'Job Sheet'!BK19="Invisi-Gard Woven Stainless Steel"))),1,"")</f>
        <v/>
      </c>
      <c r="RY13" s="73" t="str">
        <f>IF(AND('Job Sheet'!BL19="900 x 3000",(OR('Job Sheet'!BK19="Woven Stainless Steel",'Job Sheet'!BK19="Invisi-Gard Woven Stainless Steel"))),1,"")</f>
        <v/>
      </c>
      <c r="RZ13" s="73" t="str">
        <f>IF(AND('Job Sheet'!BL19="1200 x 2000",(OR('Job Sheet'!BK19="Woven Stainless Steel",'Job Sheet'!BK19="Invisi-Gard Woven Stainless Steel"))),1,"")</f>
        <v/>
      </c>
      <c r="SA13" s="73" t="str">
        <f>IF(AND('Job Sheet'!BL19="1200 x 2400",(OR('Job Sheet'!BK19="Woven Stainless Steel",'Job Sheet'!BK19="Invisi-Gard Woven Stainless Steel"))),1,"")</f>
        <v/>
      </c>
      <c r="SB13" s="73" t="str">
        <f>IF(AND('Job Sheet'!BL19="1200 x 3000",(OR('Job Sheet'!BK19="Woven Stainless Steel",'Job Sheet'!BK19="Invisi-Gard Woven Stainless Steel"))),1,"")</f>
        <v/>
      </c>
      <c r="SC13" s="73" t="str">
        <f>IF(AND('Job Sheet'!BL19="1500 x 2000",(OR('Job Sheet'!BK19="Woven Stainless Steel",'Job Sheet'!BK19="Invisi-Gard Woven Stainless Steel"))),1,"")</f>
        <v/>
      </c>
      <c r="SD13" s="73" t="str">
        <f>IF(AND('Job Sheet'!BL19="1500 x 2400",(OR('Job Sheet'!BK19="Woven Stainless Steel",'Job Sheet'!BK19="Invisi-Gard Woven Stainless Steel"))),1,"")</f>
        <v/>
      </c>
      <c r="SE13" s="73" t="str">
        <f>IF(AND('Job Sheet'!BL19="1500 x 3000",(OR('Job Sheet'!BK19="Woven Stainless Steel",'Job Sheet'!BK19="Invisi-Gard Woven Stainless Steel"))),1,"")</f>
        <v/>
      </c>
      <c r="SF13" s="73" t="str">
        <f>IF(AND('Job Sheet'!BK19="Alu-Gard Perforated Aluminium",'Job Sheet'!BL19="750 x 2000"),1,"")</f>
        <v/>
      </c>
      <c r="SG13" s="73" t="str">
        <f>IF(AND('Job Sheet'!BK19="Alu-Gard Perforated Aluminium",'Job Sheet'!BL19="750 x 2400"),1,"")</f>
        <v/>
      </c>
      <c r="SH13" s="73" t="str">
        <f>IF(AND('Job Sheet'!BK19="Alu-Gard Perforated Aluminium",'Job Sheet'!BL19="750 x 3000"),1,"")</f>
        <v/>
      </c>
      <c r="SI13" s="73" t="str">
        <f>IF(AND('Job Sheet'!BK19="Alu-Gard Perforated Aluminium",'Job Sheet'!BL19="900 x 2000"),1,"")</f>
        <v/>
      </c>
      <c r="SJ13" s="73" t="str">
        <f>IF(AND('Job Sheet'!BK19="Alu-Gard Perforated Aluminium",'Job Sheet'!BL19="900 x 2400"),1,"")</f>
        <v/>
      </c>
      <c r="SK13" s="73" t="str">
        <f>IF(AND('Job Sheet'!BK19="Alu-Gard Perforated Aluminium",'Job Sheet'!BL19="900 x 3000"),1,"")</f>
        <v/>
      </c>
      <c r="SL13" s="73" t="str">
        <f>IF(AND('Job Sheet'!BK19="Alu-Gard Perforated Aluminium",'Job Sheet'!BL19="1200 x 2000"),1,"")</f>
        <v/>
      </c>
      <c r="SM13" s="73" t="str">
        <f>IF(AND('Job Sheet'!BK19="Alu-Gard Perforated Aluminium",'Job Sheet'!BL19="1200 x 2400"),1,"")</f>
        <v/>
      </c>
      <c r="SN13" s="73" t="str">
        <f>IF(AND('Job Sheet'!BK19="Alu-Gard Perforated Aluminium",'Job Sheet'!BL19="1200 x 3000"),1,"")</f>
        <v/>
      </c>
      <c r="SO13" s="73" t="str">
        <f>IF(AND('Job Sheet'!BK19="Alu-Gard Perforated Aluminium",'Job Sheet'!BL19="1500 x 2000"),1,"")</f>
        <v/>
      </c>
      <c r="SP13" s="73" t="str">
        <f>IF(AND('Job Sheet'!BK19="Alu-Gard Perforated Aluminium",'Job Sheet'!BL19="1500 x 2400"),1,"")</f>
        <v/>
      </c>
      <c r="SQ13" s="73" t="str">
        <f>IF(AND('Job Sheet'!BK19="Alu-Gard Perforated Aluminium",'Job Sheet'!BL19="1500 x 3000"),1,"")</f>
        <v/>
      </c>
      <c r="SR13" s="73" t="str">
        <f>IF(AND('Job Sheet'!BK19="Privacy-Gard",'Job Sheet'!BL19="750 x 2000"),1,"")</f>
        <v/>
      </c>
      <c r="SS13" s="73" t="str">
        <f>IF(AND('Job Sheet'!BK19="Privacy-Gard",'Job Sheet'!BL19="750 x 2400"),1,"")</f>
        <v/>
      </c>
      <c r="ST13" s="73" t="str">
        <f>IF(AND('Job Sheet'!BK19="Privacy-Gard",'Job Sheet'!BL19="900 x 2000"),1,"")</f>
        <v/>
      </c>
      <c r="SU13" s="73" t="str">
        <f>IF(AND('Job Sheet'!BK19="Privacy-Gard",'Job Sheet'!BL19="900 x 2400"),1,"")</f>
        <v/>
      </c>
      <c r="SV13" s="73" t="str">
        <f>IF(AND('Job Sheet'!BK19="Privacy-Gard",'Job Sheet'!BL19="1200 x 2000"),1,"")</f>
        <v/>
      </c>
      <c r="SW13" s="73" t="str">
        <f>IF(AND('Job Sheet'!BK19="Privacy-Gard",'Job Sheet'!BL19="1200 x 2400"),1,"")</f>
        <v/>
      </c>
      <c r="SX13" s="73" t="str">
        <f>IF(AND('Job Sheet'!BK19="Standard Diamond",'Job Sheet'!BL19="750 x 2050",'Job Sheet'!AB19="APO Grey"),1,"")</f>
        <v/>
      </c>
      <c r="SY13" s="73" t="str">
        <f>IF(AND('Job Sheet'!BK19="Standard Diamond",'Job Sheet'!BL19="750 x 2050",'Job Sheet'!AB19="White Birch"),1,"")</f>
        <v/>
      </c>
      <c r="SZ13" s="73" t="str">
        <f>IF(AND('Job Sheet'!BK19="Standard Diamond",'Job Sheet'!BL19="750 x 2050",'Job Sheet'!AB19="Black"),1,"")</f>
        <v/>
      </c>
      <c r="TA13" s="73" t="str">
        <f>IF(AND('Job Sheet'!BK19="Standard Diamond",'Job Sheet'!BL19="750 x 2050",'Job Sheet'!AB19="Brown"),1,"")</f>
        <v/>
      </c>
      <c r="TB13" s="73" t="str">
        <f>IF(AND('Job Sheet'!BK19="Standard Diamond",'Job Sheet'!BL19="750 x 2050",'Job Sheet'!AB19="Deep Ocean"),1,"")</f>
        <v/>
      </c>
      <c r="TC13" s="73" t="str">
        <f>IF(AND('Job Sheet'!BK19="Standard Diamond",'Job Sheet'!BL19="750 x 2050",'Job Sheet'!AB19="Jasper"),1,"")</f>
        <v/>
      </c>
      <c r="TD13" s="73" t="str">
        <f>IF(AND('Job Sheet'!BK19="Standard Diamond",'Job Sheet'!BL19="750 x 2050",'Job Sheet'!AB19="Paperbark"),1,"")</f>
        <v/>
      </c>
      <c r="TE13" s="73" t="str">
        <f>IF(AND('Job Sheet'!BK19="Standard Diamond",'Job Sheet'!BL19="750 x 2050",'Job Sheet'!AB19="Mist Green"),1,"")</f>
        <v/>
      </c>
      <c r="TF13" s="73" t="str">
        <f>IF(AND('Job Sheet'!BK19="Standard Diamond",'Job Sheet'!BL19="750 x 2050",'Job Sheet'!AB19="Primrose"),1,"")</f>
        <v/>
      </c>
      <c r="TG13" s="73" t="str">
        <f>IF(AND('Job Sheet'!BK19="Standard Diamond",'Job Sheet'!BL19="750 x 2050",'Job Sheet'!AB19="Ultra Silver"),1,"")</f>
        <v/>
      </c>
      <c r="TH13" s="73" t="str">
        <f>IF(AND('Job Sheet'!BK19="Standard Diamond",'Job Sheet'!BL19="750 x 2050",'Job Sheet'!AB19="Woodland Grey(Green Tone)"),1,"")</f>
        <v/>
      </c>
      <c r="TI13" s="73" t="str">
        <f>IF(AND('Job Sheet'!BK19="Standard Diamond",'Job Sheet'!BL19="750 x 2050",'Job Sheet'!AB19="Pearl White"),1,"")</f>
        <v/>
      </c>
      <c r="TJ13" s="73" t="str">
        <f>IF(AND('Job Sheet'!BK19="Standard Diamond",'Job Sheet'!BL19="750 x 2050",'Job Sheet'!AB19="Monument"),1,"")</f>
        <v/>
      </c>
      <c r="TK13" s="73" t="str">
        <f>IF(AND('Job Sheet'!BK19="Standard Diamond",'Job Sheet'!BL19="750 x 2050",'Job Sheet'!AB19="Surfmist"),1,"")</f>
        <v/>
      </c>
      <c r="TL13" s="73" t="str">
        <f>IF(AND('Job Sheet'!BK19="Standard Diamond",'Job Sheet'!BL19="750 x 2050",'Job Sheet'!AB19="Dune"),1,"")</f>
        <v/>
      </c>
      <c r="TM13" s="73" t="str">
        <f>IF(AND('Job Sheet'!BK19="Standard Diamond",'Job Sheet'!BL19="750 x 2050",'Job Sheet'!AB19="Custom Powdercoat"),1,"")</f>
        <v/>
      </c>
      <c r="TN13" s="73" t="str">
        <f>IF(AND('Job Sheet'!BK19="Standard Diamond",'Job Sheet'!BL19="835 x 2050",'Job Sheet'!AB19="APO Grey"),1,"")</f>
        <v/>
      </c>
      <c r="TO13" s="73" t="str">
        <f>IF(AND('Job Sheet'!BK19="Standard Diamond",'Job Sheet'!BL19="835 x 2050",'Job Sheet'!AB19="White Birch"),1,"")</f>
        <v/>
      </c>
      <c r="TP13" s="73" t="str">
        <f>IF(AND('Job Sheet'!BK19="Standard Diamond",'Job Sheet'!BL19="835 x 2050",'Job Sheet'!AB19="Black"),1,"")</f>
        <v/>
      </c>
      <c r="TQ13" s="73" t="str">
        <f>IF(AND('Job Sheet'!BK19="Standard Diamond",'Job Sheet'!BL19="835 x 2050",'Job Sheet'!AB19="Brown"),1,"")</f>
        <v/>
      </c>
      <c r="TR13" s="73" t="str">
        <f>IF(AND('Job Sheet'!BK19="Standard Diamond",'Job Sheet'!BL19="835 x 2050",'Job Sheet'!AB19="Deep Ocean"),1,"")</f>
        <v/>
      </c>
      <c r="TS13" s="73" t="str">
        <f>IF(AND('Job Sheet'!BK19="Standard Diamond",'Job Sheet'!BL19="835 x 2050",'Job Sheet'!AB19="Jasper"),1,"")</f>
        <v/>
      </c>
      <c r="TT13" s="73" t="str">
        <f>IF(AND('Job Sheet'!BK19="Standard Diamond",'Job Sheet'!BL19="835 x 2050",'Job Sheet'!AB19="Paperbark"),1,"")</f>
        <v/>
      </c>
      <c r="TU13" s="73" t="str">
        <f>IF(AND('Job Sheet'!BK19="Standard Diamond",'Job Sheet'!BL19="835 x 2050",'Job Sheet'!AB19="Mist Green"),1,"")</f>
        <v/>
      </c>
      <c r="TV13" s="73" t="str">
        <f>IF(AND('Job Sheet'!BK19="Standard Diamond",'Job Sheet'!BL19="835 x 2050",'Job Sheet'!AB19="Primrose"),1,"")</f>
        <v/>
      </c>
      <c r="TW13" s="73" t="str">
        <f>IF(AND('Job Sheet'!BK19="Standard Diamond",'Job Sheet'!BL19="835 x 2050",'Job Sheet'!AB19="Ultra Silver"),1,"")</f>
        <v/>
      </c>
      <c r="TX13" s="73" t="str">
        <f>IF(AND('Job Sheet'!BK19="Standard Diamond",'Job Sheet'!BL19="835 x 2050",'Job Sheet'!AB19="Woodland Grey(Green Tone)"),1,"")</f>
        <v/>
      </c>
      <c r="TY13" s="73" t="str">
        <f>IF(AND('Job Sheet'!BK19="Standard Diamond",'Job Sheet'!BL19="835 x 2050",'Job Sheet'!AB19="Pearl White"),1,"")</f>
        <v/>
      </c>
      <c r="TZ13" s="73" t="str">
        <f>IF(AND('Job Sheet'!BK19="Standard Diamond",'Job Sheet'!BL19="835 x 2050",'Job Sheet'!AB19="Monument"),1,"")</f>
        <v/>
      </c>
      <c r="UA13" s="73" t="str">
        <f>IF(AND('Job Sheet'!BK19="Standard Diamond",'Job Sheet'!BL19="835 x 2050",'Job Sheet'!AB19="Surfmist"),1,"")</f>
        <v/>
      </c>
      <c r="UB13" s="73" t="str">
        <f>IF(AND('Job Sheet'!BK19="Standard Diamond",'Job Sheet'!BL19="835 x 2050",'Job Sheet'!AB19="Dune"),1,"")</f>
        <v/>
      </c>
      <c r="UC13" s="73" t="str">
        <f>IF(AND('Job Sheet'!BK19="Standard Diamond",'Job Sheet'!BL19="835 x 2050",'Job Sheet'!AB19="Custom Powdercoat"),1,"")</f>
        <v/>
      </c>
      <c r="UD13" s="73" t="str">
        <f>IF(AND('Job Sheet'!BK19="Standard Diamond",'Job Sheet'!BL19="920 x 2050",'Job Sheet'!AB19="APO Grey"),1,"")</f>
        <v/>
      </c>
      <c r="UE13" s="73" t="str">
        <f>IF(AND('Job Sheet'!BK19="Standard Diamond",'Job Sheet'!BL19="920 x 2050",'Job Sheet'!AB19="White Birch"),1,"")</f>
        <v/>
      </c>
      <c r="UF13" s="73" t="str">
        <f>IF(AND('Job Sheet'!BK19="Standard Diamond",'Job Sheet'!BL19="920 x 2050",'Job Sheet'!AB19="Black"),1,"")</f>
        <v/>
      </c>
      <c r="UG13" s="73" t="str">
        <f>IF(AND('Job Sheet'!BK19="Standard Diamond",'Job Sheet'!BL19="920 x 2050",'Job Sheet'!AB19="Brown"),1,"")</f>
        <v/>
      </c>
      <c r="UH13" s="73" t="str">
        <f>IF(AND('Job Sheet'!BK19="Standard Diamond",'Job Sheet'!BL19="920 x 2050",'Job Sheet'!AB19="Deep Ocean"),1,"")</f>
        <v/>
      </c>
      <c r="UI13" s="73" t="str">
        <f>IF(AND('Job Sheet'!BK19="Standard Diamond",'Job Sheet'!BL19="920 x 2050",'Job Sheet'!AB19="Jasper"),1,"")</f>
        <v/>
      </c>
      <c r="UJ13" s="73" t="str">
        <f>IF(AND('Job Sheet'!BK19="Standard Diamond",'Job Sheet'!BL19="920 x 2050",'Job Sheet'!AB19="Paperbark"),1,"")</f>
        <v/>
      </c>
      <c r="UK13" s="73" t="str">
        <f>IF(AND('Job Sheet'!BK19="Standard Diamond",'Job Sheet'!BL19="920 x 2050",'Job Sheet'!AB19="Mist Green"),1,"")</f>
        <v/>
      </c>
      <c r="UL13" s="73" t="str">
        <f>IF(AND('Job Sheet'!BK19="Standard Diamond",'Job Sheet'!BL19="920 x 2050",'Job Sheet'!AB19="Primrose"),1,"")</f>
        <v/>
      </c>
      <c r="UM13" s="73" t="str">
        <f>IF(AND('Job Sheet'!BK19="Standard Diamond",'Job Sheet'!BL19="920 x 2050",'Job Sheet'!AB19="Ultra Silver"),1,"")</f>
        <v/>
      </c>
      <c r="UN13" s="73" t="str">
        <f>IF(AND('Job Sheet'!BK19="Standard Diamond",'Job Sheet'!BL19="920 x 2050",'Job Sheet'!AB19="Woodland Grey(Green Tone)"),1,"")</f>
        <v/>
      </c>
      <c r="UO13" s="73" t="str">
        <f>IF(AND('Job Sheet'!BK19="Standard Diamond",'Job Sheet'!BL19="920 x 2050",'Job Sheet'!AB19="Pearl White"),1,"")</f>
        <v/>
      </c>
      <c r="UP13" s="73" t="str">
        <f>IF(AND('Job Sheet'!BK19="Standard Diamond",'Job Sheet'!BL19="920 x 2050",'Job Sheet'!AB19="Monument"),1,"")</f>
        <v/>
      </c>
      <c r="UQ13" s="73" t="str">
        <f>IF(AND('Job Sheet'!BK19="Standard Diamond",'Job Sheet'!BL19="920 x 2050",'Job Sheet'!AB19="Surfmist"),1,"")</f>
        <v/>
      </c>
      <c r="UR13" s="73" t="str">
        <f>IF(AND('Job Sheet'!BK19="Standard Diamond",'Job Sheet'!BL19="920 x 2050",'Job Sheet'!AB19="Dune"),1,"")</f>
        <v/>
      </c>
      <c r="US13" s="73" t="str">
        <f>IF(AND('Job Sheet'!BK19="Standard Diamond",'Job Sheet'!BL19="920 x 2050",'Job Sheet'!AB19="Custom Powdercoat"),1,"")</f>
        <v/>
      </c>
      <c r="UT13" s="73" t="str">
        <f>IF(AND('Job Sheet'!BK19="Standard Diamond",'Job Sheet'!BL19="1200 x 2050",'Job Sheet'!AB19="APO Grey"),1,"")</f>
        <v/>
      </c>
      <c r="UU13" s="73" t="str">
        <f>IF(AND('Job Sheet'!BK19="Standard Diamond",'Job Sheet'!BL19="1200 x 2050",'Job Sheet'!AB19="White Birch"),1,"")</f>
        <v/>
      </c>
      <c r="UV13" s="73" t="str">
        <f>IF(AND('Job Sheet'!BK19="Standard Diamond",'Job Sheet'!BL19="1200 x 2050",'Job Sheet'!AB19="Black"),1,"")</f>
        <v/>
      </c>
      <c r="UW13" s="73" t="str">
        <f>IF(AND('Job Sheet'!BK19="Standard Diamond",'Job Sheet'!BL19="1200 x 2050",'Job Sheet'!AB19="Brown"),1,"")</f>
        <v/>
      </c>
      <c r="UX13" s="73" t="str">
        <f>IF(AND('Job Sheet'!BK19="Standard Diamond",'Job Sheet'!BL19="1200 x 2050",'Job Sheet'!AB19="Deep Ocean"),1,"")</f>
        <v/>
      </c>
      <c r="UY13" s="73" t="str">
        <f>IF(AND('Job Sheet'!BK19="Standard Diamond",'Job Sheet'!BL19="1200 x 2050",'Job Sheet'!AB19="Jasper"),1,"")</f>
        <v/>
      </c>
      <c r="UZ13" s="73" t="str">
        <f>IF(AND('Job Sheet'!BK19="Standard Diamond",'Job Sheet'!BL19="1200 x 2050",'Job Sheet'!AB19="Paperbark"),1,"")</f>
        <v/>
      </c>
      <c r="VA13" s="73" t="str">
        <f>IF(AND('Job Sheet'!BK19="Standard Diamond",'Job Sheet'!BL19="1200 x 2050",'Job Sheet'!AB19="Mist Green"),1,"")</f>
        <v/>
      </c>
      <c r="VB13" s="73" t="str">
        <f>IF(AND('Job Sheet'!BK19="Standard Diamond",'Job Sheet'!BL19="1200 x 2050",'Job Sheet'!AB19="Primrose"),1,"")</f>
        <v/>
      </c>
      <c r="VC13" s="73" t="str">
        <f>IF(AND('Job Sheet'!BK19="Standard Diamond",'Job Sheet'!BL19="1200 x 2050",'Job Sheet'!AB19="Ultra Silver"),1,"")</f>
        <v/>
      </c>
      <c r="VD13" s="73" t="str">
        <f>IF(AND('Job Sheet'!BK19="Standard Diamond",'Job Sheet'!BL19="1200 x 2050",'Job Sheet'!AB19="Woodland Grey(Green Tone)"),1,"")</f>
        <v/>
      </c>
      <c r="VE13" s="73" t="str">
        <f>IF(AND('Job Sheet'!BK19="Standard Diamond",'Job Sheet'!BL19="1200 x 2050",'Job Sheet'!AB19="Pearl White"),1,"")</f>
        <v/>
      </c>
      <c r="VF13" s="73" t="str">
        <f>IF(AND('Job Sheet'!BK19="Standard Diamond",'Job Sheet'!BL19="1200 x 2050",'Job Sheet'!AB19="Monument"),1,"")</f>
        <v/>
      </c>
      <c r="VG13" s="73" t="str">
        <f>IF(AND('Job Sheet'!BK19="Standard Diamond",'Job Sheet'!BL19="1200 x 2050",'Job Sheet'!AB19="Surfmist"),1,"")</f>
        <v/>
      </c>
      <c r="VH13" s="73" t="str">
        <f>IF(AND('Job Sheet'!BK19="Standard Diamond",'Job Sheet'!BL19="1200 x 2050",'Job Sheet'!AB19="Dune"),1,"")</f>
        <v/>
      </c>
      <c r="VI13" s="73" t="str">
        <f>IF(AND('Job Sheet'!BK19="Standard Diamond",'Job Sheet'!BL19="1200 x 2050",'Job Sheet'!AB19="Custom Powdercoat"),1,"")</f>
        <v/>
      </c>
      <c r="VJ13" s="73" t="str">
        <f>IF(AND('Job Sheet'!BK19="Standard Diamond",'Job Sheet'!BL19="920 x 2450",'Job Sheet'!AB19="APO Grey"),1,"")</f>
        <v/>
      </c>
      <c r="VK13" s="73" t="str">
        <f>IF(AND('Job Sheet'!BK19="Standard Diamond",'Job Sheet'!BL19="920 x 2450",'Job Sheet'!AB19="White Birch"),1,"")</f>
        <v/>
      </c>
      <c r="VL13" s="73" t="str">
        <f>IF(AND('Job Sheet'!BK19="Standard Diamond",'Job Sheet'!BL19="920 x 2450",'Job Sheet'!AB19="Black"),1,"")</f>
        <v/>
      </c>
      <c r="VM13" s="73" t="str">
        <f>IF(AND('Job Sheet'!BK19="Standard Diamond",'Job Sheet'!BL19="920 x 2450",'Job Sheet'!AB19="Brown"),1,"")</f>
        <v/>
      </c>
      <c r="VN13" s="73" t="str">
        <f>IF(AND('Job Sheet'!BK19="Standard Diamond",'Job Sheet'!BL19="920 x 2450",'Job Sheet'!AB19="Deep Ocean"),1,"")</f>
        <v/>
      </c>
      <c r="VO13" s="73" t="str">
        <f>IF(AND('Job Sheet'!BK19="Standard Diamond",'Job Sheet'!BL19="920 x 2450",'Job Sheet'!AB19="Jasper"),1,"")</f>
        <v/>
      </c>
      <c r="VP13" s="73" t="str">
        <f>IF(AND('Job Sheet'!BK19="Standard Diamond",'Job Sheet'!BL19="920 x 2450",'Job Sheet'!AB19="Paperbark"),1,"")</f>
        <v/>
      </c>
      <c r="VQ13" s="73" t="str">
        <f>IF(AND('Job Sheet'!BK19="Standard Diamond",'Job Sheet'!BL19="920 x 2450",'Job Sheet'!AB19="Mist Green"),1,"")</f>
        <v/>
      </c>
      <c r="VR13" s="73" t="str">
        <f>IF(AND('Job Sheet'!BK19="Standard Diamond",'Job Sheet'!BL19="920 x 2450",'Job Sheet'!AB19="Primrose"),1,"")</f>
        <v/>
      </c>
      <c r="VS13" s="73" t="str">
        <f>IF(AND('Job Sheet'!BK19="Standard Diamond",'Job Sheet'!BL19="920 x 2450",'Job Sheet'!AB19="Ultra Silver"),1,"")</f>
        <v/>
      </c>
      <c r="VT13" s="73" t="str">
        <f>IF(AND('Job Sheet'!BK19="Standard Diamond",'Job Sheet'!BL19="920 x 2450",'Job Sheet'!AB19="Woodland Grey(Green Tone)"),1,"")</f>
        <v/>
      </c>
      <c r="VU13" s="73" t="str">
        <f>IF(AND('Job Sheet'!BK19="Standard Diamond",'Job Sheet'!BL19="920 x 2450",'Job Sheet'!AB19="Pearl White"),1,"")</f>
        <v/>
      </c>
      <c r="VV13" s="73" t="str">
        <f>IF(AND('Job Sheet'!BK19="Standard Diamond",'Job Sheet'!BL19="920 x 2450",'Job Sheet'!AB19="Monument"),1,"")</f>
        <v/>
      </c>
      <c r="VW13" s="73" t="str">
        <f>IF(AND('Job Sheet'!BK19="Standard Diamond",'Job Sheet'!BL19="920 x 2450",'Job Sheet'!AB19="Surfmist"),1,"")</f>
        <v/>
      </c>
      <c r="VX13" s="73" t="str">
        <f>IF(AND('Job Sheet'!BK19="Standard Diamond",'Job Sheet'!BL19="920 x 2450",'Job Sheet'!AB19="Dune"),1,"")</f>
        <v/>
      </c>
      <c r="VY13" s="73" t="str">
        <f>IF(AND('Job Sheet'!BK19="Standard Diamond",'Job Sheet'!BL19="920 x 2450",'Job Sheet'!AB19="Custom Powdercoat"),1,"")</f>
        <v/>
      </c>
      <c r="VZ13" s="73" t="str">
        <f>IF(AND('Job Sheet'!BK19="Standard Diamond",'Job Sheet'!BL19="1200 x 2450",'Job Sheet'!AB19="APO Grey"),1,"")</f>
        <v/>
      </c>
      <c r="WA13" s="73" t="str">
        <f>IF(AND('Job Sheet'!BK19="Standard Diamond",'Job Sheet'!BL19="1200 x 2450",'Job Sheet'!AB19="White Birch"),1,"")</f>
        <v/>
      </c>
      <c r="WB13" s="73" t="str">
        <f>IF(AND('Job Sheet'!BK19="Standard Diamond",'Job Sheet'!BL19="1200 x 2450",'Job Sheet'!AB19="Black"),1,"")</f>
        <v/>
      </c>
      <c r="WC13" s="73" t="str">
        <f>IF(AND('Job Sheet'!BK19="Standard Diamond",'Job Sheet'!BL19="1200 x 2450",'Job Sheet'!AB19="Brown"),1,"")</f>
        <v/>
      </c>
      <c r="WD13" s="73" t="str">
        <f>IF(AND('Job Sheet'!BK19="Standard Diamond",'Job Sheet'!BL19="1200 x 2450",'Job Sheet'!AB19="Deep Ocean"),1,"")</f>
        <v/>
      </c>
      <c r="WE13" s="73" t="str">
        <f>IF(AND('Job Sheet'!BK19="Standard Diamond",'Job Sheet'!BL19="1200 x 2450",'Job Sheet'!AB19="Jasper"),1,"")</f>
        <v/>
      </c>
      <c r="WF13" s="73" t="str">
        <f>IF(AND('Job Sheet'!BK19="Standard Diamond",'Job Sheet'!BL19="1200 x 2450",'Job Sheet'!AB19="Paperbark"),1,"")</f>
        <v/>
      </c>
      <c r="WG13" s="73" t="str">
        <f>IF(AND('Job Sheet'!BK19="Standard Diamond",'Job Sheet'!BL19="1200 x 2450",'Job Sheet'!AB19="Mist Green"),1,"")</f>
        <v/>
      </c>
      <c r="WH13" s="73" t="str">
        <f>IF(AND('Job Sheet'!BK19="Standard Diamond",'Job Sheet'!BL19="1200 x 2450",'Job Sheet'!AB19="Primrose"),1,"")</f>
        <v/>
      </c>
      <c r="WI13" s="73" t="str">
        <f>IF(AND('Job Sheet'!BK19="Standard Diamond",'Job Sheet'!BL19="1200 x 2450",'Job Sheet'!AB19="Ultra Silver"),1,"")</f>
        <v/>
      </c>
      <c r="WJ13" s="73" t="str">
        <f>IF(AND('Job Sheet'!BK19="Standard Diamond",'Job Sheet'!BL19="1200 x 2450",'Job Sheet'!AB19="Woodland Grey(Green Tone)"),1,"")</f>
        <v/>
      </c>
      <c r="WK13" s="73" t="str">
        <f>IF(AND('Job Sheet'!BK19="Standard Diamond",'Job Sheet'!BL19="1200 x 2450",'Job Sheet'!AB19="Pearl White"),1,"")</f>
        <v/>
      </c>
      <c r="WL13" s="73" t="str">
        <f>IF(AND('Job Sheet'!BK19="Standard Diamond",'Job Sheet'!BL19="1200 x 2450",'Job Sheet'!AB19="Monument"),1,"")</f>
        <v/>
      </c>
      <c r="WM13" s="73" t="str">
        <f>IF(AND('Job Sheet'!BK19="Standard Diamond",'Job Sheet'!BL19="1200 x 2450",'Job Sheet'!AB19="Surfmist"),1,"")</f>
        <v/>
      </c>
      <c r="WN13" s="73" t="str">
        <f>IF(AND('Job Sheet'!BK19="Standard Diamond",'Job Sheet'!BL19="1200 x 2450",'Mitred Cutting'!D19="Dune"),1,"")</f>
        <v/>
      </c>
      <c r="WO13" s="73" t="str">
        <f>IF(AND('Job Sheet'!BK19="Standard Diamond",'Job Sheet'!BL19="1200 x 2450",'Job Sheet'!AB19="Custom Powdercoat"),1,"")</f>
        <v/>
      </c>
      <c r="WP13" s="73" t="str">
        <f>IF(AND('Job Sheet'!BK19="Decorative Diamond",'Job Sheet'!BL19="770 x 2050",'Job Sheet'!AB19="APO Grey"),1,"")</f>
        <v/>
      </c>
      <c r="WQ13" s="73" t="str">
        <f>IF(AND('Job Sheet'!BK19="Decorative Diamond",'Job Sheet'!BL19="770 x 2050",'Job Sheet'!AB19="White Birch"),1,"")</f>
        <v/>
      </c>
      <c r="WR13" s="73" t="str">
        <f>IF(AND('Job Sheet'!BK19="Decorative Diamond",'Job Sheet'!BL19="770 x 2050",'Job Sheet'!AB19="Black"),1,"")</f>
        <v/>
      </c>
      <c r="WS13" s="73" t="str">
        <f>IF(AND('Job Sheet'!BK19="Decorative Diamond",'Job Sheet'!BL19="770 x 2050",'Job Sheet'!AB19="Brown"),1,"")</f>
        <v/>
      </c>
      <c r="WT13" s="73" t="str">
        <f>IF(AND('Job Sheet'!BK19="Decorative Diamond",'Job Sheet'!BL19="770 x 2050",'Job Sheet'!AB19="Deep Ocean"),1,"")</f>
        <v/>
      </c>
      <c r="WU13" s="73" t="str">
        <f>IF(AND('Job Sheet'!BK19="Decorative Diamond",'Job Sheet'!BL19="770 x 2050",'Job Sheet'!AB19="Jasper"),1,"")</f>
        <v/>
      </c>
      <c r="WV13" s="73" t="str">
        <f>IF(AND('Job Sheet'!BK19="Decorative Diamond",'Job Sheet'!BL19="770 x 2050",'Job Sheet'!AB19="Paperbark"),1,"")</f>
        <v/>
      </c>
      <c r="WW13" s="73" t="str">
        <f>IF(AND('Job Sheet'!BK19="Decorative Diamond",'Job Sheet'!BL19="770 x 2050",'Job Sheet'!AB19="Mist Green"),1,"")</f>
        <v/>
      </c>
      <c r="WX13" s="73" t="str">
        <f>IF(AND('Job Sheet'!BK19="Decorative Diamond",'Job Sheet'!BL19="770 x 2050",'Job Sheet'!AB19="Primrose"),1,"")</f>
        <v/>
      </c>
      <c r="WY13" s="73" t="str">
        <f>IF(AND('Job Sheet'!BK19="Decorative Diamond",'Job Sheet'!BL19="770 x 2050",'Job Sheet'!AB19="Ultra Silver"),1,"")</f>
        <v/>
      </c>
      <c r="WZ13" s="73" t="str">
        <f>IF(AND('Job Sheet'!BK19="Decorative Diamond",'Job Sheet'!BL19="770 x 2050",'Job Sheet'!AB19="Woodland Grey(Green Tone)"),1,"")</f>
        <v/>
      </c>
      <c r="XA13" s="73" t="str">
        <f>IF(AND('Job Sheet'!BK19="Decorative Diamond",'Job Sheet'!BL19="770 x 2050",'Job Sheet'!AB19="Pearl White"),1,"")</f>
        <v/>
      </c>
      <c r="XB13" s="73" t="str">
        <f>IF(AND('Job Sheet'!BK19="Decorative Diamond",'Job Sheet'!BL19="770 x 2050",'Job Sheet'!AB19="Monument"),1,"")</f>
        <v/>
      </c>
      <c r="XC13" s="73" t="str">
        <f>IF(AND('Job Sheet'!BK19="Decorative Diamond",'Job Sheet'!BL19="770 x 2050",'Job Sheet'!AB19="Surfmist"),1,"")</f>
        <v/>
      </c>
      <c r="XD13" s="73" t="str">
        <f>IF(AND('Job Sheet'!BK19="Decorative Diamond",'Job Sheet'!BL19="770 x 2050",'Job Sheet'!AB19="Dune"),1,"")</f>
        <v/>
      </c>
      <c r="XE13" s="73" t="str">
        <f>IF(AND('Job Sheet'!BK19="Decorative Diamond",'Job Sheet'!BL19="770 x 2050",'Job Sheet'!AB19="Custom Powdercoat"),1,"")</f>
        <v/>
      </c>
      <c r="XF13" s="73" t="str">
        <f>IF(AND('Job Sheet'!BK19="Decorative Diamond",'Job Sheet'!BL19="900 x 2050",'Job Sheet'!AB19="APO Grey"),1,"")</f>
        <v/>
      </c>
      <c r="XG13" s="73" t="str">
        <f>IF(AND('Job Sheet'!BK19="Decorative Diamond",'Job Sheet'!BL19="900 x 2050",'Job Sheet'!AB19="White Birch"),1,"")</f>
        <v/>
      </c>
      <c r="XH13" s="73" t="str">
        <f>IF(AND('Job Sheet'!BK19="Decorative Diamond",'Job Sheet'!BL19="900 x 2050",'Job Sheet'!AB19="Black"),1,"")</f>
        <v/>
      </c>
      <c r="XI13" s="73" t="str">
        <f>IF(AND('Job Sheet'!BK19="Decorative Diamond",'Job Sheet'!BL19="900 x 2050",'Job Sheet'!AB19="Brown"),1,"")</f>
        <v/>
      </c>
      <c r="XJ13" s="73" t="str">
        <f>IF(AND('Job Sheet'!BK19="Decorative Diamond",'Job Sheet'!BL19="900 x 2050",'Job Sheet'!AB19="Deep Ocean"),1,"")</f>
        <v/>
      </c>
      <c r="XK13" s="73" t="str">
        <f>IF(AND('Job Sheet'!BK19="Decorative Diamond",'Job Sheet'!BL19="900 x 2050",'Job Sheet'!AB19="Jasper"),1,"")</f>
        <v/>
      </c>
      <c r="XL13" s="73" t="str">
        <f>IF(AND('Job Sheet'!BK19="Decorative Diamond",'Job Sheet'!BL19="900 x 2050",'Job Sheet'!AB19="Paperbark"),1,"")</f>
        <v/>
      </c>
      <c r="XM13" s="73" t="str">
        <f>IF(AND('Job Sheet'!BK19="Decorative Diamond",'Job Sheet'!BL19="900 x 2050",'Job Sheet'!AB19="Mist Green"),1,"")</f>
        <v/>
      </c>
      <c r="XN13" s="73" t="str">
        <f>IF(AND('Job Sheet'!BK19="Decorative Diamond",'Job Sheet'!BL19="900 x 2050",'Job Sheet'!AB19="Primrose"),1,"")</f>
        <v/>
      </c>
      <c r="XO13" s="73" t="str">
        <f>IF(AND('Job Sheet'!BK19="Decorative Diamond",'Job Sheet'!BL19="900 x 2050",'Job Sheet'!AB19="Ultra Silver"),1,"")</f>
        <v/>
      </c>
      <c r="XP13" s="73" t="str">
        <f>IF(AND('Job Sheet'!BK19="Decorative Diamond",'Job Sheet'!BL19="900 x 2050",'Job Sheet'!AB19="Woodland Grey(Green Tone)"),1,"")</f>
        <v/>
      </c>
      <c r="XQ13" s="73" t="str">
        <f>IF(AND('Job Sheet'!BK19="Decorative Diamond",'Job Sheet'!BL19="900 x 2050",'Job Sheet'!AB19="Pearl White"),1,"")</f>
        <v/>
      </c>
      <c r="XR13" s="73" t="str">
        <f>IF(AND('Job Sheet'!BK19="Decorative Diamond",'Job Sheet'!BL19="900 x 2050",'Job Sheet'!AB19="Monument"),1,"")</f>
        <v/>
      </c>
      <c r="XS13" s="73" t="str">
        <f>IF(AND('Job Sheet'!BK19="Decorative Diamond",'Job Sheet'!BL19="900 x 2050",'Job Sheet'!AB19="Surfmist"),1,"")</f>
        <v/>
      </c>
      <c r="XT13" s="73" t="str">
        <f>IF(AND('Job Sheet'!BK19="Decorative Diamond",'Job Sheet'!BL19="900 x 2050",'Job Sheet'!AB19="Dune"),1,"")</f>
        <v/>
      </c>
      <c r="XU13" s="73" t="str">
        <f>IF(AND('Job Sheet'!BK19="Decorative Diamond",'Job Sheet'!BL19="900 x 2050",'Job Sheet'!AB19="Custom Powdercoat"),1,"")</f>
        <v/>
      </c>
      <c r="XV13" s="73" t="str">
        <f>IF(AND('Job Sheet'!BK19="Decorative Diamond",'Job Sheet'!BL19="1150 x 2050",'Job Sheet'!AB19="APO Grey"),1,"")</f>
        <v/>
      </c>
      <c r="XW13" s="73" t="str">
        <f>IF(AND('Job Sheet'!BK19="Decorative Diamond",'Job Sheet'!BL19="1150 x 2050",'Job Sheet'!AB19="White Birch"),1,"")</f>
        <v/>
      </c>
      <c r="XX13" s="73" t="str">
        <f>IF(AND('Job Sheet'!BK19="Decorative Diamond",'Job Sheet'!BL19="1150 x 2050",'Job Sheet'!AB19="Black"),1,"")</f>
        <v/>
      </c>
      <c r="XY13" s="73" t="str">
        <f>IF(AND('Job Sheet'!BK19="Decorative Diamond",'Job Sheet'!BL19="1150 x 2050",'Job Sheet'!AB19="Brown"),1,"")</f>
        <v/>
      </c>
      <c r="XZ13" s="73" t="str">
        <f>IF(AND('Job Sheet'!BK19="Decorative Diamond",'Job Sheet'!BL19="1150 x 2050",'Job Sheet'!AB19="Deep Ocean"),1,"")</f>
        <v/>
      </c>
      <c r="YA13" s="73" t="str">
        <f>IF(AND('Job Sheet'!BK19="Decorative Diamond",'Job Sheet'!BL19="1150 x 2050",'Job Sheet'!AB19="Jasper"),1,"")</f>
        <v/>
      </c>
      <c r="YB13" s="73" t="str">
        <f>IF(AND('Job Sheet'!BK19="Decorative Diamond",'Job Sheet'!BL19="1150 x 2050",'Job Sheet'!AB19="Paperbark"),1,"")</f>
        <v/>
      </c>
      <c r="YC13" s="73" t="str">
        <f>IF(AND('Job Sheet'!BK19="Decorative Diamond",'Job Sheet'!BL19="1150 x 2050",'Job Sheet'!AB19="Mist Green"),1,"")</f>
        <v/>
      </c>
      <c r="YD13" s="73" t="str">
        <f>IF(AND('Job Sheet'!BK19="Decorative Diamond",'Job Sheet'!BL19="1150 x 2050",'Job Sheet'!AB19="Primrose"),1,"")</f>
        <v/>
      </c>
      <c r="YE13" s="73" t="str">
        <f>IF(AND('Job Sheet'!BK19="Decorative Diamond",'Job Sheet'!BL19="1150 x 2050",'Job Sheet'!AB19="Ultra Silver"),1,"")</f>
        <v/>
      </c>
      <c r="YF13" s="73" t="str">
        <f>IF(AND('Job Sheet'!BK19="Decorative Diamond",'Job Sheet'!BL19="1150 x 2050",'Job Sheet'!AB19="Woodland Grey(Green Tone)"),1,"")</f>
        <v/>
      </c>
      <c r="YG13" s="73" t="str">
        <f>IF(AND('Job Sheet'!BK19="Decorative Diamond",'Job Sheet'!BL19="1150 x 2050",'Job Sheet'!AB19="Pearl White"),1,"")</f>
        <v/>
      </c>
      <c r="YH13" s="73" t="str">
        <f>IF(AND('Job Sheet'!BK19="Decorative Diamond",'Job Sheet'!BL19="1150 x 2050",'Job Sheet'!AB19="Monument"),1,"")</f>
        <v/>
      </c>
      <c r="YI13" s="73" t="str">
        <f>IF(AND('Job Sheet'!BK19="Decorative Diamond",'Job Sheet'!BL19="1150 x 2050",'Job Sheet'!AB19="Surfmist"),1,"")</f>
        <v/>
      </c>
      <c r="YJ13" s="73" t="str">
        <f>IF(AND('Job Sheet'!BK19="Decorative Diamond",'Job Sheet'!BL19="1150 x 2050",'Job Sheet'!AB19="Dune"),1,"")</f>
        <v/>
      </c>
      <c r="YK13" s="73" t="str">
        <f>IF(AND('Job Sheet'!BK19="Decorative Diamond",'Job Sheet'!BL19="1150 x 2050",'Job Sheet'!AB19="Custom Powdercoat"),1,"")</f>
        <v/>
      </c>
      <c r="YL13" s="73" t="str">
        <f>IF(AND('Job Sheet'!AE19="DVA Mesh",'Job Sheet'!BR19="750 x 2000",'Job Sheet'!AF19="Apo Grey"),1,"")</f>
        <v/>
      </c>
      <c r="YM13" s="73" t="str">
        <f>IF(AND('Job Sheet'!AE19="DVA Mesh",'Job Sheet'!BR19="750 x 2000",'Job Sheet'!AF19="Birch White"),1,"")</f>
        <v/>
      </c>
      <c r="YN13" s="73" t="str">
        <f>IF(AND('Job Sheet'!AE19="DVA Mesh",'Job Sheet'!BR19="750 x 2000",'Job Sheet'!AF19="Black"),1,"")</f>
        <v/>
      </c>
      <c r="YO13" s="73" t="str">
        <f>IF(AND('Job Sheet'!AE19="DVA Mesh",'Job Sheet'!BR19="750 x 2000",'Job Sheet'!AF19="Brown"),1,"")</f>
        <v/>
      </c>
      <c r="YP13" s="73" t="str">
        <f>IF(AND('Job Sheet'!AE19="DVA Mesh",'Job Sheet'!BR19="750 x 2000",'Job Sheet'!AF19="Deep Ocean"),1,"")</f>
        <v/>
      </c>
      <c r="YQ13" s="73" t="str">
        <f>IF(AND('Job Sheet'!AE19="DVA Mesh",'Job Sheet'!BR19="750 x 2000",'Job Sheet'!AF19="Jasper"),1,"")</f>
        <v/>
      </c>
      <c r="YR13" s="73" t="str">
        <f>IF(AND('Job Sheet'!AE19="DVA Mesh",'Job Sheet'!BR19="750 x 2000",'Job Sheet'!AF19="Paperbark"),1,"")</f>
        <v/>
      </c>
      <c r="YS13" s="73" t="str">
        <f>IF(AND('Job Sheet'!AE19="DVA Mesh",'Job Sheet'!BR19="750 x 2000",'Job Sheet'!AF19="Mist Green"),1,"")</f>
        <v/>
      </c>
      <c r="YT13" s="73" t="str">
        <f>IF(AND('Job Sheet'!AE19="DVA Mesh",'Job Sheet'!BR19="750 x 2000",'Job Sheet'!AF19="Primrose"),1,"")</f>
        <v/>
      </c>
      <c r="YU13" s="73" t="str">
        <f>IF(AND('Job Sheet'!AE19="DVA Mesh",'Job Sheet'!BR19="750 x 2000",'Job Sheet'!AF19="Ultra Silver"),1,"")</f>
        <v/>
      </c>
      <c r="YV13" s="73" t="str">
        <f>IF(AND('Job Sheet'!AE19="DVA Mesh",'Job Sheet'!BR19="750 x 2000",'Job Sheet'!AF19="Woodland Grey(Green Tone)"),1,"")</f>
        <v/>
      </c>
      <c r="YW13" s="73" t="str">
        <f>IF(AND('Job Sheet'!AE19="DVA Mesh",'Job Sheet'!BR19="750 x 2000",'Job Sheet'!AF19="Pearl White"),1,"")</f>
        <v/>
      </c>
      <c r="YX13" s="73" t="str">
        <f>IF(AND('Job Sheet'!AE19="DVA Mesh",'Job Sheet'!BR19="750 x 2000",'Job Sheet'!AF19="Monument"),1,"")</f>
        <v/>
      </c>
      <c r="YY13" s="73" t="str">
        <f>IF(AND('Job Sheet'!AE19="DVA Mesh",'Job Sheet'!BR19="750 x 2000",'Job Sheet'!AF19="Surfmist"),1,"")</f>
        <v/>
      </c>
      <c r="YZ13" s="73" t="str">
        <f>IF(AND('Job Sheet'!AE19="DVA Mesh",'Job Sheet'!BR19="750 x 2000",'Job Sheet'!AF19="Dune"),1,"")</f>
        <v/>
      </c>
      <c r="ZA13" s="73" t="str">
        <f>IF(AND('Job Sheet'!AE19="DVA Mesh",'Job Sheet'!BR19="750 x 2000",'Job Sheet'!AF19="Custom Powdercoat"),1,"")</f>
        <v/>
      </c>
      <c r="ZB13" s="73" t="str">
        <f>IF(AND('Job Sheet'!AE19="DVA Mesh",'Job Sheet'!BR19="825 x 2000",'Job Sheet'!AF19="Apo Grey"),1,"")</f>
        <v/>
      </c>
      <c r="ZC13" s="73" t="str">
        <f>IF(AND('Job Sheet'!AE19="DVA Mesh",'Job Sheet'!BR19="825 x 2000",'Job Sheet'!AF19="Birch White"),1,"")</f>
        <v/>
      </c>
      <c r="ZD13" s="73" t="str">
        <f>IF(AND('Job Sheet'!AE19="DVA Mesh",'Job Sheet'!BR19="825 x 2000",'Job Sheet'!AF19="Black"),1,"")</f>
        <v/>
      </c>
      <c r="ZE13" s="73" t="str">
        <f>IF(AND('Job Sheet'!AE19="DVA Mesh",'Job Sheet'!BR19="825 x 2000",'Job Sheet'!AF19="Brown"),1,"")</f>
        <v/>
      </c>
      <c r="ZF13" s="73" t="str">
        <f>IF(AND('Job Sheet'!AE19="DVA Mesh",'Job Sheet'!BR19="825 x 2000",'Job Sheet'!AF19="Deep Ocean"),1,"")</f>
        <v/>
      </c>
      <c r="ZG13" s="73" t="str">
        <f>IF(AND('Job Sheet'!AE19="DVA Mesh",'Job Sheet'!BR19="825 x 2000",'Job Sheet'!AF19="Jasper"),1,"")</f>
        <v/>
      </c>
      <c r="ZH13" s="73" t="str">
        <f>IF(AND('Job Sheet'!AE19="DVA Mesh",'Job Sheet'!BR19="825 x 2000",'Job Sheet'!AF19="Paperbark"),1,"")</f>
        <v/>
      </c>
      <c r="ZI13" s="73" t="str">
        <f>IF(AND('Job Sheet'!AE19="DVA Mesh",'Job Sheet'!BR19="825 x 2000",'Job Sheet'!AF19="Mist Green"),1,"")</f>
        <v/>
      </c>
      <c r="ZJ13" s="73" t="str">
        <f>IF(AND('Job Sheet'!AE19="DVA Mesh",'Job Sheet'!BR19="825 x 2000",'Job Sheet'!AF19="Primrose"),1,"")</f>
        <v/>
      </c>
      <c r="ZK13" s="73" t="str">
        <f>IF(AND('Job Sheet'!AE19="DVA Mesh",'Job Sheet'!BR19="825 x 2000",'Job Sheet'!AF19="Ultra Silver"),1,"")</f>
        <v/>
      </c>
      <c r="ZL13" s="73" t="str">
        <f>IF(AND('Job Sheet'!AE19="DVA Mesh",'Job Sheet'!BR19="825 x 2000",'Job Sheet'!AF19="Woodland Grey(Green Tone)"),1,"")</f>
        <v/>
      </c>
      <c r="ZM13" s="73" t="str">
        <f>IF(AND('Job Sheet'!AE19="DVA Mesh",'Job Sheet'!BR19="825 x 2000",'Job Sheet'!AF19="Pearl White"),1,"")</f>
        <v/>
      </c>
      <c r="ZN13" s="73" t="str">
        <f>IF(AND('Job Sheet'!AE19="DVA Mesh",'Job Sheet'!BR19="825 x 2000",'Job Sheet'!AF19="Monument"),1,"")</f>
        <v/>
      </c>
      <c r="ZO13" s="73" t="str">
        <f>IF(AND('Job Sheet'!AE19="DVA Mesh",'Job Sheet'!BR19="825 x 2000",'Job Sheet'!AF19="Surfmist"),1,"")</f>
        <v/>
      </c>
      <c r="ZP13" s="73" t="str">
        <f>IF(AND('Job Sheet'!AE19="DVA Mesh",'Job Sheet'!BR19="825 x 2000",'Job Sheet'!AF19="Dune"),1,"")</f>
        <v/>
      </c>
      <c r="ZQ13" s="73" t="str">
        <f>IF(AND('Job Sheet'!AE19="DVA Mesh",'Job Sheet'!BR19="825 x 2000",'Job Sheet'!AF19="Custom Powdercoat"),1,"")</f>
        <v/>
      </c>
      <c r="ZR13" s="73" t="str">
        <f>IF(AND('Job Sheet'!AE19="DVA Mesh",'Job Sheet'!BR19="900 x 2200",'Job Sheet'!AF19="Apo Grey"),1,"")</f>
        <v/>
      </c>
      <c r="ZS13" s="73" t="str">
        <f>IF(AND('Job Sheet'!AE19="DVA Mesh",'Job Sheet'!BR19="900 x 2200",'Job Sheet'!AF19="Birch White"),1,"")</f>
        <v/>
      </c>
      <c r="ZT13" s="73" t="str">
        <f>IF(AND('Job Sheet'!AE19="DVA Mesh",'Job Sheet'!BR19="900 x 2200",'Job Sheet'!AF19="Black"),1,"")</f>
        <v/>
      </c>
      <c r="ZU13" s="73" t="str">
        <f>IF(AND('Job Sheet'!AE19="DVA Mesh",'Job Sheet'!BR19="900 x 2200",'Job Sheet'!AF19="Brown"),1,"")</f>
        <v/>
      </c>
      <c r="ZV13" s="73" t="str">
        <f>IF(AND('Job Sheet'!AE19="DVA Mesh",'Job Sheet'!BR19="900 x 2200",'Job Sheet'!AF19="Deep Ocean"),1,"")</f>
        <v/>
      </c>
      <c r="ZW13" s="73" t="str">
        <f>IF(AND('Job Sheet'!AE19="DVA Mesh",'Job Sheet'!BR19="900 x 2200",'Job Sheet'!AF19="Jasper"),1,"")</f>
        <v/>
      </c>
      <c r="ZX13" s="73" t="str">
        <f>IF(AND('Job Sheet'!AE19="DVA Mesh",'Job Sheet'!BR19="900 x 2200",'Job Sheet'!AF19="Paperbark"),1,"")</f>
        <v/>
      </c>
      <c r="ZY13" s="73" t="str">
        <f>IF(AND('Job Sheet'!AE19="DVA Mesh",'Job Sheet'!BR19="900 x 2200",'Job Sheet'!AF19="Mist Green"),1,"")</f>
        <v/>
      </c>
      <c r="ZZ13" s="73" t="str">
        <f>IF(AND('Job Sheet'!AE19="DVA Mesh",'Job Sheet'!BR19="900 x 2200",'Job Sheet'!AF19="Primrose"),1,"")</f>
        <v/>
      </c>
      <c r="AAA13" s="73" t="str">
        <f>IF(AND('Job Sheet'!AE19="DVA Mesh",'Job Sheet'!BR19="900 x 2200",'Job Sheet'!AF19="Ultra Silver"),1,"")</f>
        <v/>
      </c>
      <c r="AAB13" s="73" t="str">
        <f>IF(AND('Job Sheet'!AE19="DVA Mesh",'Job Sheet'!BR19="900 x 2200",'Job Sheet'!AF19="Woodland Grey(Green Tone)"),1,"")</f>
        <v/>
      </c>
      <c r="AAC13" s="73" t="str">
        <f>IF(AND('Job Sheet'!AE19="DVA Mesh",'Job Sheet'!BR19="900 x 2200",'Job Sheet'!AF19="Pearl White"),1,"")</f>
        <v/>
      </c>
      <c r="AAD13" s="73" t="str">
        <f>IF(AND('Job Sheet'!AE19="DVA Mesh",'Job Sheet'!BR19="900 x 2200",'Job Sheet'!AF19="Monument"),1,"")</f>
        <v/>
      </c>
      <c r="AAE13" s="73" t="str">
        <f>IF(AND('Job Sheet'!AE19="DVA Mesh",'Job Sheet'!BR19="900 x 2200",'Job Sheet'!AF19="Surfmist"),1,"")</f>
        <v/>
      </c>
      <c r="AAF13" s="73" t="str">
        <f>IF(AND('Job Sheet'!AE19="DVA Mesh",'Job Sheet'!BR19="900 x 2200",'Job Sheet'!AF19="Dune"),1,"")</f>
        <v/>
      </c>
      <c r="AAG13" s="73" t="str">
        <f>IF(AND('Job Sheet'!AE19="DVA Mesh",'Job Sheet'!BR19="900 x 2200",'Job Sheet'!AF19="Custom Powdercoat"),1,"")</f>
        <v/>
      </c>
      <c r="AAH13" s="73" t="str">
        <f>IF(AND('Job Sheet'!AE19="DVA Mesh",'Job Sheet'!BR19="900 x 2400",'Job Sheet'!AF19="Apo Grey"),1,"")</f>
        <v/>
      </c>
      <c r="AAI13" s="73" t="str">
        <f>IF(AND('Job Sheet'!AE19="DVA Mesh",'Job Sheet'!BR19="900 x 2400",'Job Sheet'!AF19="Birch White"),1,"")</f>
        <v/>
      </c>
      <c r="AAJ13" s="73" t="str">
        <f>IF(AND('Job Sheet'!AE19="DVA Mesh",'Job Sheet'!BR19="900 x 2400",'Job Sheet'!AF19="Black"),1,"")</f>
        <v/>
      </c>
      <c r="AAK13" s="73" t="str">
        <f>IF(AND('Job Sheet'!AE19="DVA Mesh",'Job Sheet'!BR19="900 x 2400",'Job Sheet'!AF19="Brown"),1,"")</f>
        <v/>
      </c>
      <c r="AAL13" s="73" t="str">
        <f>IF(AND('Job Sheet'!AE19="DVA Mesh",'Job Sheet'!BR19="900 x 2400",'Job Sheet'!AF19="Deep Ocean"),1,"")</f>
        <v/>
      </c>
      <c r="AAM13" s="73" t="str">
        <f>IF(AND('Job Sheet'!AE19="DVA Mesh",'Job Sheet'!BR19="900 x 2400",'Job Sheet'!AF19="Jasper"),1,"")</f>
        <v/>
      </c>
      <c r="AAN13" s="73" t="str">
        <f>IF(AND('Job Sheet'!AE19="DVA Mesh",'Job Sheet'!BR19="900 x 2400",'Job Sheet'!AF19="Paperbark"),1,"")</f>
        <v/>
      </c>
      <c r="AAO13" s="73" t="str">
        <f>IF(AND('Job Sheet'!AE19="DVA Mesh",'Job Sheet'!BR19="900 x 2400",'Job Sheet'!AF19="Mist Green"),1,"")</f>
        <v/>
      </c>
      <c r="AAP13" s="73" t="str">
        <f>IF(AND('Job Sheet'!AE19="DVA Mesh",'Job Sheet'!BR19="900 x 2400",'Job Sheet'!AF19="Primrose"),1,"")</f>
        <v/>
      </c>
      <c r="AAQ13" s="73" t="str">
        <f>IF(AND('Job Sheet'!AE19="DVA Mesh",'Job Sheet'!BR19="900 x 2400",'Job Sheet'!AF19="Ultra Silver"),1,"")</f>
        <v/>
      </c>
      <c r="AAR13" s="73" t="str">
        <f>IF(AND('Job Sheet'!AE19="DVA Mesh",'Job Sheet'!BR19="900 x 2400",'Job Sheet'!AF19="Woodland Grey(Green Tone)"),1,"")</f>
        <v/>
      </c>
      <c r="AAS13" s="73" t="str">
        <f>IF(AND('Job Sheet'!AE19="DVA Mesh",'Job Sheet'!BR19="900 x 2400",'Job Sheet'!AF19="Pearl White"),1,"")</f>
        <v/>
      </c>
      <c r="AAT13" s="73" t="str">
        <f>IF(AND('Job Sheet'!AE19="DVA Mesh",'Job Sheet'!BR19="900 x 2400",'Job Sheet'!AF19="Monument"),1,"")</f>
        <v/>
      </c>
      <c r="AAU13" s="73" t="str">
        <f>IF(AND('Job Sheet'!AE19="DVA Mesh",'Job Sheet'!BR19="900 x 2400",'Job Sheet'!AF19="Surfmist"),1,"")</f>
        <v/>
      </c>
      <c r="AAV13" s="73" t="str">
        <f>IF(AND('Job Sheet'!AE19="DVA Mesh",'Job Sheet'!BR19="900 x 2400",'Job Sheet'!AF19="Dune"),1,"")</f>
        <v/>
      </c>
      <c r="AAW13" s="73" t="str">
        <f>IF(AND('Job Sheet'!AE19="DVA Mesh",'Job Sheet'!BR19="900 x 2400",'Job Sheet'!AF19="Custom Powdercoat"),1,"")</f>
        <v/>
      </c>
      <c r="AAX13" s="73" t="str">
        <f>IF(AND('Job Sheet'!AE19="DVA Mesh",'Job Sheet'!BR19="1200 x 2200",'Job Sheet'!AF19="Apo Grey"),1,"")</f>
        <v/>
      </c>
      <c r="AAY13" s="73" t="str">
        <f>IF(AND('Job Sheet'!AE19="DVA Mesh",'Job Sheet'!BR19="1200 x 2200",'Job Sheet'!AF19="Birch White"),1,"")</f>
        <v/>
      </c>
      <c r="AAZ13" s="73" t="str">
        <f>IF(AND('Job Sheet'!AE19="DVA Mesh",'Job Sheet'!BR19="1200 x 2200",'Job Sheet'!AF19="Black"),1,"")</f>
        <v/>
      </c>
      <c r="ABA13" s="73" t="str">
        <f>IF(AND('Job Sheet'!AE19="DVA Mesh",'Job Sheet'!BR19="1200 x 2200",'Job Sheet'!AF19="Brown"),1,"")</f>
        <v/>
      </c>
      <c r="ABB13" s="73" t="str">
        <f>IF(AND('Job Sheet'!AE19="DVA Mesh",'Job Sheet'!BR19="1200 x 2200",'Job Sheet'!AF19="Deep Ocean"),1,"")</f>
        <v/>
      </c>
      <c r="ABC13" s="73" t="str">
        <f>IF(AND('Job Sheet'!AE19="DVA Mesh",'Job Sheet'!BR19="1200 x 2200",'Job Sheet'!AF19="Jasper"),1,"")</f>
        <v/>
      </c>
      <c r="ABD13" s="73" t="str">
        <f>IF(AND('Job Sheet'!AE19="DVA Mesh",'Job Sheet'!BR19="1200 x 2200",'Job Sheet'!AF19="Paperbark"),1,"")</f>
        <v/>
      </c>
      <c r="ABE13" s="73" t="str">
        <f>IF(AND('Job Sheet'!AE19="DVA Mesh",'Job Sheet'!BR19="1200 x 2200",'Job Sheet'!AF19="Mist Green"),1,"")</f>
        <v/>
      </c>
      <c r="ABF13" s="73" t="str">
        <f>IF(AND('Job Sheet'!AE19="DVA Mesh",'Job Sheet'!BR19="1200 x 2200",'Job Sheet'!AF19="Primrose"),1,"")</f>
        <v/>
      </c>
      <c r="ABG13" s="73" t="str">
        <f>IF(AND('Job Sheet'!AE19="DVA Mesh",'Job Sheet'!BR19="1200 x 2200",'Job Sheet'!AF19="Ultra Silver"),1,"")</f>
        <v/>
      </c>
      <c r="ABH13" s="73" t="str">
        <f>IF(AND('Job Sheet'!AE19="DVA Mesh",'Job Sheet'!BR19="1200 x 2200",'Job Sheet'!AF19="Woodland Grey(Green Tone)"),1,"")</f>
        <v/>
      </c>
      <c r="ABI13" s="73" t="str">
        <f>IF(AND('Job Sheet'!AE19="DVA Mesh",'Job Sheet'!BR19="1200 x 2200",'Job Sheet'!AF19="Pearl White"),1,"")</f>
        <v/>
      </c>
      <c r="ABJ13" s="73" t="str">
        <f>IF(AND('Job Sheet'!AE19="DVA Mesh",'Job Sheet'!BR19="1200 x 2200",'Job Sheet'!AF19="Monument"),1,"")</f>
        <v/>
      </c>
      <c r="ABK13" s="73" t="str">
        <f>IF(AND('Job Sheet'!AE19="DVA Mesh",'Job Sheet'!BR19="1200 x 2200",'Job Sheet'!AF19="Surfmist"),1,"")</f>
        <v/>
      </c>
      <c r="ABL13" s="73" t="str">
        <f>IF(AND('Job Sheet'!AE19="DVA Mesh",'Job Sheet'!BR19="1200 x 2200",'Job Sheet'!AF19="Dune"),1,"")</f>
        <v/>
      </c>
      <c r="ABM13" s="73" t="str">
        <f>IF(AND('Job Sheet'!AE19="DVA Mesh",'Job Sheet'!BR19="1200 x 2200",'Job Sheet'!AF19="Custom Powdercoat"),1,"")</f>
        <v/>
      </c>
      <c r="ABN13" s="73" t="str">
        <f>IF(AND('Job Sheet'!AE19="DVA Mesh",'Job Sheet'!BR19="1200 x 2400",'Job Sheet'!AF19="Apo Grey"),1,"")</f>
        <v/>
      </c>
      <c r="ABO13" s="73" t="str">
        <f>IF(AND('Job Sheet'!AE19="DVA Mesh",'Job Sheet'!BR19="1200 x 2400",'Job Sheet'!AF19="Birch White"),1,"")</f>
        <v/>
      </c>
      <c r="ABP13" s="73" t="str">
        <f>IF(AND('Job Sheet'!AE19="DVA Mesh",'Job Sheet'!BR19="1200 x 2400",'Job Sheet'!AF19="Black"),1,"")</f>
        <v/>
      </c>
      <c r="ABQ13" s="73" t="str">
        <f>IF(AND('Job Sheet'!AE19="DVA Mesh",'Job Sheet'!BR19="1200 x 2400",'Job Sheet'!AF19="Brown"),1,"")</f>
        <v/>
      </c>
      <c r="ABR13" s="73" t="str">
        <f>IF(AND('Job Sheet'!AE19="DVA Mesh",'Job Sheet'!BR19="1200 x 2400",'Job Sheet'!AF19="Deep Ocean"),1,"")</f>
        <v/>
      </c>
      <c r="ABS13" s="73" t="str">
        <f>IF(AND('Job Sheet'!AE19="DVA Mesh",'Job Sheet'!BR19="1200 x 2400",'Job Sheet'!AF19="Jasper"),1,"")</f>
        <v/>
      </c>
      <c r="ABT13" s="73" t="str">
        <f>IF(AND('Job Sheet'!AE19="DVA Mesh",'Job Sheet'!BR19="1200 x 2400",'Job Sheet'!AF19="Paperbark"),1,"")</f>
        <v/>
      </c>
      <c r="ABU13" s="73" t="str">
        <f>IF(AND('Job Sheet'!AE19="DVA Mesh",'Job Sheet'!BR19="1200 x 2400",'Job Sheet'!AF19="Mist Green"),1,"")</f>
        <v/>
      </c>
      <c r="ABV13" s="73" t="str">
        <f>IF(AND('Job Sheet'!AE19="DVA Mesh",'Job Sheet'!BR19="1200 x 2400",'Job Sheet'!AF19="Primrose"),1,"")</f>
        <v/>
      </c>
      <c r="ABW13" s="73" t="str">
        <f>IF(AND('Job Sheet'!AE19="DVA Mesh",'Job Sheet'!BR19="1200 x 2400",'Job Sheet'!AF19="Ultra Silver"),1,"")</f>
        <v/>
      </c>
      <c r="ABX13" s="73" t="str">
        <f>IF(AND('Job Sheet'!AE19="DVA Mesh",'Job Sheet'!BR19="1200 x 2400",'Job Sheet'!AF19="Woodland Grey(Green Tone)"),1,"")</f>
        <v/>
      </c>
      <c r="ABY13" s="73" t="str">
        <f>IF(AND('Job Sheet'!AE19="DVA Mesh",'Job Sheet'!BR19="1200 x 2400",'Job Sheet'!AF19="Pearl White"),1,"")</f>
        <v/>
      </c>
      <c r="ABZ13" s="73" t="str">
        <f>IF(AND('Job Sheet'!AE19="DVA Mesh",'Job Sheet'!BR19="1200 x 2400",'Job Sheet'!AF19="Monument"),1,"")</f>
        <v/>
      </c>
      <c r="ACA13" s="73" t="str">
        <f>IF(AND('Job Sheet'!AE19="DVA Mesh",'Job Sheet'!BR19="1200 x 2400",'Job Sheet'!AF19="Surfmist"),1,"")</f>
        <v/>
      </c>
      <c r="ACB13" s="73" t="str">
        <f>IF(AND('Job Sheet'!AE19="DVA Mesh",'Job Sheet'!BR19="1200 x 2400",'Job Sheet'!AF19="Dune"),1,"")</f>
        <v/>
      </c>
      <c r="ACC13" s="73" t="str">
        <f>IF(AND('Job Sheet'!AE19="DVA Mesh",'Job Sheet'!BR19="1200 x 2400",'Job Sheet'!AF19="Custom Powdercoat"),1,"")</f>
        <v/>
      </c>
      <c r="ACD13" s="73" t="str">
        <f>IF('Job Sheet'!AE19="Fibreglass Mesh",CONCATENATE('Job Sheet'!BH19," x ",'Job Sheet'!BI19),"")</f>
        <v/>
      </c>
      <c r="ACE13" s="73" t="str">
        <f>IF('Job Sheet'!AE19="Aluminium Mesh",CONCATENATE('Job Sheet'!BH19," x ",'Job Sheet'!BI19),"")</f>
        <v/>
      </c>
      <c r="ACF13" s="73" t="str">
        <f>IF('Job Sheet'!AE19="Tuff Mesh",CONCATENATE('Job Sheet'!BH19," x ",'Job Sheet'!BI19),"")</f>
        <v/>
      </c>
      <c r="ACI13" s="73" t="str">
        <f>IF('Job Sheet'!AE19="Pet Mesh",CONCATENATE('Job Sheet'!BH19," x ",'Job Sheet'!BI19),"")</f>
        <v/>
      </c>
      <c r="ACJ13" s="73"/>
      <c r="ACK13" t="str">
        <f>IF(Guillotine!F20="SP13AB Apo Grey",1,"")</f>
        <v/>
      </c>
      <c r="ACL13" t="str">
        <f>IF(Guillotine!F20="SP13AB White Birch",1,"")</f>
        <v/>
      </c>
      <c r="ACM13" t="str">
        <f>IF(Guillotine!F20="SP13AB Black",1,"")</f>
        <v/>
      </c>
      <c r="ACN13" t="str">
        <f>IF(Guillotine!F20="SP13AB Brown",1,"")</f>
        <v/>
      </c>
      <c r="ACO13" t="str">
        <f>IF(Guillotine!F20="SP13AB Deep Ocean",1,"")</f>
        <v/>
      </c>
      <c r="ACP13" t="str">
        <f>IF(Guillotine!F20="SP13AB Jasper",1,"")</f>
        <v/>
      </c>
      <c r="ACQ13" t="str">
        <f>IF(Guillotine!F20="SP13AB Paperbark",1,"")</f>
        <v/>
      </c>
      <c r="ACR13" t="str">
        <f>IF(Guillotine!F20="SP13AB Mist Green",1,"")</f>
        <v/>
      </c>
      <c r="ACS13" t="str">
        <f>IF(Guillotine!F20="SP13AB Primrose",1,"")</f>
        <v/>
      </c>
      <c r="ACT13" t="str">
        <f>IF(Guillotine!F20="SP13AB Ultra Silver",1,"")</f>
        <v/>
      </c>
      <c r="ACU13" t="str">
        <f>IF(Guillotine!F20="SP13AB Woodland Grey(Green Tone)",1,"")</f>
        <v/>
      </c>
      <c r="ACV13" t="str">
        <f>IF(Guillotine!F20="SP13AB Pearl White",1,"")</f>
        <v/>
      </c>
      <c r="ACW13" t="str">
        <f>IF(Guillotine!F20="SP13AB Monument",1,"")</f>
        <v/>
      </c>
      <c r="ACX13" t="str">
        <f>IF(Guillotine!F20="SP13AB Surfmist",1,"")</f>
        <v/>
      </c>
      <c r="ACY13" t="str">
        <f>IF(Guillotine!F20="SP13AB Dune",1,"")</f>
        <v/>
      </c>
      <c r="ACZ13" t="str">
        <f>IF(Guillotine!F20="SP13AB Powdercoat",1,"")</f>
        <v/>
      </c>
      <c r="ADA13" t="str">
        <f>IF(Guillotine!F20="SP13BB Apo Grey",1,"")</f>
        <v/>
      </c>
      <c r="ADB13" t="str">
        <f>IF(Guillotine!F20="SP13BB White Birch",1,"")</f>
        <v/>
      </c>
      <c r="ADC13" t="str">
        <f>IF(Guillotine!F20="SP13BB Black",1,"")</f>
        <v/>
      </c>
      <c r="ADD13" t="str">
        <f>IF(Guillotine!F20="SP13BB Brown",1,"")</f>
        <v/>
      </c>
      <c r="ADE13" t="str">
        <f>IF(Guillotine!F20="SP13BB Deep Ocean",1,"")</f>
        <v/>
      </c>
      <c r="ADF13" t="str">
        <f>IF(Guillotine!F20="SP13BB Jasper",1,"")</f>
        <v/>
      </c>
      <c r="ADG13" t="str">
        <f>IF(Guillotine!F20="SP13BB Paperbark",1,"")</f>
        <v/>
      </c>
      <c r="ADH13" t="str">
        <f>IF(Guillotine!F20="SP13BB Mist Green",1,"")</f>
        <v/>
      </c>
      <c r="ADI13" t="str">
        <f>IF(Guillotine!F20="SP13BB Primrose",1,"")</f>
        <v/>
      </c>
      <c r="ADJ13" t="str">
        <f>IF(Guillotine!F20="SP13BB Ultra Silver",1,"")</f>
        <v/>
      </c>
      <c r="ADK13" t="str">
        <f>IF(Guillotine!F20="SP13BB Woodland Grey(Green Tone)",1,"")</f>
        <v/>
      </c>
      <c r="ADL13" t="str">
        <f>IF(Guillotine!F20="SP13BB Pearl White",1,"")</f>
        <v/>
      </c>
      <c r="ADM13" t="str">
        <f>IF(Guillotine!F20="SP13BB Monument",1,"")</f>
        <v/>
      </c>
      <c r="ADN13" t="str">
        <f>IF(Guillotine!F20="SP13BB Surfmist",1,"")</f>
        <v/>
      </c>
      <c r="ADO13" t="str">
        <f>IF(Guillotine!F20="SP13BB Dune",1,"")</f>
        <v/>
      </c>
      <c r="ADP13" t="str">
        <f>IF(Guillotine!F20="SP13BB Powdercoat",1,"")</f>
        <v/>
      </c>
      <c r="ADQ13" t="str">
        <f>IF(Guillotine!F20="SP14AB Apo Grey",1,"")</f>
        <v/>
      </c>
      <c r="ADR13" t="str">
        <f>IF(Guillotine!F20="SP14AB White Birch",1,"")</f>
        <v/>
      </c>
      <c r="ADS13" t="str">
        <f>IF(Guillotine!F20="SP14AB Black",1,"")</f>
        <v/>
      </c>
      <c r="ADT13" t="str">
        <f>IF(Guillotine!F20="SP14AB Brown",1,"")</f>
        <v/>
      </c>
      <c r="ADU13" t="str">
        <f>IF(Guillotine!F20="SP14AB Deep Ocean",1,"")</f>
        <v/>
      </c>
      <c r="ADV13" t="str">
        <f>IF(Guillotine!F20="SP14AB Jasper",1,"")</f>
        <v/>
      </c>
      <c r="ADW13" t="str">
        <f>IF(Guillotine!F20="SP14AB Paperbark",1,"")</f>
        <v/>
      </c>
      <c r="ADX13" t="str">
        <f>IF(Guillotine!F20="SP14AB Mist Green",1,"")</f>
        <v/>
      </c>
      <c r="ADY13" t="str">
        <f>IF(Guillotine!F20="SP14AB Primrose",1,"")</f>
        <v/>
      </c>
      <c r="ADZ13" t="str">
        <f>IF(Guillotine!F20="SP14AB Ultra Silver",1,"")</f>
        <v/>
      </c>
      <c r="AEA13" t="str">
        <f>IF(Guillotine!F20="SP14AB Woodland Grey(Green Tone)",1,"")</f>
        <v/>
      </c>
      <c r="AEB13" t="str">
        <f>IF(Guillotine!F20="SP14AB Pearl White",1,"")</f>
        <v/>
      </c>
      <c r="AEC13" t="str">
        <f>IF(Guillotine!F20="SP14AB Monument",1,"")</f>
        <v/>
      </c>
      <c r="AED13" t="str">
        <f>IF(Guillotine!F20="SP14AB Surfmist",1,"")</f>
        <v/>
      </c>
      <c r="AEE13" t="str">
        <f>IF(Guillotine!F20="SP14AB Dune",1,"")</f>
        <v/>
      </c>
      <c r="AEF13" t="str">
        <f>IF(Guillotine!F20="SP14AB Powdercoat",1,"")</f>
        <v/>
      </c>
      <c r="AEG13" t="str">
        <f>IF(Guillotine!F20="SP17AB Apo Grey",1,"")</f>
        <v/>
      </c>
      <c r="AEH13" t="str">
        <f>IF(Guillotine!F20="SP17AB White Birch",1,"")</f>
        <v/>
      </c>
      <c r="AEI13" t="str">
        <f>IF(Guillotine!F20="SP17AB Black",1,"")</f>
        <v/>
      </c>
      <c r="AEJ13" t="str">
        <f>IF(Guillotine!F20="SP17AB Brown",1,"")</f>
        <v/>
      </c>
      <c r="AEK13" t="str">
        <f>IF(Guillotine!F20="SP17AB Deep Ocean",1,"")</f>
        <v/>
      </c>
      <c r="AEL13" t="str">
        <f>IF(Guillotine!F20="SP17AB Jasper",1,"")</f>
        <v/>
      </c>
      <c r="AEM13" t="str">
        <f>IF(Guillotine!F20="SP17AB Paperbark",1,"")</f>
        <v/>
      </c>
      <c r="AEN13" t="str">
        <f>IF(Guillotine!F20="SP17AB Mist Green",1,"")</f>
        <v/>
      </c>
      <c r="AEO13" t="str">
        <f>IF(Guillotine!F20="SP17AB Primrose",1,"")</f>
        <v/>
      </c>
      <c r="AEP13" t="str">
        <f>IF(Guillotine!F20="SP17AB Ultra Silver",1,"")</f>
        <v/>
      </c>
      <c r="AEQ13" t="str">
        <f>IF(Guillotine!F20="SP17AB Woodland Grey(Green Tone)",1,"")</f>
        <v/>
      </c>
      <c r="AER13" t="str">
        <f>IF(Guillotine!F20="SP17AB Pearl White",1,"")</f>
        <v/>
      </c>
      <c r="AES13" t="str">
        <f>IF(Guillotine!F20="SP17AB Monument",1,"")</f>
        <v/>
      </c>
      <c r="AET13" t="str">
        <f>IF(Guillotine!F20="SP17AB Surfmist",1,"")</f>
        <v/>
      </c>
      <c r="AEU13" t="str">
        <f>IF(Guillotine!F20="SP17AB Dune",1,"")</f>
        <v/>
      </c>
      <c r="AEV13" t="str">
        <f>IF(Guillotine!F20="SP17AB Powdercoat",1,"")</f>
        <v/>
      </c>
      <c r="AEW13" t="str">
        <f>IF(Guillotine!F20="SP27AB Apo Grey",1,"")</f>
        <v/>
      </c>
      <c r="AEX13" t="str">
        <f>IF(Guillotine!F20="SP27AB White Birch",1,"")</f>
        <v/>
      </c>
      <c r="AEY13" t="str">
        <f>IF(Guillotine!F20="SP27AB Black",1,"")</f>
        <v/>
      </c>
      <c r="AEZ13" t="str">
        <f>IF(Guillotine!F20="SP27AB Brown",1,"")</f>
        <v/>
      </c>
      <c r="AFA13" t="str">
        <f>IF(Guillotine!F20="SP27AB Deep Ocean",1,"")</f>
        <v/>
      </c>
      <c r="AFB13" t="str">
        <f>IF(Guillotine!F20="SP27AB Jasper",1,"")</f>
        <v/>
      </c>
      <c r="AFC13" t="str">
        <f>IF(Guillotine!F20="SP27AB Paperbark",1,"")</f>
        <v/>
      </c>
      <c r="AFD13" t="str">
        <f>IF(Guillotine!F20="SP27AB Mist Green",1,"")</f>
        <v/>
      </c>
      <c r="AFE13" t="str">
        <f>IF(Guillotine!F20="SP27AB Primrose",1,"")</f>
        <v/>
      </c>
      <c r="AFF13" t="str">
        <f>IF(Guillotine!F20="SP27AB Ultra Silver",1,"")</f>
        <v/>
      </c>
      <c r="AFG13" t="str">
        <f>IF(Guillotine!F20="SP27AB Woodland Grey(Green Tone)",1,"")</f>
        <v/>
      </c>
      <c r="AFH13" t="str">
        <f>IF(Guillotine!F20="SP27AB Pearl White",1,"")</f>
        <v/>
      </c>
      <c r="AFI13" t="str">
        <f>IF(Guillotine!F20="SP27AB Monument",1,"")</f>
        <v/>
      </c>
      <c r="AFJ13" t="str">
        <f>IF(Guillotine!F20="SP27AB Surfmist",1,"")</f>
        <v/>
      </c>
      <c r="AFK13" t="str">
        <f>IF(Guillotine!F20="SP27AB Dune",1,"")</f>
        <v/>
      </c>
      <c r="AFL13" t="str">
        <f>IF(Guillotine!F20="SP27AB Powdercoat",1,"")</f>
        <v/>
      </c>
      <c r="AFM13" t="str">
        <f>IF(Guillotine!F20="SP29AB Apo Grey",1,"")</f>
        <v/>
      </c>
      <c r="AFN13" t="str">
        <f>IF(Guillotine!F20="SP29AB White Birch",1,"")</f>
        <v/>
      </c>
      <c r="AFO13" t="str">
        <f>IF(Guillotine!F20="SP29AB Black",1,"")</f>
        <v/>
      </c>
      <c r="AFP13" t="str">
        <f>IF(Guillotine!F20="SP29AB Brown",1,"")</f>
        <v/>
      </c>
      <c r="AFQ13" t="str">
        <f>IF(Guillotine!F20="SP29AB Deep Ocean",1,"")</f>
        <v/>
      </c>
      <c r="AFR13" t="str">
        <f>IF(Guillotine!F20="SP29AB Jasper",1,"")</f>
        <v/>
      </c>
      <c r="AFS13" t="str">
        <f>IF(Guillotine!F20="SP29AB Paperbark",1,"")</f>
        <v/>
      </c>
      <c r="AFT13" t="str">
        <f>IF(Guillotine!F20="SP29AB Mist Green",1,"")</f>
        <v/>
      </c>
      <c r="AFU13" t="str">
        <f>IF(Guillotine!F20="SP29AB Primrose",1,"")</f>
        <v/>
      </c>
      <c r="AFV13" t="str">
        <f>IF(Guillotine!F20="SP29AB Ultra Silver",1,"")</f>
        <v/>
      </c>
      <c r="AFW13" t="str">
        <f>IF(Guillotine!F20="SP29AB Woodland Grey(Green Tone)",1,"")</f>
        <v/>
      </c>
      <c r="AFX13" t="str">
        <f>IF(Guillotine!F20="SP29AB Pearl White",1,"")</f>
        <v/>
      </c>
      <c r="AFY13" t="str">
        <f>IF(Guillotine!F20="SP29AB Monument",1,"")</f>
        <v/>
      </c>
      <c r="AFZ13" t="str">
        <f>IF(Guillotine!F20="SP29AB Surfmist",1,"")</f>
        <v/>
      </c>
      <c r="AGA13" t="str">
        <f>IF(Guillotine!F20="SP29AB Dune",1,"")</f>
        <v/>
      </c>
      <c r="AGB13" t="str">
        <f>IF(Guillotine!F20="SP29AB Powdercoat",1,"")</f>
        <v/>
      </c>
      <c r="AGC13" t="str">
        <f>IF(Guillotine!F20="SP34AB Apo Grey",1,"")</f>
        <v/>
      </c>
      <c r="AGD13" t="str">
        <f>IF(Guillotine!F20="SP34AB White Birch",1,"")</f>
        <v/>
      </c>
      <c r="AGE13" t="str">
        <f>IF(Guillotine!F20="SP34AB Black",1,"")</f>
        <v/>
      </c>
      <c r="AGF13" t="str">
        <f>IF(Guillotine!F20="SP34AB Brown",1,"")</f>
        <v/>
      </c>
      <c r="AGG13" t="str">
        <f>IF(Guillotine!F20="SP34AB Deep Ocean",1,"")</f>
        <v/>
      </c>
      <c r="AGH13" t="str">
        <f>IF(Guillotine!F20="SP34AB Jasper",1,"")</f>
        <v/>
      </c>
      <c r="AGI13" t="str">
        <f>IF(Guillotine!F20="SP34AB Paperbark",1,"")</f>
        <v/>
      </c>
      <c r="AGJ13" t="str">
        <f>IF(Guillotine!F20="SP34AB Mist Green",1,"")</f>
        <v/>
      </c>
      <c r="AGK13" t="str">
        <f>IF(Guillotine!F20="SP34AB Primrose",1,"")</f>
        <v/>
      </c>
      <c r="AGL13" t="str">
        <f>IF(Guillotine!F20="SP34AB Ultra Silver",1,"")</f>
        <v/>
      </c>
      <c r="AGM13" t="str">
        <f>IF(Guillotine!F20="SP34AB Woodland Grey(Green Tone)",1,"")</f>
        <v/>
      </c>
      <c r="AGN13" t="str">
        <f>IF(Guillotine!F20="SP34AB Pearl White",1,"")</f>
        <v/>
      </c>
      <c r="AGO13" t="str">
        <f>IF(Guillotine!F20="SP34AB Monument",1,"")</f>
        <v/>
      </c>
      <c r="AGP13" t="str">
        <f>IF(Guillotine!F20="SP34AB Surfmist",1,"")</f>
        <v/>
      </c>
      <c r="AGQ13" t="str">
        <f>IF(Guillotine!F20="SP34AB Dune",1,"")</f>
        <v/>
      </c>
      <c r="AGR13" t="str">
        <f>IF(Guillotine!F20="SP34AB Powdercoat",1,"")</f>
        <v/>
      </c>
      <c r="AGS13" t="str">
        <f>IF(Guillotine!F20="SP37AB Apo Grey",1,"")</f>
        <v/>
      </c>
      <c r="AGT13" t="str">
        <f>IF(Guillotine!F20="SP37AB White Birch",1,"")</f>
        <v/>
      </c>
      <c r="AGU13" t="str">
        <f>IF(Guillotine!F20="SP37AB Black",1,"")</f>
        <v/>
      </c>
      <c r="AGV13" t="str">
        <f>IF(Guillotine!F20="SP37AB Brown",1,"")</f>
        <v/>
      </c>
      <c r="AGW13" t="str">
        <f>IF(Guillotine!F20="SP37AB Deep Ocean",1,"")</f>
        <v/>
      </c>
      <c r="AGX13" t="str">
        <f>IF(Guillotine!F20="SP37AB Jasper",1,"")</f>
        <v/>
      </c>
      <c r="AGY13" t="str">
        <f>IF(Guillotine!F20="SP37AB Paperbark",1,"")</f>
        <v/>
      </c>
      <c r="AGZ13" t="str">
        <f>IF(Guillotine!F20="SP37AB Mist Green",1,"")</f>
        <v/>
      </c>
      <c r="AHA13" t="str">
        <f>IF(Guillotine!F20="SP37AB Primrose",1,"")</f>
        <v/>
      </c>
      <c r="AHB13" t="str">
        <f>IF(Guillotine!F20="SP37AB Ultra Silver",1,"")</f>
        <v/>
      </c>
      <c r="AHC13" t="str">
        <f>IF(Guillotine!F20="SP37AB Woodland Grey(Green Tone)",1,"")</f>
        <v/>
      </c>
      <c r="AHD13" t="str">
        <f>IF(Guillotine!F20="SP37AB Pearl White",1,"")</f>
        <v/>
      </c>
      <c r="AHE13" t="str">
        <f>IF(Guillotine!F20="SP37AB Monument",1,"")</f>
        <v/>
      </c>
      <c r="AHF13" t="str">
        <f>IF(Guillotine!F20="SP37AB Surfmist",1,"")</f>
        <v/>
      </c>
      <c r="AHG13" t="str">
        <f>IF(Guillotine!F20="SP37AB Dune",1,"")</f>
        <v/>
      </c>
      <c r="AHH13" t="str">
        <f>IF(Guillotine!F20="SP37AB Powdercoat",1,"")</f>
        <v/>
      </c>
      <c r="AHI13" t="str">
        <f>IF(Guillotine!F20="SP52 Apo Grey",1,"")</f>
        <v/>
      </c>
      <c r="AHJ13" t="str">
        <f>IF(Guillotine!F20="SP52 White Birch",1,"")</f>
        <v/>
      </c>
      <c r="AHK13" t="str">
        <f>IF(Guillotine!F20="SP52 Black",1,"")</f>
        <v/>
      </c>
      <c r="AHL13" t="str">
        <f>IF(Guillotine!F20="SP52 Brown",1,"")</f>
        <v/>
      </c>
      <c r="AHM13" t="str">
        <f>IF(Guillotine!F20="SP52 Deep Ocean",1,"")</f>
        <v/>
      </c>
      <c r="AHN13" t="str">
        <f>IF(Guillotine!F20="SP52 Jasper",1,"")</f>
        <v/>
      </c>
      <c r="AHO13" t="str">
        <f>IF(Guillotine!F20="SP52 Paperbark",1,"")</f>
        <v/>
      </c>
      <c r="AHP13" t="str">
        <f>IF(Guillotine!F20="SP52 Mist Green",1,"")</f>
        <v/>
      </c>
      <c r="AHQ13" t="str">
        <f>IF(Guillotine!F20="SP52 Primrose",1,"")</f>
        <v/>
      </c>
      <c r="AHR13" t="str">
        <f>IF(Guillotine!F20="SP52 Ultra Silver",1,"")</f>
        <v/>
      </c>
      <c r="AHS13" t="str">
        <f>IF(Guillotine!F20="SP52 Woodland Grey(Green Tone)",1,"")</f>
        <v/>
      </c>
      <c r="AHT13" t="str">
        <f>IF(Guillotine!F20="SP52 Pearl White",1,"")</f>
        <v/>
      </c>
      <c r="AHU13" t="str">
        <f>IF(Guillotine!F20="SP52 Monument",1,"")</f>
        <v/>
      </c>
      <c r="AHV13" t="str">
        <f>IF(Guillotine!F20="SP52 Surfmist",1,"")</f>
        <v/>
      </c>
      <c r="AHW13" t="str">
        <f>IF(Guillotine!F20="SP52 Dune",1,"")</f>
        <v/>
      </c>
      <c r="AHX13" t="str">
        <f>IF(Guillotine!F20="SP52 Powdercoat",1,"")</f>
        <v/>
      </c>
      <c r="AHY13" t="str">
        <f>IF(Guillotine!F20="SP53 Apo Grey",1,"")</f>
        <v/>
      </c>
      <c r="AHZ13" t="str">
        <f>IF(Guillotine!F20="SP53 White Birch",1,"")</f>
        <v/>
      </c>
      <c r="AIA13" t="str">
        <f>IF(Guillotine!F20="SP53 Black",1,"")</f>
        <v/>
      </c>
      <c r="AIB13" t="str">
        <f>IF(Guillotine!F20="SP53 Brown",1,"")</f>
        <v/>
      </c>
      <c r="AIC13" t="str">
        <f>IF(Guillotine!F20="SP53 Deep Ocean",1,"")</f>
        <v/>
      </c>
      <c r="AID13" t="str">
        <f>IF(Guillotine!F20="SP53 Jasper",1,"")</f>
        <v/>
      </c>
      <c r="AIE13" t="str">
        <f>IF(Guillotine!F20="SP53 Paperbark",1,"")</f>
        <v/>
      </c>
      <c r="AIF13" t="str">
        <f>IF(Guillotine!F20="SP53 Mist Green",1,"")</f>
        <v/>
      </c>
      <c r="AIG13" t="str">
        <f>IF(Guillotine!F20="SP53 Primrose",1,"")</f>
        <v/>
      </c>
      <c r="AIH13" t="str">
        <f>IF(Guillotine!F20="SP53 Ultra Silver",1,"")</f>
        <v/>
      </c>
      <c r="AII13" t="str">
        <f>IF(Guillotine!F20="SP53 Woodland Grey(Green Tone)",1,"")</f>
        <v/>
      </c>
      <c r="AIJ13" t="str">
        <f>IF(Guillotine!F20="SP53 Pearl White",1,"")</f>
        <v/>
      </c>
      <c r="AIK13" t="str">
        <f>IF(Guillotine!F20="SP53 Monument",1,"")</f>
        <v/>
      </c>
      <c r="AIL13" t="str">
        <f>IF(Guillotine!F20="SP53 Surfmist",1,"")</f>
        <v/>
      </c>
      <c r="AIM13" t="str">
        <f>IF(Guillotine!F20="SP53 Dune",1,"")</f>
        <v/>
      </c>
      <c r="AIN13" t="str">
        <f>IF(Guillotine!F20="SP53 Powdercoat",1,"")</f>
        <v/>
      </c>
      <c r="AIO13" t="str">
        <f>IF(Guillotine!F20="SP55 Apo Grey",1,"")</f>
        <v/>
      </c>
      <c r="AIP13" t="str">
        <f>IF(Guillotine!F20="SP55 White Birch",1,"")</f>
        <v/>
      </c>
      <c r="AIQ13" t="str">
        <f>IF(Guillotine!F20="SP55 Black",1,"")</f>
        <v/>
      </c>
      <c r="AIR13" t="str">
        <f>IF(Guillotine!F20="SP55 Brown",1,"")</f>
        <v/>
      </c>
      <c r="AIS13" t="str">
        <f>IF(Guillotine!F20="SP55 Deep Ocean",1,"")</f>
        <v/>
      </c>
      <c r="AIT13" t="str">
        <f>IF(Guillotine!F20="SP55 Jasper",1,"")</f>
        <v/>
      </c>
      <c r="AIU13" t="str">
        <f>IF(Guillotine!F20="SP55 Paperbark",1,"")</f>
        <v/>
      </c>
      <c r="AIV13" t="str">
        <f>IF(Guillotine!F20="SP55 Mist Green",1,"")</f>
        <v/>
      </c>
      <c r="AIW13" t="str">
        <f>IF(Guillotine!F20="SP55 Primrose",1,"")</f>
        <v/>
      </c>
      <c r="AIX13" t="str">
        <f>IF(Guillotine!F20="SP55 Ultra Silver",1,"")</f>
        <v/>
      </c>
      <c r="AIY13" t="str">
        <f>IF(Guillotine!F20="SP55 Woodland Grey(Green Tone)",1,"")</f>
        <v/>
      </c>
      <c r="AIZ13" t="str">
        <f>IF(Guillotine!F20="SP55 Pearl White",1,"")</f>
        <v/>
      </c>
      <c r="AJA13" t="str">
        <f>IF(Guillotine!F20="SP55 Monument",1,"")</f>
        <v/>
      </c>
      <c r="AJB13" t="str">
        <f>IF(Guillotine!F20="SP55 Surfmist",1,"")</f>
        <v/>
      </c>
      <c r="AJC13" t="str">
        <f>IF(Guillotine!F20="SP55 Dune",1,"")</f>
        <v/>
      </c>
      <c r="AJD13" t="str">
        <f>IF(Guillotine!F20="SP55 Powdercoat",1,"")</f>
        <v/>
      </c>
      <c r="AJE13" t="str">
        <f>IF(Guillotine!F20="SP56 Apo Grey",1,"")</f>
        <v/>
      </c>
      <c r="AJF13" t="str">
        <f>IF(Guillotine!F20="SP56 White Birch",1,"")</f>
        <v/>
      </c>
      <c r="AJG13" t="str">
        <f>IF(Guillotine!F20="SP56 Black",1,"")</f>
        <v/>
      </c>
      <c r="AJH13" t="str">
        <f>IF(Guillotine!F20="SP56 Brown",1,"")</f>
        <v/>
      </c>
      <c r="AJI13" t="str">
        <f>IF(Guillotine!F20="SP56 Deep Ocean",1,"")</f>
        <v/>
      </c>
      <c r="AJJ13" t="str">
        <f>IF(Guillotine!F20="SP56 Jasper",1,"")</f>
        <v/>
      </c>
      <c r="AJK13" t="str">
        <f>IF(Guillotine!F20="SP56 Paperbark",1,"")</f>
        <v/>
      </c>
      <c r="AJL13" t="str">
        <f>IF(Guillotine!F20="SP56 Mist Green",1,"")</f>
        <v/>
      </c>
      <c r="AJM13" t="str">
        <f>IF(Guillotine!F20="SP56 Primrose",1,"")</f>
        <v/>
      </c>
      <c r="AJN13" t="str">
        <f>IF(Guillotine!F20="SP56 Ultra Silver",1,"")</f>
        <v/>
      </c>
      <c r="AJO13" t="str">
        <f>IF(Guillotine!F20="SP56 Woodland Grey(Green Tone)",1,"")</f>
        <v/>
      </c>
      <c r="AJP13" t="str">
        <f>IF(Guillotine!F20="SP56 Pearl White",1,"")</f>
        <v/>
      </c>
      <c r="AJQ13" t="str">
        <f>IF(Guillotine!F20="SP56 Monument",1,"")</f>
        <v/>
      </c>
      <c r="AJR13" t="str">
        <f>IF(Guillotine!F20="SP56 Surfmist",1,"")</f>
        <v/>
      </c>
      <c r="AJS13" t="str">
        <f>IF(Guillotine!F20="SP56 Dune",1,"")</f>
        <v/>
      </c>
      <c r="AJT13" t="str">
        <f>IF(Guillotine!F20="SP56 Powdercoat",1,"")</f>
        <v/>
      </c>
      <c r="AJU13" t="str">
        <f>IF(Guillotine!F20="SP65 Apo Grey",1,"")</f>
        <v/>
      </c>
      <c r="AJV13" t="str">
        <f>IF(Guillotine!F20="SP65 White Birch",1,"")</f>
        <v/>
      </c>
      <c r="AJW13" t="str">
        <f>IF(Guillotine!F20="SP65 Black",1,"")</f>
        <v/>
      </c>
      <c r="AJX13" t="str">
        <f>IF(Guillotine!F20="SP65 Brown",1,"")</f>
        <v/>
      </c>
      <c r="AJY13" t="str">
        <f>IF(Guillotine!F20="SP65 Deep Ocean",1,"")</f>
        <v/>
      </c>
      <c r="AJZ13" t="str">
        <f>IF(Guillotine!F20="SP65 Jasper",1,"")</f>
        <v/>
      </c>
      <c r="AKA13" t="str">
        <f>IF(Guillotine!F20="SP65 Paperbark",1,"")</f>
        <v/>
      </c>
      <c r="AKB13" t="str">
        <f>IF(Guillotine!F20="SP65 Mist Green",1,"")</f>
        <v/>
      </c>
      <c r="AKC13" t="str">
        <f>IF(Guillotine!F20="SP65 Primrose",1,"")</f>
        <v/>
      </c>
      <c r="AKD13" t="str">
        <f>IF(Guillotine!F20="SP65 Ultra Silver",1,"")</f>
        <v/>
      </c>
      <c r="AKE13" t="str">
        <f>IF(Guillotine!F20="SP65 Woodland Grey(Green Tone)",1,"")</f>
        <v/>
      </c>
      <c r="AKF13" t="str">
        <f>IF(Guillotine!F20="SP65 Pearl White",1,"")</f>
        <v/>
      </c>
      <c r="AKG13" t="str">
        <f>IF(Guillotine!F20="SP65 Monument",1,"")</f>
        <v/>
      </c>
      <c r="AKH13" t="str">
        <f>IF(Guillotine!F20="SP65 Surfmist",1,"")</f>
        <v/>
      </c>
      <c r="AKI13" t="str">
        <f>IF(Guillotine!F20="SP65 Dune",1,"")</f>
        <v/>
      </c>
      <c r="AKJ13" t="str">
        <f>IF(Guillotine!F20="SP65 Powdercoat",1,"")</f>
        <v/>
      </c>
      <c r="AKK13" t="str">
        <f>IF(Guillotine!F20="SP72 Apo Grey",1,"")</f>
        <v/>
      </c>
      <c r="AKL13" t="str">
        <f>IF(Guillotine!F20="SP72 White Birch",1,"")</f>
        <v/>
      </c>
      <c r="AKM13" t="str">
        <f>IF(Guillotine!F20="SP72 Black",1,"")</f>
        <v/>
      </c>
      <c r="AKN13" t="str">
        <f>IF(Guillotine!F20="SP72 Brown",1,"")</f>
        <v/>
      </c>
      <c r="AKO13" t="str">
        <f>IF(Guillotine!F20="SP72 Deep Ocean",1,"")</f>
        <v/>
      </c>
      <c r="AKP13" t="str">
        <f>IF(Guillotine!F20="SP72 Jasper",1,"")</f>
        <v/>
      </c>
      <c r="AKQ13" t="str">
        <f>IF(Guillotine!F20="SP72 Paperbark",1,"")</f>
        <v/>
      </c>
      <c r="AKR13" t="str">
        <f>IF(Guillotine!F20="SP72 Mist Green",1,"")</f>
        <v/>
      </c>
      <c r="AKS13" t="str">
        <f>IF(Guillotine!F20="SP72 Primrose",1,"")</f>
        <v/>
      </c>
      <c r="AKT13" t="str">
        <f>IF(Guillotine!F20="SP72 Ultra Silver",1,"")</f>
        <v/>
      </c>
      <c r="AKU13" t="str">
        <f>IF(Guillotine!F20="SP72 Woodland Grey(Green Tone)",1,"")</f>
        <v/>
      </c>
      <c r="AKV13" t="str">
        <f>IF(Guillotine!F20="SP72 Pearl White",1,"")</f>
        <v/>
      </c>
      <c r="AKW13" t="str">
        <f>IF(Guillotine!F20="SP72 Monument",1,"")</f>
        <v/>
      </c>
      <c r="AKX13" t="str">
        <f>IF(Guillotine!F20="SP72 Surfmist",1,"")</f>
        <v/>
      </c>
      <c r="AKY13" t="str">
        <f>IF(Guillotine!F20="SP72 Dune",1,"")</f>
        <v/>
      </c>
      <c r="AKZ13" t="str">
        <f>IF(Guillotine!F20="SP72 Powdercoat",1,"")</f>
        <v/>
      </c>
      <c r="ALA13" t="str">
        <f>IF(Guillotine!F20="SP74 Apo Grey",1,"")</f>
        <v/>
      </c>
      <c r="ALB13" t="str">
        <f>IF(Guillotine!F20="SP74 White Birch",1,"")</f>
        <v/>
      </c>
      <c r="ALC13" t="str">
        <f>IF(Guillotine!F20="SP74 Black",1,"")</f>
        <v/>
      </c>
      <c r="ALD13" t="str">
        <f>IF(Guillotine!F20="SP74 Brown",1,"")</f>
        <v/>
      </c>
      <c r="ALE13" t="str">
        <f>IF(Guillotine!F20="SP74 Deep Ocean",1,"")</f>
        <v/>
      </c>
      <c r="ALF13" t="str">
        <f>IF(Guillotine!F20="SP74 Jasper",1,"")</f>
        <v/>
      </c>
      <c r="ALG13" t="str">
        <f>IF(Guillotine!F20="SP74 Paperbark",1,"")</f>
        <v/>
      </c>
      <c r="ALH13" t="str">
        <f>IF(Guillotine!F20="SP74 Mist Green",1,"")</f>
        <v/>
      </c>
      <c r="ALI13" t="str">
        <f>IF(Guillotine!F20="SP74 Primrose",1,"")</f>
        <v/>
      </c>
      <c r="ALJ13" t="str">
        <f>IF(Guillotine!F20="SP74 Ultra Silver",1,"")</f>
        <v/>
      </c>
      <c r="ALK13" t="str">
        <f>IF(Guillotine!F20="SP74 Woodland Grey(Green Tone)",1,"")</f>
        <v/>
      </c>
      <c r="ALL13" t="str">
        <f>IF(Guillotine!F20="SP74 Pearl White",1,"")</f>
        <v/>
      </c>
      <c r="ALM13" t="str">
        <f>IF(Guillotine!F20="SP74 Monument",1,"")</f>
        <v/>
      </c>
      <c r="ALN13" t="str">
        <f>IF(Guillotine!F20="SP74 Surfmist",1,"")</f>
        <v/>
      </c>
      <c r="ALO13" t="str">
        <f>IF(Guillotine!F20="SP74 Dune",1,"")</f>
        <v/>
      </c>
      <c r="ALP13" t="str">
        <f>IF(Guillotine!F20="SP74 Powdercoat",1,"")</f>
        <v/>
      </c>
      <c r="ALQ13" t="str">
        <f>IF(Guillotine!F20="SP78 Apo Grey",1,"")</f>
        <v/>
      </c>
      <c r="ALR13" t="str">
        <f>IF(Guillotine!F20="SP78 White Birch",1,"")</f>
        <v/>
      </c>
      <c r="ALS13" t="str">
        <f>IF(Guillotine!F20="SP78 Black",1,"")</f>
        <v/>
      </c>
      <c r="ALT13" t="str">
        <f>IF(Guillotine!F20="SP78 Brown",1,"")</f>
        <v/>
      </c>
      <c r="ALU13" t="str">
        <f>IF(Guillotine!F20="SP78 Deep Ocean",1,"")</f>
        <v/>
      </c>
      <c r="ALV13" t="str">
        <f>IF(Guillotine!F20="SP78 Jasper",1,"")</f>
        <v/>
      </c>
      <c r="ALW13" t="str">
        <f>IF(Guillotine!F20="SP78 Paperbark",1,"")</f>
        <v/>
      </c>
      <c r="ALX13" t="str">
        <f>IF(Guillotine!F20="SP78 Mist Green",1,"")</f>
        <v/>
      </c>
      <c r="ALY13" t="str">
        <f>IF(Guillotine!F20="SP78 Primrose",1,"")</f>
        <v/>
      </c>
      <c r="ALZ13" t="str">
        <f>IF(Guillotine!F20="SP78 Ultra Silver",1,"")</f>
        <v/>
      </c>
      <c r="AMA13" t="str">
        <f>IF(Guillotine!F20="SP78 Woodland Grey(Green Tone)",1,"")</f>
        <v/>
      </c>
      <c r="AMB13" t="str">
        <f>IF(Guillotine!F20="SP78 Pearl White",1,"")</f>
        <v/>
      </c>
      <c r="AMC13" t="str">
        <f>IF(Guillotine!F20="SP78 Monument",1,"")</f>
        <v/>
      </c>
      <c r="AMD13" t="str">
        <f>IF(Guillotine!F20="SP78 Surfmist",1,"")</f>
        <v/>
      </c>
      <c r="AME13" t="str">
        <f>IF(Guillotine!F20="SP78 Dune",1,"")</f>
        <v/>
      </c>
      <c r="AMF13" t="str">
        <f>IF(Guillotine!F20="SP78 Powdercoat",1,"")</f>
        <v/>
      </c>
    </row>
    <row r="14" spans="4:1020" s="122" customFormat="1" ht="13.2" customHeight="1">
      <c r="D14" s="122" t="str">
        <f>IF(Data!AV20="","",CONCATENATE(Data!BC$5,".",Data!BD$5))</f>
        <v/>
      </c>
      <c r="E14" s="122" t="str">
        <f>IF(D14="","",Data!AW20)</f>
        <v/>
      </c>
      <c r="F14" s="122" t="str">
        <f>IF(D14="","",Data!AV20)</f>
        <v/>
      </c>
      <c r="G14" s="122" t="str">
        <f t="shared" si="1"/>
        <v/>
      </c>
      <c r="H14" s="122" t="str">
        <f>IF(D14="","",Data!BF$5)</f>
        <v/>
      </c>
      <c r="I14" s="122" t="str">
        <f>IF(D14="","",Data!AX$5)</f>
        <v/>
      </c>
      <c r="J14" s="123" t="str">
        <f>IF(AND('Mitred Cutting'!C20="Standard",'Mitred Cutting'!D20="APO Grey"),(('Job Sheet'!BH20+'Job Sheet'!BI20)*2),"")</f>
        <v/>
      </c>
      <c r="K14" s="123" t="str">
        <f>IF(AND('Mitred Cutting'!C20="Standard",'Mitred Cutting'!D20="White Birch"),(('Job Sheet'!BH20+'Job Sheet'!BI20)*2),"")</f>
        <v/>
      </c>
      <c r="L14" s="123" t="str">
        <f>IF(AND('Mitred Cutting'!C20="Standard",'Mitred Cutting'!D20="Black"),(('Job Sheet'!BH20+'Job Sheet'!BI20)*2),"")</f>
        <v/>
      </c>
      <c r="M14" s="123" t="str">
        <f>IF(AND('Mitred Cutting'!C20="Standard",'Mitred Cutting'!D20="Brown"),(('Job Sheet'!BH20+'Job Sheet'!BI20)*2),"")</f>
        <v/>
      </c>
      <c r="N14" s="123" t="str">
        <f>IF(AND('Mitred Cutting'!C20="Standard",'Mitred Cutting'!D20="Deep Ocean"),(('Job Sheet'!BH20+'Job Sheet'!BI20)*2),"")</f>
        <v/>
      </c>
      <c r="O14" s="123" t="str">
        <f>IF(AND('Mitred Cutting'!C20="Standard",'Mitred Cutting'!D20="Jasper"),(('Job Sheet'!BH20+'Job Sheet'!BI20)*2),"")</f>
        <v/>
      </c>
      <c r="P14" s="123" t="str">
        <f>IF(AND('Mitred Cutting'!C20="Standard",'Mitred Cutting'!D20="Paperbark"),(('Job Sheet'!BH20+'Job Sheet'!BI20)*2),"")</f>
        <v/>
      </c>
      <c r="Q14" s="123" t="str">
        <f>IF(AND('Mitred Cutting'!C20="Standard",'Mitred Cutting'!D20="Mist Green"),(('Job Sheet'!BH20+'Job Sheet'!BI20)*2),"")</f>
        <v/>
      </c>
      <c r="R14" s="123" t="str">
        <f>IF(AND('Mitred Cutting'!C20="Standard",'Mitred Cutting'!D20="Primrose"),(('Job Sheet'!BH20+'Job Sheet'!BI20)*2),"")</f>
        <v/>
      </c>
      <c r="S14" s="123" t="str">
        <f>IF(AND('Mitred Cutting'!C20="Standard",'Mitred Cutting'!D20="Ultra Silver"),(('Job Sheet'!BH20+'Job Sheet'!BI20)*2),"")</f>
        <v/>
      </c>
      <c r="T14" s="123" t="str">
        <f>IF(AND('Mitred Cutting'!C20="Standard",'Mitred Cutting'!D20="Woodland Grey(Green Tone)"),(('Job Sheet'!BH20+'Job Sheet'!BI20)*2),"")</f>
        <v/>
      </c>
      <c r="U14" s="123" t="str">
        <f>IF(AND('Mitred Cutting'!C20="Standard",'Mitred Cutting'!D20="Pearl White"),(('Job Sheet'!BH20+'Job Sheet'!BI20)*2),"")</f>
        <v/>
      </c>
      <c r="V14" s="123" t="str">
        <f>IF(AND('Mitred Cutting'!C20="Standard",'Mitred Cutting'!D20="Monument"),(('Job Sheet'!BH20+'Job Sheet'!BI20)*2),"")</f>
        <v/>
      </c>
      <c r="W14" s="123" t="str">
        <f>IF(AND('Mitred Cutting'!C20="Standard",'Mitred Cutting'!D20="Surfmist"),(('Job Sheet'!BH20+'Job Sheet'!BI20)*2),"")</f>
        <v/>
      </c>
      <c r="X14" s="123" t="str">
        <f>IF(AND('Mitred Cutting'!C20="Standard",'Mitred Cutting'!D20="Dune"),(('Job Sheet'!BH20+'Job Sheet'!BI20)*2),"")</f>
        <v/>
      </c>
      <c r="Y14" s="123" t="str">
        <f>IF(AND('Mitred Cutting'!C20="Standard",'Job Sheet'!AA20="Woodland Grey (Dulux)"),(('Job Sheet'!BH20+'Job Sheet'!BI20)*2),"")</f>
        <v/>
      </c>
      <c r="Z14" s="123" t="str">
        <f>IF(AND('Mitred Cutting'!C20="Standard",Data!BP20="Powdercoat",'Job Sheet'!AA20&lt;&gt;"Woodland Grey (Dulux)"),(('Job Sheet'!BH20+'Job Sheet'!BI20)*2),"")</f>
        <v/>
      </c>
      <c r="AA14" s="123" t="str">
        <f>IF(AND('Mitred Cutting'!C20="Invisi-Gard",'Mitred Cutting'!D20="APO Grey"),(('Job Sheet'!BH20+'Job Sheet'!BI20)*2),"")</f>
        <v/>
      </c>
      <c r="AB14" s="123" t="str">
        <f>IF(AND('Mitred Cutting'!C20="Invisi-Gard",'Mitred Cutting'!D20="White Birch"),(('Job Sheet'!BH20+'Job Sheet'!BI20)*2),"")</f>
        <v/>
      </c>
      <c r="AC14" s="123" t="str">
        <f>IF(AND('Mitred Cutting'!C20="Invisi-Gard",'Mitred Cutting'!D20="Black"),(('Job Sheet'!BH20+'Job Sheet'!BI20)*2),"")</f>
        <v/>
      </c>
      <c r="AD14" s="123" t="str">
        <f>IF(AND('Mitred Cutting'!C20="Invisi-Gard",'Mitred Cutting'!D20="Brown"),(('Job Sheet'!BH20+'Job Sheet'!BI20)*2),"")</f>
        <v/>
      </c>
      <c r="AE14" s="123" t="str">
        <f>IF(AND('Mitred Cutting'!C20="Invisi-Gard",'Mitred Cutting'!D20="Deep Ocean"),(('Job Sheet'!BH20+'Job Sheet'!BI20)*2),"")</f>
        <v/>
      </c>
      <c r="AF14" s="123" t="str">
        <f>IF(AND('Mitred Cutting'!C20="Invisi-Gard",'Mitred Cutting'!D20="Jasper"),(('Job Sheet'!BH20+'Job Sheet'!BI20)*2),"")</f>
        <v/>
      </c>
      <c r="AG14" s="123" t="str">
        <f>IF(AND('Mitred Cutting'!C20="Invisi-Gard",'Mitred Cutting'!D20="Paperbark"),(('Job Sheet'!BH20+'Job Sheet'!BI20)*2),"")</f>
        <v/>
      </c>
      <c r="AH14" s="123" t="str">
        <f>IF(AND('Mitred Cutting'!C20="Invisi-Gard",'Mitred Cutting'!D20="Mist Green"),(('Job Sheet'!BH20+'Job Sheet'!BI20)*2),"")</f>
        <v/>
      </c>
      <c r="AI14" s="123" t="str">
        <f>IF(AND('Mitred Cutting'!C20="Invisi-Gard",'Mitred Cutting'!D20="Primrose"),(('Job Sheet'!BH20+'Job Sheet'!BI20)*2),"")</f>
        <v/>
      </c>
      <c r="AJ14" s="123" t="str">
        <f>IF(AND('Mitred Cutting'!C20="Invisi-Gard",'Mitred Cutting'!D20="Ultra Silver"),(('Job Sheet'!BH20+'Job Sheet'!BI20)*2),"")</f>
        <v/>
      </c>
      <c r="AK14" s="123" t="str">
        <f>IF(AND('Mitred Cutting'!C20="Invisi-Gard",'Mitred Cutting'!D20="Woodland Grey(Green Tone)"),(('Job Sheet'!BH20+'Job Sheet'!BI20)*2),"")</f>
        <v/>
      </c>
      <c r="AL14" s="123" t="str">
        <f>IF(AND('Mitred Cutting'!C20="Invisi-Gard",'Mitred Cutting'!D20="Pearl White"),(('Job Sheet'!BH20+'Job Sheet'!BI20)*2),"")</f>
        <v/>
      </c>
      <c r="AM14" s="123" t="str">
        <f>IF(AND('Mitred Cutting'!C20="Invisi-Gard",'Mitred Cutting'!D20="Monument"),(('Job Sheet'!BH20+'Job Sheet'!BI20)*2),"")</f>
        <v/>
      </c>
      <c r="AN14" s="123" t="str">
        <f>IF(AND('Mitred Cutting'!C20="Invisi-Gard",'Mitred Cutting'!D20="Surfmist"),(('Job Sheet'!BH20+'Job Sheet'!BI20)*2),"")</f>
        <v/>
      </c>
      <c r="AO14" s="123" t="str">
        <f>IF(AND('Mitred Cutting'!C20="Invisi-Gard",'Mitred Cutting'!D20="Dune"),(('Job Sheet'!BH20+'Job Sheet'!BI20)*2),"")</f>
        <v/>
      </c>
      <c r="AP14" s="123" t="str">
        <f>IF(AND('Mitred Cutting'!C20="Invisi-Gard",'Job Sheet'!AA20="Woodland Grey (Dulux)"),(('Job Sheet'!BH20+'Job Sheet'!BI20)*2),"")</f>
        <v/>
      </c>
      <c r="AQ14" s="123" t="str">
        <f>IF(AND('Mitred Cutting'!C20="Invisi-Gard",Data!BP20="Powdercoat",'Job Sheet'!AA20&lt;&gt;"Woodland Grey (Dulux)"),(('Job Sheet'!BH20+'Job Sheet'!BI20)*2),"")</f>
        <v/>
      </c>
      <c r="AR14" s="123"/>
      <c r="AS14" s="123"/>
      <c r="AT14" s="123"/>
      <c r="AU14" s="123"/>
      <c r="AV14" s="123"/>
      <c r="AW14" s="123"/>
      <c r="AX14" s="123"/>
      <c r="AY14" s="123"/>
      <c r="AZ14" s="123"/>
      <c r="BA14" s="123"/>
      <c r="BB14" s="123"/>
      <c r="BC14" s="123"/>
      <c r="BD14" s="123"/>
      <c r="BE14" s="123"/>
      <c r="BF14" s="123"/>
      <c r="BG14" s="123"/>
      <c r="BH14" s="123"/>
      <c r="BI14" s="123"/>
      <c r="BJ14" s="123"/>
      <c r="BK14" s="123"/>
      <c r="BL14" s="123"/>
      <c r="BM14" s="123"/>
      <c r="BN14" s="123"/>
      <c r="BO14" s="123"/>
      <c r="BP14" s="123"/>
      <c r="BQ14" s="123"/>
      <c r="BR14" s="123"/>
      <c r="BS14" s="123"/>
      <c r="BT14" s="123"/>
      <c r="BU14" s="123"/>
      <c r="BV14" s="123"/>
      <c r="BW14" s="123"/>
      <c r="BX14" s="123"/>
      <c r="BY14" s="123"/>
      <c r="BZ14" s="123"/>
      <c r="CA14" s="123"/>
      <c r="CB14" s="123"/>
      <c r="CC14" s="123"/>
      <c r="CD14" s="123"/>
      <c r="CE14" s="123"/>
      <c r="CF14" s="123"/>
      <c r="CG14" s="123"/>
      <c r="CH14" s="123"/>
      <c r="CI14" s="123"/>
      <c r="CJ14" s="123"/>
      <c r="CK14" s="123"/>
      <c r="CL14" s="123"/>
      <c r="CM14" s="123"/>
      <c r="CN14" s="123"/>
      <c r="CO14" s="123"/>
      <c r="CP14" s="123"/>
      <c r="CQ14" s="123" t="str">
        <f>IF(D14="","",IF(AND('Job Sheet'!AO20="Yes",'Mitred Cutting'!I20="Short Leg Left, Right and Top",'Mitred Cutting'!J20="APO Grey"),(('Job Sheet'!E20*2+60)+'Job Sheet'!AP20+60),IF(AND('Mitred Cutting'!I20="Short Leg 1 Side",'Mitred Cutting'!J20="APO Grey"),'Job Sheet'!E20+30,IF(AND('Mitred Cutting'!I20="Short Leg Left, Right and Top",'Mitred Cutting'!J20="APO Grey"),(('Job Sheet'!E20*2+60)+'Job Sheet'!D20+60),""))))</f>
        <v/>
      </c>
      <c r="CR14" s="123" t="str">
        <f>IF(D14="","",IF(AND('Job Sheet'!AO20="Yes",'Mitred Cutting'!I20="Short Leg Left, Right and Top",'Mitred Cutting'!J20="White Birch"),(('Job Sheet'!E20*2+60)+'Job Sheet'!AP20+60),IF(AND('Mitred Cutting'!I20="Short Leg 1 Side",'Mitred Cutting'!J20="White Birch"),'Job Sheet'!E20+30,IF(AND('Mitred Cutting'!I20="Short Leg Left, Right and Top",'Mitred Cutting'!J20="White Birch"),(('Job Sheet'!E20*2+60)+'Job Sheet'!D20+60),""))))</f>
        <v/>
      </c>
      <c r="CS14" s="123" t="str">
        <f>IF(D14="","",IF(AND('Job Sheet'!AO20="Yes",'Mitred Cutting'!I20="Short Leg Left, Right and Top",'Mitred Cutting'!J20="Black"),(('Job Sheet'!E20*2+60)+'Job Sheet'!AP20+60),IF(AND('Mitred Cutting'!I20="Short Leg 1 Side",'Mitred Cutting'!J20="Black"),'Job Sheet'!E20+30,IF(AND('Mitred Cutting'!I20="Short Leg Left, Right and Top",'Mitred Cutting'!J20="Black"),(('Job Sheet'!E20*2+60)+'Job Sheet'!D20+60),""))))</f>
        <v/>
      </c>
      <c r="CT14" s="123" t="str">
        <f>IF(D14="","",IF(AND('Job Sheet'!AO20="Yes",'Mitred Cutting'!I20="Short Leg Left, Right and Top",'Mitred Cutting'!J20="Brown"),(('Job Sheet'!E20*2+60)+'Job Sheet'!AP20+60),IF(AND('Mitred Cutting'!I20="Short Leg 1 Side",'Mitred Cutting'!J20="Brown"),'Job Sheet'!E20+30,IF(AND('Mitred Cutting'!I20="Short Leg Left, Right and Top",'Mitred Cutting'!J20="Brown"),(('Job Sheet'!E20*2+60)+'Job Sheet'!D20+60),""))))</f>
        <v/>
      </c>
      <c r="CU14" s="123" t="str">
        <f>IF(D14="","",IF(AND('Job Sheet'!AO20="Yes",'Mitred Cutting'!I20="Short Leg Left, Right and Top",'Mitred Cutting'!J20="Deep Ocean"),(('Job Sheet'!E20*2+60)+'Job Sheet'!AP20+60),IF(AND('Mitred Cutting'!I20="Short Leg 1 Side",'Mitred Cutting'!J20="Deep Ocean"),'Job Sheet'!E20+30,IF(AND('Mitred Cutting'!I20="Short Leg Left, Right and Top",'Mitred Cutting'!J20="Deep Ocean"),(('Job Sheet'!E20*2+60)+'Job Sheet'!D20+60),""))))</f>
        <v/>
      </c>
      <c r="CV14" s="123" t="str">
        <f>IF(D14="","",IF(AND('Job Sheet'!AO20="Yes",'Mitred Cutting'!I20="Short Leg Left, Right and Top",'Mitred Cutting'!J20="Jasper"),(('Job Sheet'!E20*2+60)+'Job Sheet'!AP20+60),IF(AND('Mitred Cutting'!I20="Short Leg 1 Side",'Mitred Cutting'!J20="Jasper"),'Job Sheet'!E20+30,IF(AND('Mitred Cutting'!I20="Short Leg Left, Right and Top",'Mitred Cutting'!J20="Jasper"),(('Job Sheet'!E20*2+60)+'Job Sheet'!D20+60),""))))</f>
        <v/>
      </c>
      <c r="CW14" s="123" t="str">
        <f>IF(D14="","",IF(AND('Job Sheet'!AO20="Yes",'Mitred Cutting'!I20="Short Leg Left, Right and Top",'Mitred Cutting'!J20="Paperbark"),(('Job Sheet'!E20*2+60)+'Job Sheet'!AP20+60),IF(AND('Mitred Cutting'!I20="Short Leg 1 Side",'Mitred Cutting'!J20="Paperbark"),'Job Sheet'!E20+30,IF(AND('Mitred Cutting'!I20="Short Leg Left, Right and Top",'Mitred Cutting'!J20="Paperbark"),(('Job Sheet'!E20*2+60)+'Job Sheet'!D20+60),""))))</f>
        <v/>
      </c>
      <c r="CX14" s="123" t="str">
        <f>IF(D14="","",IF(AND('Job Sheet'!AO20="Yes",'Mitred Cutting'!I20="Short Leg Left, Right and Top",'Mitred Cutting'!J20="Mist Green"),(('Job Sheet'!E20*2+60)+'Job Sheet'!AP20+60),IF(AND('Mitred Cutting'!I20="Short Leg 1 Side",'Mitred Cutting'!J20="Mist Green"),'Job Sheet'!E20+30,IF(AND('Mitred Cutting'!I20="Short Leg Left, Right and Top",'Mitred Cutting'!J20="Mist Green"),(('Job Sheet'!E20*2+60)+'Job Sheet'!D20+60),""))))</f>
        <v/>
      </c>
      <c r="CY14" s="123" t="str">
        <f>IF(D14="","",IF(AND('Job Sheet'!AO20="Yes",'Mitred Cutting'!I20="Short Leg Left, Right and Top",'Mitred Cutting'!J20="Primrose"),(('Job Sheet'!E20*2+60)+'Job Sheet'!AP20+60),IF(AND('Mitred Cutting'!I20="Short Leg 1 Side",'Mitred Cutting'!J20="Primrose"),'Job Sheet'!E20+30,IF(AND('Mitred Cutting'!I20="Short Leg Left, Right and Top",'Mitred Cutting'!J20="Primrose"),(('Job Sheet'!E20*2+60)+'Job Sheet'!D20+60),""))))</f>
        <v/>
      </c>
      <c r="CZ14" s="123" t="str">
        <f>IF(D14="","",IF(AND('Job Sheet'!AO20="Yes",'Mitred Cutting'!I20="Short Leg Left, Right and Top",'Mitred Cutting'!J20="Ultra Silver"),(('Job Sheet'!E20*2+60)+'Job Sheet'!AP20+60),IF(AND('Mitred Cutting'!I20="Short Leg 1 Side",'Mitred Cutting'!J20="Ultra Silver"),'Job Sheet'!E20+30,IF(AND('Mitred Cutting'!I20="Short Leg Left, Right and Top",'Mitred Cutting'!J20="Ultra Silver"),(('Job Sheet'!E20*2+60)+'Job Sheet'!D20+60),""))))</f>
        <v/>
      </c>
      <c r="DA14" s="123" t="str">
        <f>IF(D14="","",IF(AND('Job Sheet'!AO20="Yes",'Mitred Cutting'!I20="Short Leg Left, Right and Top",'Mitred Cutting'!J20="Woodland Grey(Green Tone)"),(('Job Sheet'!E20*2+60)+'Job Sheet'!AP20+60),IF(AND('Mitred Cutting'!I20="Short Leg 1 Side",'Mitred Cutting'!J20="Woodland Grey(Green Tone)"),'Job Sheet'!E20+30,IF(AND('Mitred Cutting'!I20="Short Leg Left, Right and Top",'Mitred Cutting'!J20="Woodland Grey(Green Tone)"),(('Job Sheet'!E20*2+60)+'Job Sheet'!D20+60),""))))</f>
        <v/>
      </c>
      <c r="DB14" s="123" t="str">
        <f>IF(D14="","",IF(AND('Job Sheet'!AO20="Yes",'Mitred Cutting'!I20="Short Leg Left, Right and Top",'Mitred Cutting'!J20="Pearl White"),(('Job Sheet'!E20*2+60)+'Job Sheet'!AP20+60),IF(AND('Mitred Cutting'!I20="Short Leg 1 Side",'Mitred Cutting'!J20="Pearl White"),'Job Sheet'!E20+30,IF(AND('Mitred Cutting'!I20="Short Leg Left, Right and Top",'Mitred Cutting'!J20="Pearl White"),(('Job Sheet'!E20*2+60)+'Job Sheet'!D20+60),""))))</f>
        <v/>
      </c>
      <c r="DC14" s="123" t="str">
        <f>IF(D14="","",IF(AND('Job Sheet'!AO20="Yes",'Mitred Cutting'!I20="Short Leg Left, Right and Top",'Mitred Cutting'!J20="Monument"),(('Job Sheet'!E20*2+60)+'Job Sheet'!AP20+60),IF(AND('Mitred Cutting'!I20="Short Leg 1 Side",'Mitred Cutting'!J20="Monument"),'Job Sheet'!E20+30,IF(AND('Mitred Cutting'!I20="Short Leg Left, Right and Top",'Mitred Cutting'!J20="Monument"),(('Job Sheet'!E20*2+60)+'Job Sheet'!D20+60),""))))</f>
        <v/>
      </c>
      <c r="DD14" s="123" t="str">
        <f>IF(D14="","",IF(AND('Job Sheet'!AO20="Yes",'Mitred Cutting'!I20="Short Leg Left, Right and Top",'Mitred Cutting'!J20="Surfmist"),(('Job Sheet'!E20*2+60)+'Job Sheet'!AP20+60),IF(AND('Mitred Cutting'!I20="Short Leg 1 Side",'Mitred Cutting'!J20="Surfmist"),'Job Sheet'!E20+30,IF(AND('Mitred Cutting'!I20="Short Leg Left, Right and Top",'Mitred Cutting'!J20="Surfmist"),(('Job Sheet'!E20*2+60)+'Job Sheet'!D20+60),""))))</f>
        <v/>
      </c>
      <c r="DE14" s="123" t="str">
        <f>IF(D14="","",IF(AND('Job Sheet'!AO20="Yes",'Mitred Cutting'!I20="Short Leg Left, Right and Top",'Mitred Cutting'!J20="Dune"),(('Job Sheet'!E20*2+60)+'Job Sheet'!AP20+60),IF(AND('Mitred Cutting'!I20="Short Leg 1 Side",'Mitred Cutting'!J20="Dune"),'Job Sheet'!E20+30,IF(AND('Mitred Cutting'!I20="Short Leg Left, Right and Top",'Mitred Cutting'!J20="Dune"),(('Job Sheet'!E20*2+60)+'Job Sheet'!D20+60),""))))</f>
        <v/>
      </c>
      <c r="DF14" s="123"/>
      <c r="DG14" s="123" t="str">
        <f>IF(D14="","",IF(AND('Job Sheet'!AO20="Yes",'Mitred Cutting'!I20="Short Leg Left, Right and Top",Data!BP20="Powdercoat"),(('Job Sheet'!E20*2+60)+'Job Sheet'!AP20+60),IF(AND('Mitred Cutting'!I20="Short Leg 1 Side",Data!BP20="Powdercoat"),'Job Sheet'!E20+30,IF(AND('Mitred Cutting'!I20="Short Leg Left, Right and Top",Data!BP20="Powdercoat"),(('Job Sheet'!E20*2+60)+'Job Sheet'!D20+60),""))))</f>
        <v/>
      </c>
      <c r="DH14" s="123" t="str">
        <f>IF(D14="","",IF(AND('Job Sheet'!AO20="Yes",'Mitred Cutting'!I20="Long Leg Left, Right and Top",'Mitred Cutting'!J20="APO Grey"),(('Job Sheet'!E20*2+60)+'Job Sheet'!AP20+60),IF(AND('Mitred Cutting'!I20="Long Leg 1 Side",'Mitred Cutting'!J20="APO Grey"),'Job Sheet'!E20+30,IF(AND('Mitred Cutting'!I20="Long Leg Left, Right and Top",'Mitred Cutting'!J20="APO Grey"),(('Job Sheet'!E20*2+60)+'Job Sheet'!D20+60),""))))</f>
        <v/>
      </c>
      <c r="DI14" s="123" t="str">
        <f>IF(D14="","",IF(AND('Job Sheet'!AO20="Yes",'Mitred Cutting'!I20="Long Leg Left, Right and Top",'Mitred Cutting'!J20="White Birch"),(('Job Sheet'!E20*2+60)+'Job Sheet'!AP20+60),IF(AND('Mitred Cutting'!I20="Long Leg 1 Side",'Mitred Cutting'!J20="White Birch"),'Job Sheet'!E20+30,IF(AND('Mitred Cutting'!I20="Long Leg Left, Right and Top",'Mitred Cutting'!J20="White Birch"),(('Job Sheet'!E20*2+60)+'Job Sheet'!D20+60),""))))</f>
        <v/>
      </c>
      <c r="DJ14" s="123" t="str">
        <f>IF(D14="","",IF(AND('Job Sheet'!AO20="Yes",'Mitred Cutting'!I20="Long Leg Left, Right and Top",'Mitred Cutting'!J20="Black"),(('Job Sheet'!E20*2+60)+'Job Sheet'!AP20+60),IF(AND('Mitred Cutting'!I20="Long Leg 1 Side",'Mitred Cutting'!J20="Black"),'Job Sheet'!E20+30,IF(AND('Mitred Cutting'!I20="Long Leg Left, Right and Top",'Mitred Cutting'!J20="Black"),(('Job Sheet'!E20*2+60)+'Job Sheet'!D20+60),""))))</f>
        <v/>
      </c>
      <c r="DK14" s="123" t="str">
        <f>IF(D14="","",IF(AND('Job Sheet'!AO20="Yes",'Mitred Cutting'!I20="Long Leg Left, Right and Top",'Mitred Cutting'!J20="Brown"),(('Job Sheet'!E20*2+60)+'Job Sheet'!AP20+60),IF(AND('Mitred Cutting'!I20="Long Leg 1 Side",'Mitred Cutting'!J20="Brown"),'Job Sheet'!E20+30,IF(AND('Mitred Cutting'!I20="Long Leg Left, Right and Top",'Mitred Cutting'!J20="Brown"),(('Job Sheet'!E20*2+60)+'Job Sheet'!D20+60),""))))</f>
        <v/>
      </c>
      <c r="DL14" s="123" t="str">
        <f>IF(D14="","",IF(AND('Job Sheet'!AO20="Yes",'Mitred Cutting'!I20="Long Leg Left, Right and Top",'Mitred Cutting'!J20="Deep Ocean"),(('Job Sheet'!E20*2+60)+'Job Sheet'!AP20+60),IF(AND('Mitred Cutting'!I20="Long Leg 1 Side",'Mitred Cutting'!J20="Deep Ocean"),'Job Sheet'!E20+30,IF(AND('Mitred Cutting'!I20="Long Leg Left, Right and Top",'Mitred Cutting'!J20="Deep Ocean"),(('Job Sheet'!E20*2+60)+'Job Sheet'!D20+60),""))))</f>
        <v/>
      </c>
      <c r="DM14" s="123" t="str">
        <f>IF(D14="","",IF(AND('Job Sheet'!AO20="Yes",'Mitred Cutting'!I20="Long Leg Left, Right and Top",'Mitred Cutting'!J20="Jasper"),(('Job Sheet'!E20*2+60)+'Job Sheet'!AP20+60),IF(AND('Mitred Cutting'!I20="Long Leg 1 Side",'Mitred Cutting'!J20="Jasper"),'Job Sheet'!E20+30,IF(AND('Mitred Cutting'!I20="Long Leg Left, Right and Top",'Mitred Cutting'!J20="Jasper"),(('Job Sheet'!E20*2+60)+'Job Sheet'!D20+60),""))))</f>
        <v/>
      </c>
      <c r="DN14" s="123" t="str">
        <f>IF(D14="","",IF(AND('Job Sheet'!AO20="Yes",'Mitred Cutting'!I20="Long Leg Left, Right and Top",'Mitred Cutting'!J20="Paperbark"),(('Job Sheet'!E20*2+60)+'Job Sheet'!AP20+60),IF(AND('Mitred Cutting'!I20="Long Leg 1 Side",'Mitred Cutting'!J20="Paperbark"),'Job Sheet'!E20+30,IF(AND('Mitred Cutting'!I20="Long Leg Left, Right and Top",'Mitred Cutting'!J20="Paperbark"),(('Job Sheet'!E20*2+60)+'Job Sheet'!D20+60),""))))</f>
        <v/>
      </c>
      <c r="DO14" s="123" t="str">
        <f>IF(D14="","",IF(AND('Job Sheet'!AO20="Yes",'Mitred Cutting'!I20="Long Leg Left, Right and Top",'Mitred Cutting'!J20="Mist Green"),(('Job Sheet'!E20*2+60)+'Job Sheet'!AP20+60),IF(AND('Mitred Cutting'!I20="Long Leg 1 Side",'Mitred Cutting'!J20="Mist Green"),'Job Sheet'!E20+30,IF(AND('Mitred Cutting'!I20="Long Leg Left, Right and Top",'Mitred Cutting'!J20="Mist Green"),(('Job Sheet'!E20*2+60)+'Job Sheet'!D20+60),""))))</f>
        <v/>
      </c>
      <c r="DP14" s="123" t="str">
        <f>IF(D14="","",IF(AND('Job Sheet'!AO20="Yes",'Mitred Cutting'!I20="Long Leg Left, Right and Top",'Mitred Cutting'!J20="Primrose"),(('Job Sheet'!E20*2+60)+'Job Sheet'!AP20+60),IF(AND('Mitred Cutting'!I20="Long Leg 1 Side",'Mitred Cutting'!J20="Primrose"),'Job Sheet'!E20+30,IF(AND('Mitred Cutting'!I20="Long Leg Left, Right and Top",'Mitred Cutting'!J20="Primrose"),(('Job Sheet'!E20*2+60)+'Job Sheet'!D20+60),""))))</f>
        <v/>
      </c>
      <c r="DQ14" s="123" t="str">
        <f>IF(D14="","",IF(AND('Job Sheet'!AO20="Yes",'Mitred Cutting'!I20="Long Leg Left, Right and Top",'Mitred Cutting'!J20="Ultra Silver"),(('Job Sheet'!E20*2+60)+'Job Sheet'!AP20+60),IF(AND('Mitred Cutting'!I20="Long Leg 1 Side",'Mitred Cutting'!J20="Ultra Silver"),'Job Sheet'!E20+30,IF(AND('Mitred Cutting'!I20="Long Leg Left, Right and Top",'Mitred Cutting'!J20="Ultra Silver"),(('Job Sheet'!E20*2+60)+'Job Sheet'!D20+60),""))))</f>
        <v/>
      </c>
      <c r="DR14" s="123" t="str">
        <f>IF(D14="","",IF(AND('Job Sheet'!AO20="Yes",'Mitred Cutting'!I20="Long Leg Left, Right and Top",'Mitred Cutting'!J20="Woodland Grey(Green Tone)"),(('Job Sheet'!E20*2+60)+'Job Sheet'!AP20+60),IF(AND('Mitred Cutting'!I20="Long Leg 1 Side",'Mitred Cutting'!J20="Woodland Grey(Green Tone)"),'Job Sheet'!E20+30,IF(AND('Mitred Cutting'!I20="Long Leg Left, Right and Top",'Mitred Cutting'!J20="Woodland Grey(Green Tone)"),(('Job Sheet'!E20*2+60)+'Job Sheet'!D20+60),""))))</f>
        <v/>
      </c>
      <c r="DS14" s="123" t="str">
        <f>IF(D14="","",IF(AND('Job Sheet'!AO20="Yes",'Mitred Cutting'!I20="Long Leg Left, Right and Top",'Mitred Cutting'!J20="Pearl White"),(('Job Sheet'!E20*2+60)+'Job Sheet'!AP20+60),IF(AND('Mitred Cutting'!I20="Long Leg 1 Side",'Mitred Cutting'!J20="Pearl White"),'Job Sheet'!E20+30,IF(AND('Mitred Cutting'!I20="Long Leg Left, Right and Top",'Mitred Cutting'!J20="Pearl White"),(('Job Sheet'!E20*2+60)+'Job Sheet'!D20+60),""))))</f>
        <v/>
      </c>
      <c r="DT14" s="123" t="str">
        <f>IF(D14="","",IF(AND('Job Sheet'!AO20="Yes",'Mitred Cutting'!I20="Long Leg Left, Right and Top",'Mitred Cutting'!J20="Monument"),(('Job Sheet'!E20*2+60)+'Job Sheet'!AP20+60),IF(AND('Mitred Cutting'!I20="Long Leg 1 Side",'Mitred Cutting'!J20="Monument"),'Job Sheet'!E20+30,IF(AND('Mitred Cutting'!I20="Long Leg Left, Right and Top",'Mitred Cutting'!J20="Monument"),(('Job Sheet'!E20*2+60)+'Job Sheet'!D20+60),""))))</f>
        <v/>
      </c>
      <c r="DU14" s="123" t="str">
        <f>IF(D14="","",IF(AND('Job Sheet'!AO20="Yes",'Mitred Cutting'!I20="Long Leg Left, Right and Top",'Mitred Cutting'!J20="Surfmist"),(('Job Sheet'!E20*2+60)+'Job Sheet'!AP20+60),IF(AND('Mitred Cutting'!I20="Long Leg 1 Side",'Mitred Cutting'!J20="Surfmist"),'Job Sheet'!E20+30,IF(AND('Mitred Cutting'!I20="Long Leg Left, Right and Top",'Mitred Cutting'!J20="Surfmist"),(('Job Sheet'!E20*2+60)+'Job Sheet'!D20+60),""))))</f>
        <v/>
      </c>
      <c r="DV14" s="123" t="str">
        <f>IF(D14="","",IF(AND('Job Sheet'!AO20="Yes",'Mitred Cutting'!I20="Long Leg Left, Right and Top",'Mitred Cutting'!J20="Dune"),(('Job Sheet'!E20*2+60)+'Job Sheet'!AP20+60),IF(AND('Mitred Cutting'!I20="Long Leg 1 Side",'Mitred Cutting'!J20="Dune"),'Job Sheet'!E20+30,IF(AND('Mitred Cutting'!I20="Long Leg Left, Right and Top",'Mitred Cutting'!J20="Dune"),(('Job Sheet'!E20*2+60)+'Job Sheet'!D20+60),""))))</f>
        <v/>
      </c>
      <c r="DW14" s="123"/>
      <c r="DX14" s="123" t="str">
        <f>IF(D14="","",IF(AND('Job Sheet'!AO20="Yes",'Mitred Cutting'!I20="Long Leg Left, Right and Top",Data!BP20="Powdercoat"),(('Job Sheet'!E20*2+60)+'Job Sheet'!AP20+60),IF(AND('Mitred Cutting'!I20="Long Leg 1 Side",Data!BP20="Powdercoat"),'Job Sheet'!E20+30,IF(AND('Mitred Cutting'!I20="Long Leg Left, Right and Top",Data!BP20="Powdercoat"),(('Job Sheet'!E20*2+60)+'Job Sheet'!D20+60),""))))</f>
        <v/>
      </c>
      <c r="DY14" s="123"/>
      <c r="DZ14" s="123"/>
      <c r="EA14" s="123" t="str">
        <f>IF(Data!AV20="","",IF('Job Sheet'!AV20="Yes",VLOOKUP(CONCATENATE('Job Sheet'!AW20,'Job Sheet'!AY20),DogDoor,4,FALSE),""))</f>
        <v/>
      </c>
      <c r="EB14" s="123"/>
      <c r="EC14" s="123"/>
      <c r="ED14" s="123"/>
      <c r="EE14" s="123"/>
      <c r="EF14" s="123"/>
      <c r="EG14" s="123"/>
      <c r="EH14" s="123"/>
      <c r="EI14" s="123"/>
      <c r="EJ14" s="123"/>
      <c r="EK14" s="123"/>
      <c r="EL14" s="123"/>
      <c r="EM14" s="123"/>
      <c r="EN14" s="123"/>
      <c r="EO14" s="123"/>
      <c r="EP14" s="123"/>
      <c r="EQ14" s="123"/>
      <c r="ER14" s="123"/>
      <c r="ES14" s="123"/>
      <c r="ET14" s="123"/>
      <c r="EU14" s="123"/>
      <c r="EV14" s="123"/>
      <c r="EW14" s="123"/>
      <c r="EX14" s="123"/>
      <c r="EY14" s="123"/>
      <c r="EZ14" s="123"/>
      <c r="FA14" s="123"/>
      <c r="FB14" s="123"/>
      <c r="FC14" s="123"/>
      <c r="FD14" s="123"/>
      <c r="FE14" s="123" t="str">
        <f>IF(AND('Straight Cutting'!F20&lt;&gt;"",'Mitred Cutting'!D20="APO Grey"),'Straight Cutting'!F20,"")</f>
        <v/>
      </c>
      <c r="FF14" s="123" t="str">
        <f>IF(AND('Straight Cutting'!F20&lt;&gt;"",'Mitred Cutting'!D20="White Birch"),'Straight Cutting'!F20,"")</f>
        <v/>
      </c>
      <c r="FG14" s="123" t="str">
        <f>IF(AND('Straight Cutting'!F20&lt;&gt;"",'Mitred Cutting'!D20="Black"),'Straight Cutting'!F20,"")</f>
        <v/>
      </c>
      <c r="FH14" s="123" t="str">
        <f>IF(AND('Straight Cutting'!F20&lt;&gt;"",'Mitred Cutting'!D20="Brown"),'Straight Cutting'!F20,"")</f>
        <v/>
      </c>
      <c r="FI14" s="123" t="str">
        <f>IF(AND('Straight Cutting'!F20&lt;&gt;"",'Mitred Cutting'!D20="Deep Ocean"),'Straight Cutting'!F20,"")</f>
        <v/>
      </c>
      <c r="FJ14" s="123" t="str">
        <f>IF(AND('Straight Cutting'!F20&lt;&gt;"",'Mitred Cutting'!D20="Jasper"),'Straight Cutting'!F20,"")</f>
        <v/>
      </c>
      <c r="FK14" s="123" t="str">
        <f>IF(AND('Straight Cutting'!F20&lt;&gt;"",'Mitred Cutting'!D20="Paperbark"),'Straight Cutting'!F20,"")</f>
        <v/>
      </c>
      <c r="FL14" s="123" t="str">
        <f>IF(AND('Straight Cutting'!F20&lt;&gt;"",'Mitred Cutting'!D20="Mist Green"),'Straight Cutting'!F20,"")</f>
        <v/>
      </c>
      <c r="FM14" s="123" t="str">
        <f>IF(AND('Straight Cutting'!F20&lt;&gt;"",'Mitred Cutting'!D20="Primrose"),'Straight Cutting'!F20,"")</f>
        <v/>
      </c>
      <c r="FN14" s="123" t="str">
        <f>IF(AND('Straight Cutting'!F20&lt;&gt;"",'Mitred Cutting'!D20="Ultra Silver"),'Straight Cutting'!F20,"")</f>
        <v/>
      </c>
      <c r="FO14" s="123" t="str">
        <f>IF(AND('Straight Cutting'!F20&lt;&gt;"",'Mitred Cutting'!D20="Woodland Grey(Green Tone)"),'Straight Cutting'!F20,"")</f>
        <v/>
      </c>
      <c r="FP14" s="123" t="str">
        <f>IF(AND('Straight Cutting'!F20&lt;&gt;"",'Mitred Cutting'!D20="Pearl White"),'Straight Cutting'!F20,"")</f>
        <v/>
      </c>
      <c r="FQ14" s="123" t="str">
        <f>IF(AND('Straight Cutting'!F20&lt;&gt;"",'Mitred Cutting'!D20="Monument"),'Straight Cutting'!F20,"")</f>
        <v/>
      </c>
      <c r="FR14" s="123" t="str">
        <f>IF(AND('Straight Cutting'!F20&lt;&gt;"",'Mitred Cutting'!D20="Surfmist"),'Straight Cutting'!F20,"")</f>
        <v/>
      </c>
      <c r="FS14" s="123" t="str">
        <f>IF(AND('Straight Cutting'!F20&lt;&gt;"",'Mitred Cutting'!D20="Dune"),'Straight Cutting'!F20,"")</f>
        <v/>
      </c>
      <c r="FT14" s="123"/>
      <c r="FU14" s="123" t="str">
        <f>IF(AND('Straight Cutting'!F20&lt;&gt;"",Data!BP20="Powdercoat",'Job Sheet'!AA20&lt;&gt;"Woodland Grey (Dulux)"),'Straight Cutting'!F20,"")</f>
        <v/>
      </c>
      <c r="FV14" s="123" t="str">
        <f>IF(AND('Straight Cutting'!E20="F &amp; Z Frames",'Mitred Cutting'!D20="APO Grey"),'Straight Cutting'!G20,"")</f>
        <v/>
      </c>
      <c r="FW14" s="123" t="str">
        <f>IF(AND('Straight Cutting'!E20="F &amp; Z Frames",'Mitred Cutting'!D20="White Birch"),'Straight Cutting'!G20,"")</f>
        <v/>
      </c>
      <c r="FX14" s="123" t="str">
        <f>IF(AND('Straight Cutting'!E20="F &amp; Z Frames",'Mitred Cutting'!D20="Black"),'Straight Cutting'!G20,"")</f>
        <v/>
      </c>
      <c r="FY14" s="123" t="str">
        <f>IF(AND('Straight Cutting'!E20="F &amp; Z Frames",'Mitred Cutting'!D20="Brown"),'Straight Cutting'!G20,"")</f>
        <v/>
      </c>
      <c r="FZ14" s="123" t="str">
        <f>IF(AND('Straight Cutting'!E20="F &amp; Z Frames",'Mitred Cutting'!D20="Deep Ocean"),'Straight Cutting'!G20,"")</f>
        <v/>
      </c>
      <c r="GA14" s="123" t="str">
        <f>IF(AND('Straight Cutting'!E20="F &amp; Z Frames",'Mitred Cutting'!D20="Jasper"),'Straight Cutting'!G20,"")</f>
        <v/>
      </c>
      <c r="GB14" s="123" t="str">
        <f>IF(AND('Straight Cutting'!E20="F &amp; Z Frames",'Mitred Cutting'!D20="Paperbark"),'Straight Cutting'!G20,"")</f>
        <v/>
      </c>
      <c r="GC14" s="123" t="str">
        <f>IF(AND('Straight Cutting'!E20="F &amp; Z Frames",'Mitred Cutting'!D20="Mist Green"),'Straight Cutting'!G20,"")</f>
        <v/>
      </c>
      <c r="GD14" s="123" t="str">
        <f>IF(AND('Straight Cutting'!E20="F &amp; Z Frames",'Mitred Cutting'!D20="Primrose"),'Straight Cutting'!G20,"")</f>
        <v/>
      </c>
      <c r="GE14" s="123" t="str">
        <f>IF(AND('Straight Cutting'!E20="F &amp; Z Frames",'Mitred Cutting'!D20="Ultra Silver"),'Straight Cutting'!G20,"")</f>
        <v/>
      </c>
      <c r="GF14" s="123" t="str">
        <f>IF(AND('Straight Cutting'!E20="F &amp; Z Frames",'Mitred Cutting'!D20="Woodland Grey(Green Tone)"),'Straight Cutting'!G20,"")</f>
        <v/>
      </c>
      <c r="GG14" s="123" t="str">
        <f>IF(AND('Straight Cutting'!E20="F &amp; Z Frames",'Mitred Cutting'!D20="Pearl White"),'Straight Cutting'!G20,"")</f>
        <v/>
      </c>
      <c r="GH14" s="123" t="str">
        <f>IF(AND('Straight Cutting'!E20="F &amp; Z Frames",'Mitred Cutting'!D20="Monument"),'Straight Cutting'!G20,"")</f>
        <v/>
      </c>
      <c r="GI14" s="123" t="str">
        <f>IF(AND('Straight Cutting'!E20="F &amp; Z Frames",'Mitred Cutting'!D20="Surfmist"),'Straight Cutting'!G20,"")</f>
        <v/>
      </c>
      <c r="GJ14" s="123" t="str">
        <f>IF(AND('Straight Cutting'!E20="F &amp; Z Frames",'Mitred Cutting'!D20="Dune"),'Straight Cutting'!G20,"")</f>
        <v/>
      </c>
      <c r="GK14" s="123" t="str">
        <f>IF(AND('Straight Cutting'!E20="F &amp; Z Frames",Data!BP20="Powdercoat"),'Straight Cutting'!G20,"")</f>
        <v/>
      </c>
      <c r="GL14" s="123" t="str">
        <f>IF(AND('Straight Cutting'!E20="F &amp; High Step Z Frame",'Mitred Cutting'!D20="APO Grey"),'Straight Cutting'!G20,"")</f>
        <v/>
      </c>
      <c r="GM14" s="123" t="str">
        <f>IF(AND('Straight Cutting'!E20="F &amp; High Step Z Frame",'Mitred Cutting'!D20="White Birch"),'Straight Cutting'!G20,"")</f>
        <v/>
      </c>
      <c r="GN14" s="123" t="str">
        <f>IF(AND('Straight Cutting'!E20="F &amp; High Step Z Frame",'Mitred Cutting'!D20="Black"),'Straight Cutting'!G20,"")</f>
        <v/>
      </c>
      <c r="GO14" s="123" t="str">
        <f>IF(AND('Straight Cutting'!E20="F &amp; High Step Z Frame",'Mitred Cutting'!D20="Brown"),'Straight Cutting'!G20,"")</f>
        <v/>
      </c>
      <c r="GP14" s="123" t="str">
        <f>IF(AND('Straight Cutting'!E20="F &amp; High Step Z Frame",'Mitred Cutting'!D20="Deep Ocean"),'Straight Cutting'!G20,"")</f>
        <v/>
      </c>
      <c r="GQ14" s="123" t="str">
        <f>IF(AND('Straight Cutting'!E20="F &amp; High Step Z Frame",'Mitred Cutting'!D20="Jasper"),'Straight Cutting'!G20,"")</f>
        <v/>
      </c>
      <c r="GR14" s="123" t="str">
        <f>IF(AND('Straight Cutting'!E20="F &amp; High Step Z Frame",'Mitred Cutting'!D20="Paperbark"),'Straight Cutting'!G20,"")</f>
        <v/>
      </c>
      <c r="GS14" s="123" t="str">
        <f>IF(AND('Straight Cutting'!E20="F &amp; High Step Z Frame",'Mitred Cutting'!D20="Mist Green"),'Straight Cutting'!G20,"")</f>
        <v/>
      </c>
      <c r="GT14" s="123" t="str">
        <f>IF(AND('Straight Cutting'!E20="F &amp; High Step Z Frame",'Mitred Cutting'!D20="Primrose"),'Straight Cutting'!G20,"")</f>
        <v/>
      </c>
      <c r="GU14" s="123" t="str">
        <f>IF(AND('Straight Cutting'!E20="F &amp; High Step Z Frame",'Mitred Cutting'!D20="Ultra Silver"),'Straight Cutting'!G20,"")</f>
        <v/>
      </c>
      <c r="GV14" s="123" t="str">
        <f>IF(AND('Straight Cutting'!E20="F &amp; High Step Z Frame",'Mitred Cutting'!D20="Woodland Grey(Green Tone)"),'Straight Cutting'!G20,"")</f>
        <v/>
      </c>
      <c r="GW14" s="123" t="str">
        <f>IF(AND('Straight Cutting'!E20="F &amp; High Step Z Frame",'Mitred Cutting'!D20="Pearl White"),'Straight Cutting'!G20,"")</f>
        <v/>
      </c>
      <c r="GX14" s="123" t="str">
        <f>IF(AND('Straight Cutting'!E20="F &amp; High Step Z Frame",'Mitred Cutting'!D20="Monument"),'Straight Cutting'!G20,"")</f>
        <v/>
      </c>
      <c r="GY14" s="123" t="str">
        <f>IF(AND('Straight Cutting'!E20="F &amp; High Step Z Frame",'Mitred Cutting'!D20="Surfmist"),'Straight Cutting'!G20,"")</f>
        <v/>
      </c>
      <c r="GZ14" s="123" t="str">
        <f>IF(AND('Straight Cutting'!E20="F &amp; High Step Z Frame",'Mitred Cutting'!D20="Dune"),'Straight Cutting'!G20,"")</f>
        <v/>
      </c>
      <c r="HA14" s="123" t="str">
        <f>IF(AND('Straight Cutting'!E20="F &amp; High Step Z Frame",Data!BP20="Powdercoat"),'Straight Cutting'!G20,"")</f>
        <v/>
      </c>
      <c r="HB14" s="123" t="str">
        <f>IF(AND('Straight Cutting'!I20&lt;&gt;"",'Mitred Cutting'!D20="APO Grey"),'Straight Cutting'!I20,"")</f>
        <v/>
      </c>
      <c r="HC14" s="123" t="str">
        <f>IF(AND('Straight Cutting'!I20&lt;&gt;"",'Mitred Cutting'!D20="White Birch"),'Straight Cutting'!I20,"")</f>
        <v/>
      </c>
      <c r="HD14" s="123" t="str">
        <f>IF(AND('Straight Cutting'!I20&lt;&gt;"",'Mitred Cutting'!D20="Black"),'Straight Cutting'!I20,"")</f>
        <v/>
      </c>
      <c r="HE14" s="123" t="str">
        <f>IF(AND('Straight Cutting'!I20&lt;&gt;"",'Mitred Cutting'!D20="Brown"),'Straight Cutting'!I20,"")</f>
        <v/>
      </c>
      <c r="HF14" s="123" t="str">
        <f>IF(AND('Straight Cutting'!I20&lt;&gt;"",'Mitred Cutting'!D20="Deep Ocean"),'Straight Cutting'!I20,"")</f>
        <v/>
      </c>
      <c r="HG14" s="123" t="str">
        <f>IF(AND('Straight Cutting'!I20&lt;&gt;"",'Mitred Cutting'!D20="Jasper"),'Straight Cutting'!I20,"")</f>
        <v/>
      </c>
      <c r="HH14" s="123" t="str">
        <f>IF(AND('Straight Cutting'!I20&lt;&gt;"",'Mitred Cutting'!D20="Paperbark"),'Straight Cutting'!I20,"")</f>
        <v/>
      </c>
      <c r="HI14" s="123" t="str">
        <f>IF(AND('Straight Cutting'!I20&lt;&gt;"",'Mitred Cutting'!D20="Mist Green"),'Straight Cutting'!I20,"")</f>
        <v/>
      </c>
      <c r="HJ14" s="123" t="str">
        <f>IF(AND('Straight Cutting'!I20&lt;&gt;"",'Mitred Cutting'!D20="Primrose"),'Straight Cutting'!I20,"")</f>
        <v/>
      </c>
      <c r="HK14" s="123" t="str">
        <f>IF(AND('Straight Cutting'!I20&lt;&gt;"",'Mitred Cutting'!D20="Ultra Silver"),'Straight Cutting'!I20,"")</f>
        <v/>
      </c>
      <c r="HL14" s="123" t="str">
        <f>IF(AND('Straight Cutting'!I20&lt;&gt;"",'Mitred Cutting'!D20="Woodland Grey(Green Tone)"),'Straight Cutting'!I20,"")</f>
        <v/>
      </c>
      <c r="HM14" s="123" t="str">
        <f>IF(AND('Straight Cutting'!I20&lt;&gt;"",'Mitred Cutting'!D20="Pearl White"),'Straight Cutting'!I20,"")</f>
        <v/>
      </c>
      <c r="HN14" s="123" t="str">
        <f>IF(AND('Straight Cutting'!I20&lt;&gt;"",'Mitred Cutting'!D20="Monument"),'Straight Cutting'!I20,"")</f>
        <v/>
      </c>
      <c r="HO14" s="123" t="str">
        <f>IF(AND('Straight Cutting'!I20&lt;&gt;"",'Mitred Cutting'!D20="Surfmist"),'Straight Cutting'!I20,"")</f>
        <v/>
      </c>
      <c r="HP14" s="123" t="str">
        <f>IF(AND('Straight Cutting'!I20&lt;&gt;"",'Mitred Cutting'!D20="Dune"),'Straight Cutting'!I20,"")</f>
        <v/>
      </c>
      <c r="HQ14" s="123"/>
      <c r="HR14" s="123" t="str">
        <f>IF(AND('Straight Cutting'!I20&lt;&gt;"",'Mitred Cutting'!D20="Powdercoat"),'Straight Cutting'!I20,"")</f>
        <v/>
      </c>
      <c r="HS14" s="123" t="str">
        <f>IF(AND('Mitred Cutting'!D20="APO Grey",'Job Sheet'!AQ20="T Mullion with Cutouts and 2 Lock Bolts"),'Straight Cutting'!J20,"")</f>
        <v/>
      </c>
      <c r="HT14" s="123" t="str">
        <f>IF(AND('Mitred Cutting'!D20="White Birch",'Job Sheet'!AQ20="T Mullion with Cutouts and 2 Lock Bolts"),'Straight Cutting'!J20,"")</f>
        <v/>
      </c>
      <c r="HU14" s="123" t="str">
        <f>IF(AND('Mitred Cutting'!D20="Black",'Job Sheet'!AQ20="T Mullion with Cutouts and 2 Lock Bolts"),'Straight Cutting'!J20,"")</f>
        <v/>
      </c>
      <c r="HV14" s="123" t="str">
        <f>IF(AND('Mitred Cutting'!D20="Brown",'Job Sheet'!AQ20="T Mullion with Cutouts and 2 Lock Bolts"),'Straight Cutting'!J20,"")</f>
        <v/>
      </c>
      <c r="HW14" s="123" t="str">
        <f>IF(AND('Mitred Cutting'!D20="Deep Ocean",'Job Sheet'!AQ20="T Mullion with Cutouts and 2 Lock Bolts"),'Straight Cutting'!J20,"")</f>
        <v/>
      </c>
      <c r="HX14" s="123" t="str">
        <f>IF(AND('Mitred Cutting'!D20="Jasper",'Job Sheet'!AQ20="T Mullion with Cutouts and 2 Lock Bolts"),'Straight Cutting'!J20,"")</f>
        <v/>
      </c>
      <c r="HY14" s="123" t="str">
        <f>IF(AND('Mitred Cutting'!D20="Paperbark",'Job Sheet'!AQ20="T Mullion with Cutouts and 2 Lock Bolts"),'Straight Cutting'!J20,"")</f>
        <v/>
      </c>
      <c r="HZ14" s="123" t="str">
        <f>IF(AND('Mitred Cutting'!D20="Mist Green",'Job Sheet'!AQ20="T Mullion with Cutouts and 2 Lock Bolts"),'Straight Cutting'!J20,"")</f>
        <v/>
      </c>
      <c r="IA14" s="123" t="str">
        <f>IF(AND('Mitred Cutting'!D20="Primrose",'Job Sheet'!AQ20="T Mullion with Cutouts and 2 Lock Bolts"),'Straight Cutting'!J20,"")</f>
        <v/>
      </c>
      <c r="IB14" s="123" t="str">
        <f>IF(AND('Mitred Cutting'!D20="Ultra Silver",'Job Sheet'!AQ20="T Mullion with Cutouts and 2 Lock Bolts"),'Straight Cutting'!J20,"")</f>
        <v/>
      </c>
      <c r="IC14" s="123" t="str">
        <f>IF(AND('Mitred Cutting'!D20="Woodland Grey(Green Tone)",'Job Sheet'!AQ20="T Mullion with Cutouts and 2 Lock Bolts"),'Straight Cutting'!J20,"")</f>
        <v/>
      </c>
      <c r="ID14" s="123" t="str">
        <f>IF(AND('Mitred Cutting'!D20="Pearl White",'Job Sheet'!AQ20="T Mullion with Cutouts and 2 Lock Bolts"),'Straight Cutting'!J20,"")</f>
        <v/>
      </c>
      <c r="IE14" s="123" t="str">
        <f>IF(AND('Mitred Cutting'!D20="Monument",'Job Sheet'!AQ20="T Mullion with Cutouts and 2 Lock Bolts"),'Straight Cutting'!J20,"")</f>
        <v/>
      </c>
      <c r="IF14" s="123" t="str">
        <f>IF(AND('Mitred Cutting'!D20="Surfmist",'Job Sheet'!AQ20="T Mullion with Cutouts and 2 Lock Bolts"),'Straight Cutting'!J20,"")</f>
        <v/>
      </c>
      <c r="IG14" s="123" t="str">
        <f>IF(AND('Mitred Cutting'!D20="Dune",'Job Sheet'!AQ20="T Mullion with Cutouts and 2 Lock Bolts"),'Straight Cutting'!J20,"")</f>
        <v/>
      </c>
      <c r="IH14" s="123" t="str">
        <f>IF(AND('Job Sheet'!Z20="Custom Powdercoat",'Job Sheet'!AQ20="T Mullion with Cutouts and 2 Lock Bolts"),'Straight Cutting'!J20,"")</f>
        <v/>
      </c>
      <c r="II14" s="123" t="str">
        <f>IF(AND('Mitred Cutting'!D20="Apo Grey",'Straight Cutting'!E20="Bug Strip Frame"),'Job Sheet'!BH20-2+'Job Sheet'!BI20-50,IF(AND('Mitred Cutting'!D20="Apo Grey",'Straight Cutting'!E20&lt;&gt;"Bug Strip Frame"),'Straight Cutting'!D20,""))</f>
        <v/>
      </c>
      <c r="IJ14" s="123" t="str">
        <f>IF(AND('Mitred Cutting'!D20="White Birch",'Straight Cutting'!E20="Bug Strip Frame"),'Job Sheet'!BH20-2+'Job Sheet'!BI20-50,IF(AND('Mitred Cutting'!D20="White Birch",'Straight Cutting'!E20&lt;&gt;"Bug Strip Frame"),'Straight Cutting'!D20,""))</f>
        <v/>
      </c>
      <c r="IK14" s="123" t="str">
        <f>IF(AND('Mitred Cutting'!D20="Black",'Straight Cutting'!E20="Bug Strip Frame"),'Job Sheet'!BH20-2+'Job Sheet'!BI20-50,IF(AND('Mitred Cutting'!D20="Black",'Straight Cutting'!E20&lt;&gt;"Bug Strip Frame"),'Straight Cutting'!D20,""))</f>
        <v/>
      </c>
      <c r="IL14" s="123" t="str">
        <f>IF(AND('Mitred Cutting'!D20="Brown",'Straight Cutting'!E20="Bug Strip Frame"),'Job Sheet'!BH20-2+'Job Sheet'!BI20-50,IF(AND('Mitred Cutting'!D20="Brown",'Straight Cutting'!E20&lt;&gt;"Bug Strip Frame"),'Straight Cutting'!D20,""))</f>
        <v/>
      </c>
      <c r="IM14" s="123" t="str">
        <f>IF(AND('Mitred Cutting'!D20="Deep Ocean",'Straight Cutting'!E20="Bug Strip Frame"),'Job Sheet'!BH20-2+'Job Sheet'!BI20-50,IF(AND('Mitred Cutting'!D20="Deep Ocean",'Straight Cutting'!E20&lt;&gt;"Bug Strip Frame"),'Straight Cutting'!D20,""))</f>
        <v/>
      </c>
      <c r="IN14" s="123" t="str">
        <f>IF(AND('Mitred Cutting'!D20="Jasper",'Straight Cutting'!E20="Bug Strip Frame"),'Job Sheet'!BH20-2+'Job Sheet'!BI20-50,IF(AND('Mitred Cutting'!D20="Jasper",'Straight Cutting'!E20&lt;&gt;"Bug Strip Frame"),'Straight Cutting'!D20,""))</f>
        <v/>
      </c>
      <c r="IO14" s="123" t="str">
        <f>IF(AND('Mitred Cutting'!D20="Paperbark",'Straight Cutting'!E20="Bug Strip Frame"),'Job Sheet'!BH20-2+'Job Sheet'!BI20-50,IF(AND('Mitred Cutting'!D20="Paperbark",'Straight Cutting'!E20&lt;&gt;"Bug Strip Frame"),'Straight Cutting'!D20,""))</f>
        <v/>
      </c>
      <c r="IP14" s="123" t="str">
        <f>IF(AND('Mitred Cutting'!D20="Mist Green",'Straight Cutting'!E20="Bug Strip Frame"),'Job Sheet'!BH20-2+'Job Sheet'!BI20-50,IF(AND('Mitred Cutting'!D20="Mist Green",'Straight Cutting'!E20&lt;&gt;"Bug Strip Frame"),'Straight Cutting'!D20,""))</f>
        <v/>
      </c>
      <c r="IQ14" s="123" t="str">
        <f>IF(AND('Mitred Cutting'!D20="Primrose",'Straight Cutting'!E20="Bug Strip Frame"),'Job Sheet'!BH20-2+'Job Sheet'!BI20-50,IF(AND('Mitred Cutting'!D20="Primrose",'Straight Cutting'!E20&lt;&gt;"Bug Strip Frame"),'Straight Cutting'!D20,""))</f>
        <v/>
      </c>
      <c r="IR14" s="123" t="str">
        <f>IF(AND('Mitred Cutting'!D20="Ultra Silver",'Straight Cutting'!E20="Bug Strip Frame"),'Job Sheet'!BH20-2+'Job Sheet'!BI20-50,IF(AND('Mitred Cutting'!D20="Ultra Silver",'Straight Cutting'!E20&lt;&gt;"Bug Strip Frame"),'Straight Cutting'!D20,""))</f>
        <v/>
      </c>
      <c r="IS14" s="123" t="str">
        <f>IF(AND('Mitred Cutting'!D20="Woodland Grey(Green Tone)",'Straight Cutting'!E20="Bug Strip Frame"),'Job Sheet'!BH20-2+'Job Sheet'!BI20-50,IF(AND('Mitred Cutting'!D20="Woodland Grey(Green Tone)",'Straight Cutting'!E20&lt;&gt;"Bug Strip Frame"),'Straight Cutting'!D20,""))</f>
        <v/>
      </c>
      <c r="IT14" s="123" t="str">
        <f>IF(AND('Mitred Cutting'!D20="Pearl White",'Straight Cutting'!E20="Bug Strip Frame"),'Job Sheet'!BH20-2+'Job Sheet'!BI20-50,IF(AND('Mitred Cutting'!D20="Pearl White",'Straight Cutting'!E20&lt;&gt;"Bug Strip Frame"),'Straight Cutting'!D20,""))</f>
        <v/>
      </c>
      <c r="IU14" s="123" t="str">
        <f>IF(AND('Mitred Cutting'!D20="Monument",'Straight Cutting'!E20="Bug Strip Frame"),'Job Sheet'!BH20-2+'Job Sheet'!BI20-50,IF(AND('Mitred Cutting'!D20="Monument",'Straight Cutting'!E20&lt;&gt;"Bug Strip Frame"),'Straight Cutting'!D20,""))</f>
        <v/>
      </c>
      <c r="IV14" s="123" t="str">
        <f>IF(AND('Mitred Cutting'!D20="Surfmist",'Straight Cutting'!E20="Bug Strip Frame"),'Job Sheet'!BH20-2+'Job Sheet'!BI20-50,IF(AND('Mitred Cutting'!D20="Surfmist",'Straight Cutting'!E20&lt;&gt;"Bug Strip Frame"),'Straight Cutting'!D20,""))</f>
        <v/>
      </c>
      <c r="IW14" s="123" t="str">
        <f>IF(AND('Mitred Cutting'!D20="Dune",'Straight Cutting'!E20="Bug Strip Frame"),'Job Sheet'!BH20-2+'Job Sheet'!BI20-50,IF(AND('Mitred Cutting'!D20="Dune",'Straight Cutting'!E20&lt;&gt;"Bug Strip Frame"),'Straight Cutting'!D20,""))</f>
        <v/>
      </c>
      <c r="IX14" s="73" t="str">
        <f>IF(AND('Job Sheet'!AA20="Woodland Grey (Dulux)",'Straight Cutting'!E20="Bug Strip Frame"),'Job Sheet'!BH20-2+'Job Sheet'!BI20-50,IF(AND('Job Sheet'!AA20="Woodland Grey (Dulux)",'Straight Cutting'!E20&lt;&gt;"Bug Strip Frame"),'Straight Cutting'!D20,""))</f>
        <v/>
      </c>
      <c r="IY14" s="123" t="str">
        <f>IF(AND('Job Sheet'!Z20="Custom Powdercoat",'Job Sheet'!AA20&lt;&gt;"Woodland Grey (Dulux)",'Straight Cutting'!E20="Bug Strip Frame"),'Job Sheet'!BH20-2+'Job Sheet'!BI20-50,IF(AND('Job Sheet'!Z20="Custom Powdercoat",'Job Sheet'!AA20&lt;&gt;"Woodland Grey (Dulux)",'Straight Cutting'!E20&lt;&gt;"Bug Strip Frame"),'Straight Cutting'!D20,""))</f>
        <v/>
      </c>
      <c r="IZ14" s="123" t="str">
        <f>IF(AND('Straight Cutting'!L20="U Channel",'Mitred Cutting'!D20="APO Grey"),'Straight Cutting'!L20,"")</f>
        <v/>
      </c>
      <c r="JA14" s="123" t="str">
        <f>IF(AND('Straight Cutting'!K20="U Channel",'Mitred Cutting'!D20="White Birch"),'Straight Cutting'!L20,"")</f>
        <v/>
      </c>
      <c r="JB14" s="123" t="str">
        <f>IF(AND('Straight Cutting'!K20="U Channel",'Mitred Cutting'!D20="Black"),'Straight Cutting'!L20,"")</f>
        <v/>
      </c>
      <c r="JC14" s="123" t="str">
        <f>IF(AND('Straight Cutting'!K20="U Channel",'Mitred Cutting'!D20="Brown"),'Straight Cutting'!L20,"")</f>
        <v/>
      </c>
      <c r="JD14" s="123" t="str">
        <f>IF(AND('Straight Cutting'!K20="U Channel",'Mitred Cutting'!D20="Deep Ocean"),'Straight Cutting'!L20,"")</f>
        <v/>
      </c>
      <c r="JE14" s="123" t="str">
        <f>IF(AND('Straight Cutting'!K20="U Channel",'Mitred Cutting'!D20="Jasper"),'Straight Cutting'!L20,"")</f>
        <v/>
      </c>
      <c r="JF14" s="123" t="str">
        <f>IF(AND('Straight Cutting'!K20="U Channel",'Mitred Cutting'!D20="Paperbark"),'Straight Cutting'!L20,"")</f>
        <v/>
      </c>
      <c r="JG14" s="123" t="str">
        <f>IF(AND('Straight Cutting'!K20="U Channel",'Mitred Cutting'!D20="Mist Green"),'Straight Cutting'!L20,"")</f>
        <v/>
      </c>
      <c r="JH14" s="123" t="str">
        <f>IF(AND('Straight Cutting'!K20="U Channel",'Mitred Cutting'!D20="Primrose"),'Straight Cutting'!L20,"")</f>
        <v/>
      </c>
      <c r="JI14" s="123" t="str">
        <f>IF(AND('Straight Cutting'!K20="U Channel",'Mitred Cutting'!D20="Ultra Silver"),'Straight Cutting'!L20,"")</f>
        <v/>
      </c>
      <c r="JJ14" s="123" t="str">
        <f>IF(AND('Straight Cutting'!K20="U Channel",'Mitred Cutting'!D20="Woodland Grey(Green Tone)"),'Straight Cutting'!L20,"")</f>
        <v/>
      </c>
      <c r="JK14" s="123" t="str">
        <f>IF(AND('Straight Cutting'!K20="U Channel",'Mitred Cutting'!D20="Pearl White"),'Straight Cutting'!L20,"")</f>
        <v/>
      </c>
      <c r="JL14" s="123" t="str">
        <f>IF(AND('Straight Cutting'!K20="U Channel",'Mitred Cutting'!D20="Monument"),'Straight Cutting'!L20,"")</f>
        <v/>
      </c>
      <c r="JM14" s="123" t="str">
        <f>IF(AND('Straight Cutting'!K20="U Channel",'Mitred Cutting'!D20="Surfmist"),'Straight Cutting'!L20,"")</f>
        <v/>
      </c>
      <c r="JN14" s="123" t="str">
        <f>IF(AND('Straight Cutting'!K20="U Channel",'Mitred Cutting'!D20="Dune"),'Straight Cutting'!L20,"")</f>
        <v/>
      </c>
      <c r="JO14" s="123" t="str">
        <f>IF(AND('Straight Cutting'!K20="U Channel",'Job Sheet'!Z20="Custom Powdercoat"),'Straight Cutting'!L20,"")</f>
        <v/>
      </c>
      <c r="JP14" s="123" t="str">
        <f>IF(AND('Straight Cutting'!K20="U Channel with Pip",'Mitred Cutting'!D20="APO Grey"),'Straight Cutting'!L20,"")</f>
        <v/>
      </c>
      <c r="JQ14" s="123" t="str">
        <f>IF(AND('Straight Cutting'!K20="U Channel with Pip",'Mitred Cutting'!D20="White Birch"),'Straight Cutting'!L20,"")</f>
        <v/>
      </c>
      <c r="JR14" s="123" t="str">
        <f>IF(AND('Straight Cutting'!K20="U Channel with Pip",'Mitred Cutting'!D20="Black"),'Straight Cutting'!L20,"")</f>
        <v/>
      </c>
      <c r="JS14" s="123" t="str">
        <f>IF(AND('Straight Cutting'!K20="U Channel with Pip",'Mitred Cutting'!D20="Brown"),'Straight Cutting'!L20,"")</f>
        <v/>
      </c>
      <c r="JT14" s="123" t="str">
        <f>IF(AND('Straight Cutting'!K20="U Channel with Pip",'Mitred Cutting'!D20="Deep Ocean"),'Straight Cutting'!L20,"")</f>
        <v/>
      </c>
      <c r="JU14" s="123" t="str">
        <f>IF(AND('Straight Cutting'!K20="U Channel with Pip",'Mitred Cutting'!D20="Jasper"),'Straight Cutting'!L20,"")</f>
        <v/>
      </c>
      <c r="JV14" s="123" t="str">
        <f>IF(AND('Straight Cutting'!K20="U Channel with Pip",'Mitred Cutting'!D20="Paperbark"),'Straight Cutting'!L20,"")</f>
        <v/>
      </c>
      <c r="JW14" s="123" t="str">
        <f>IF(AND('Straight Cutting'!K20="U Channel with Pip",'Mitred Cutting'!D20="Mist Green"),'Straight Cutting'!L20,"")</f>
        <v/>
      </c>
      <c r="JX14" s="123" t="str">
        <f>IF(AND('Straight Cutting'!K20="U Channel with Pip",'Mitred Cutting'!D20="Primrose"),'Straight Cutting'!L20,"")</f>
        <v/>
      </c>
      <c r="JY14" s="123" t="str">
        <f>IF(AND('Straight Cutting'!K20="U Channel with Pip",'Mitred Cutting'!D20="Ultra Silver"),'Straight Cutting'!L20,"")</f>
        <v/>
      </c>
      <c r="JZ14" s="123" t="str">
        <f>IF(AND('Straight Cutting'!K20="U Channel with Pip",'Mitred Cutting'!D20="Woodland Grey(Green Tone)"),'Straight Cutting'!L20,"")</f>
        <v/>
      </c>
      <c r="KA14" s="123" t="str">
        <f>IF(AND('Straight Cutting'!K20="U Channel with Pip",'Mitred Cutting'!D20="Pearl White"),'Straight Cutting'!L20,"")</f>
        <v/>
      </c>
      <c r="KB14" s="123" t="str">
        <f>IF(AND('Straight Cutting'!K20="U Channel with Pip",'Mitred Cutting'!D20="Monument"),'Straight Cutting'!L20,"")</f>
        <v/>
      </c>
      <c r="KC14" s="123" t="str">
        <f>IF(AND('Straight Cutting'!K20="U Channel with Pip",'Mitred Cutting'!D20="Surfmist"),'Straight Cutting'!L20,"")</f>
        <v/>
      </c>
      <c r="KD14" s="123" t="str">
        <f>IF(AND('Straight Cutting'!K20="U Channel with Pip",'Mitred Cutting'!D20="Dune"),'Straight Cutting'!L20,"")</f>
        <v/>
      </c>
      <c r="KE14" s="123" t="str">
        <f>IF(AND('Straight Cutting'!K20="U Channel with Pip",'Job Sheet'!Z20="Custom Powdercoat"),'Straight Cutting'!L20,"")</f>
        <v/>
      </c>
      <c r="KF14" s="123" t="str">
        <f>IF(AND('Mitred Cutting'!D20="APO Grey",(OR('Straight Cutting'!M20="Bottom Fix Bottom Track",'Straight Cutting'!M20="U Channel &amp; Bottom Fix Bottom Track"))),'Straight Cutting'!N20,"")</f>
        <v/>
      </c>
      <c r="KG14" s="123" t="str">
        <f>IF(AND('Mitred Cutting'!D20="White Birch",(OR('Straight Cutting'!M20="Bottom Fix Bottom Track",'Straight Cutting'!M20="U Channel &amp; Bottom Fix Bottom Track"))),'Straight Cutting'!N20,"")</f>
        <v/>
      </c>
      <c r="KH14" s="123" t="str">
        <f>IF(AND('Mitred Cutting'!D20="Black",(OR('Straight Cutting'!M20="Bottom Fix Bottom Track",'Straight Cutting'!M20="U Channel &amp; Bottom Fix Bottom Track"))),'Straight Cutting'!N20,"")</f>
        <v/>
      </c>
      <c r="KI14" s="123" t="str">
        <f>IF(AND('Mitred Cutting'!D20="Brown",(OR('Straight Cutting'!M20="Bottom Fix Bottom Track",'Straight Cutting'!M20="U Channel &amp; Bottom Fix Bottom Track"))),'Straight Cutting'!N20,"")</f>
        <v/>
      </c>
      <c r="KJ14" s="123" t="str">
        <f>IF(AND('Mitred Cutting'!D20="Deep Ocean",(OR('Straight Cutting'!M20="Bottom Fix Bottom Track",'Straight Cutting'!M20="U Channel &amp; Bottom Fix Bottom Track"))),'Straight Cutting'!N20,"")</f>
        <v/>
      </c>
      <c r="KK14" s="123" t="str">
        <f>IF(AND('Mitred Cutting'!D20="Jasper",(OR('Straight Cutting'!M20="Bottom Fix Bottom Track",'Straight Cutting'!M20="U Channel &amp; Bottom Fix Bottom Track"))),'Straight Cutting'!N20,"")</f>
        <v/>
      </c>
      <c r="KL14" s="123" t="str">
        <f>IF(AND('Mitred Cutting'!D20="Paperbark",(OR('Straight Cutting'!M20="Bottom Fix Bottom Track",'Straight Cutting'!M20="U Channel &amp; Bottom Fix Bottom Track"))),'Straight Cutting'!N20,"")</f>
        <v/>
      </c>
      <c r="KM14" s="123" t="str">
        <f>IF(AND('Mitred Cutting'!D20="Mist Green",(OR('Straight Cutting'!M20="Bottom Fix Bottom Track",'Straight Cutting'!M20="U Channel &amp; Bottom Fix Bottom Track"))),'Straight Cutting'!N20,"")</f>
        <v/>
      </c>
      <c r="KN14" s="123" t="str">
        <f>IF(AND('Mitred Cutting'!D20="Primrose",(OR('Straight Cutting'!M20="Bottom Fix Bottom Track",'Straight Cutting'!M20="U Channel &amp; Bottom Fix Bottom Track"))),'Straight Cutting'!N20,"")</f>
        <v/>
      </c>
      <c r="KO14" s="123" t="str">
        <f>IF(AND('Mitred Cutting'!D20="Ultra Silver",(OR('Straight Cutting'!M20="Bottom Fix Bottom Track",'Straight Cutting'!M20="U Channel &amp; Bottom Fix Bottom Track"))),'Straight Cutting'!N20,"")</f>
        <v/>
      </c>
      <c r="KP14" s="123" t="str">
        <f>IF(AND('Mitred Cutting'!D20="Woodland Grey(Green Tone)",(OR('Straight Cutting'!M20="Bottom Fix Bottom Track",'Straight Cutting'!M20="U Channel &amp; Bottom Fix Bottom Track"))),'Straight Cutting'!N20,"")</f>
        <v/>
      </c>
      <c r="KQ14" s="123" t="str">
        <f>IF(AND('Mitred Cutting'!D20="Pearl White",(OR('Straight Cutting'!M20="Bottom Fix Bottom Track",'Straight Cutting'!M20="U Channel &amp; Bottom Fix Bottom Track"))),'Straight Cutting'!N20,"")</f>
        <v/>
      </c>
      <c r="KR14" s="123" t="str">
        <f>IF(AND('Mitred Cutting'!D20="Monument",(OR('Straight Cutting'!M20="Bottom Fix Bottom Track",'Straight Cutting'!M20="U Channel &amp; Bottom Fix Bottom Track"))),'Straight Cutting'!N20,"")</f>
        <v/>
      </c>
      <c r="KS14" s="123" t="str">
        <f>IF(AND('Mitred Cutting'!D20="Surfmist",(OR('Straight Cutting'!M20="Bottom Fix Bottom Track",'Straight Cutting'!M20="U Channel &amp; Bottom Fix Bottom Track"))),'Straight Cutting'!N20,"")</f>
        <v/>
      </c>
      <c r="KT14" s="123" t="str">
        <f>IF(AND('Mitred Cutting'!D20="Dune",(OR('Straight Cutting'!M20="Bottom Fix Bottom Track",'Straight Cutting'!M20="U Channel &amp; Bottom Fix Bottom Track"))),'Straight Cutting'!N20,"")</f>
        <v/>
      </c>
      <c r="KU14" s="123" t="str">
        <f>IF(AND('Job Sheet'!Z20="Custom Powdercoat",(OR('Straight Cutting'!M20="Bottom Fix Bottom Track",'Straight Cutting'!M20="U Channel &amp; Bottom Fix Bottom Track"))),'Straight Cutting'!N20,"")</f>
        <v/>
      </c>
      <c r="KV14" s="123" t="str">
        <f>IF(AND('Mitred Cutting'!D20="APO Grey",(OR('Straight Cutting'!M20="Face Fix Bottom Track",'Straight Cutting'!M20="U Channel &amp; Face Fix Bottom Track"))),'Straight Cutting'!N20,"")</f>
        <v/>
      </c>
      <c r="KW14" s="123" t="str">
        <f>IF(AND('Mitred Cutting'!D20="White Birch",(OR('Straight Cutting'!M20="Face Fix Bottom Track",'Straight Cutting'!M20="U Channel &amp; Face Fix Bottom Track"))),'Straight Cutting'!N20,"")</f>
        <v/>
      </c>
      <c r="KX14" s="123" t="str">
        <f>IF(AND('Mitred Cutting'!D20="Black",(OR('Straight Cutting'!M20="Face Fix Bottom Track",'Straight Cutting'!M20="U Channel &amp; Face Fix Bottom Track"))),'Straight Cutting'!N20,"")</f>
        <v/>
      </c>
      <c r="KY14" s="123" t="str">
        <f>IF(AND('Mitred Cutting'!D20="Brown",(OR('Straight Cutting'!M20="Face Fix Bottom Track",'Straight Cutting'!M20="U Channel &amp; Face Fix Bottom Track"))),'Straight Cutting'!N20,"")</f>
        <v/>
      </c>
      <c r="KZ14" s="123" t="str">
        <f>IF(AND('Mitred Cutting'!D20="Deep Ocean",(OR('Straight Cutting'!M20="Face Fix Bottom Track",'Straight Cutting'!M20="U Channel &amp; Face Fix Bottom Track"))),'Straight Cutting'!N20,"")</f>
        <v/>
      </c>
      <c r="LA14" s="123" t="str">
        <f>IF(AND('Mitred Cutting'!D20="Jasper",(OR('Straight Cutting'!M20="Face Fix Bottom Track",'Straight Cutting'!M20="U Channel &amp; Face Fix Bottom Track"))),'Straight Cutting'!N20,"")</f>
        <v/>
      </c>
      <c r="LB14" s="123" t="str">
        <f>IF(AND('Mitred Cutting'!D20="Paperbark",(OR('Straight Cutting'!M20="Face Fix Bottom Track",'Straight Cutting'!M20="U Channel &amp; Face Fix Bottom Track"))),'Straight Cutting'!N20,"")</f>
        <v/>
      </c>
      <c r="LC14" s="123" t="str">
        <f>IF(AND('Mitred Cutting'!D20="Mist Green",(OR('Straight Cutting'!M20="Face Fix Bottom Track",'Straight Cutting'!M20="U Channel &amp; Face Fix Bottom Track"))),'Straight Cutting'!N20,"")</f>
        <v/>
      </c>
      <c r="LD14" s="123" t="str">
        <f>IF(AND('Mitred Cutting'!D20="Primrose",(OR('Straight Cutting'!M20="Face Fix Bottom Track",'Straight Cutting'!M20="U Channel &amp; Face Fix Bottom Track"))),'Straight Cutting'!N20,"")</f>
        <v/>
      </c>
      <c r="LE14" s="123" t="str">
        <f>IF(AND('Mitred Cutting'!D20="Ultra Silver",(OR('Straight Cutting'!M20="Face Fix Bottom Track",'Straight Cutting'!M20="U Channel &amp; Face Fix Bottom Track"))),'Straight Cutting'!N20,"")</f>
        <v/>
      </c>
      <c r="LF14" s="123" t="str">
        <f>IF(AND('Mitred Cutting'!D20="Woodland Grey(Green Tone)",(OR('Straight Cutting'!M20="Face Fix Bottom Track",'Straight Cutting'!M20="U Channel &amp; Face Fix Bottom Track"))),'Straight Cutting'!N20,"")</f>
        <v/>
      </c>
      <c r="LG14" s="123" t="str">
        <f>IF(AND('Mitred Cutting'!D20="Pearl White",(OR('Straight Cutting'!M20="Face Fix Bottom Track",'Straight Cutting'!M20="U Channel &amp; Face Fix Bottom Track"))),'Straight Cutting'!N20,"")</f>
        <v/>
      </c>
      <c r="LH14" s="123" t="str">
        <f>IF(AND('Mitred Cutting'!D20="Monument",(OR('Straight Cutting'!M20="Face Fix Bottom Track",'Straight Cutting'!M20="U Channel &amp; Face Fix Bottom Track"))),'Straight Cutting'!N20,"")</f>
        <v/>
      </c>
      <c r="LI14" s="123" t="str">
        <f>IF(AND('Mitred Cutting'!D20="Surfmist",(OR('Straight Cutting'!M20="Face Fix Bottom Track",'Straight Cutting'!M20="U Channel &amp; Face Fix Bottom Track"))),'Straight Cutting'!N20,"")</f>
        <v/>
      </c>
      <c r="LJ14" s="123" t="str">
        <f>IF(AND('Mitred Cutting'!D20="Dune",(OR('Straight Cutting'!M20="Face Fix Bottom Track",'Straight Cutting'!M20="U Channel &amp; Face Fix Bottom Track"))),'Straight Cutting'!N20,"")</f>
        <v/>
      </c>
      <c r="LK14" s="123" t="str">
        <f>IF(AND('Job Sheet'!Z20="Custom Powdercoat",(OR('Straight Cutting'!M20="Face Fix Bottom Track",'Straight Cutting'!M20="U Channel &amp; Face Fix Bottom Track"))),'Straight Cutting'!N20,"")</f>
        <v/>
      </c>
      <c r="LL14" s="123" t="str">
        <f>IF(AND('Straight Cutting'!H20&lt;&gt;"",'Mitred Cutting'!D20="APO Grey"),'Straight Cutting'!H20/4300,"")</f>
        <v/>
      </c>
      <c r="LM14" s="123" t="str">
        <f>IF(AND('Straight Cutting'!H20&lt;&gt;"",'Mitred Cutting'!D20="White Birch"),'Straight Cutting'!H20,"")</f>
        <v/>
      </c>
      <c r="LN14" s="123" t="str">
        <f>IF(AND('Straight Cutting'!H20&lt;&gt;"",'Mitred Cutting'!D20="Black"),'Straight Cutting'!H20,"")</f>
        <v/>
      </c>
      <c r="LO14" s="123" t="str">
        <f>IF(AND('Straight Cutting'!H20&lt;&gt;"",'Mitred Cutting'!D20="Brown"),'Straight Cutting'!H20,"")</f>
        <v/>
      </c>
      <c r="LP14" s="123" t="str">
        <f>IF(AND('Straight Cutting'!H20&lt;&gt;"",'Mitred Cutting'!D20="Deep Ocean"),'Straight Cutting'!H20,"")</f>
        <v/>
      </c>
      <c r="LQ14" s="123" t="str">
        <f>IF(AND('Straight Cutting'!H20&lt;&gt;"",'Mitred Cutting'!D20="Jasper"),'Straight Cutting'!H20,"")</f>
        <v/>
      </c>
      <c r="LR14" s="123" t="str">
        <f>IF(AND('Straight Cutting'!H20&lt;&gt;"",'Mitred Cutting'!D20="Paperbark"),'Straight Cutting'!H20,"")</f>
        <v/>
      </c>
      <c r="LS14" s="123" t="str">
        <f>IF(AND('Straight Cutting'!H20&lt;&gt;"",'Mitred Cutting'!D20="Mist Green"),'Straight Cutting'!H20,"")</f>
        <v/>
      </c>
      <c r="LT14" s="123" t="str">
        <f>IF(AND('Straight Cutting'!H20&lt;&gt;"",'Mitred Cutting'!D20="Primrose"),'Straight Cutting'!H20,"")</f>
        <v/>
      </c>
      <c r="LU14" s="123" t="str">
        <f>IF(AND('Straight Cutting'!H20&lt;&gt;"",'Mitred Cutting'!D20="Ultra Silver"),'Straight Cutting'!H20,"")</f>
        <v/>
      </c>
      <c r="LV14" s="123" t="str">
        <f>IF(AND('Straight Cutting'!H20&lt;&gt;"",'Mitred Cutting'!D20="Woodland Grey(Green Tone)"),'Straight Cutting'!H20,"")</f>
        <v/>
      </c>
      <c r="LW14" s="123" t="str">
        <f>IF(AND('Straight Cutting'!H20&lt;&gt;"",'Mitred Cutting'!D20="Pearl White"),'Straight Cutting'!H20,"")</f>
        <v/>
      </c>
      <c r="LX14" s="123" t="str">
        <f>IF(AND('Straight Cutting'!H20&lt;&gt;"",'Mitred Cutting'!D20="Monument"),'Straight Cutting'!H20,"")</f>
        <v/>
      </c>
      <c r="LY14" s="123" t="str">
        <f>IF(AND('Straight Cutting'!H20&lt;&gt;"",'Mitred Cutting'!D20="Surfmist"),'Straight Cutting'!H20,"")</f>
        <v/>
      </c>
      <c r="LZ14" s="123" t="str">
        <f>IF(AND('Straight Cutting'!H20&lt;&gt;"",'Mitred Cutting'!D20="Dune"),'Straight Cutting'!H20,"")</f>
        <v/>
      </c>
      <c r="MA14" s="123" t="str">
        <f>IF(AND('Straight Cutting'!H20&lt;&gt;"",'Job Sheet'!Z20="Custom Powdercoat"),'Straight Cutting'!H20,"")</f>
        <v/>
      </c>
      <c r="MB14" s="123" t="str">
        <f>IF(AND('Mitred Cutting'!D20="APO Grey",OR('Straight Cutting'!M20="H Shaped Bottom Track",'Straight Cutting'!M20="U Channel &amp; H Shaped Bottom Track")),'Straight Cutting'!N20,"")</f>
        <v/>
      </c>
      <c r="MC14" s="123" t="str">
        <f>IF(AND('Mitred Cutting'!D20="Birch White",OR('Straight Cutting'!M20="H Shaped Bottom Track",'Straight Cutting'!M20="U Channel &amp; H Shaped Bottom Track")),'Straight Cutting'!N20,"")</f>
        <v/>
      </c>
      <c r="MD14" s="123" t="str">
        <f>IF(AND('Mitred Cutting'!D20="Black",OR('Straight Cutting'!M20="H Shaped Bottom Track",'Straight Cutting'!M20="U Channel &amp; H Shaped Bottom Track")),'Straight Cutting'!N20,"")</f>
        <v/>
      </c>
      <c r="ME14" s="123" t="str">
        <f>IF(AND('Mitred Cutting'!D20="Brown",OR('Straight Cutting'!M20="H Shaped Bottom Track",'Straight Cutting'!M20="U Channel &amp; H Shaped Bottom Track")),'Straight Cutting'!N20,"")</f>
        <v/>
      </c>
      <c r="MF14" s="123" t="str">
        <f>IF(AND('Mitred Cutting'!D20="Deep Ocean",OR('Straight Cutting'!M20="H Shaped Bottom Track",'Straight Cutting'!M20="U Channel &amp; H Shaped Bottom Track")),'Straight Cutting'!N20,"")</f>
        <v/>
      </c>
      <c r="MG14" s="123" t="str">
        <f>IF(AND('Mitred Cutting'!D20="Jasper",OR('Straight Cutting'!M20="H Shaped Bottom Track",'Straight Cutting'!M20="U Channel &amp; H Shaped Bottom Track")),'Straight Cutting'!N20,"")</f>
        <v/>
      </c>
      <c r="MH14" s="123" t="str">
        <f>IF(AND('Mitred Cutting'!D20="Paperbark",OR('Straight Cutting'!M20="H Shaped Bottom Track",'Straight Cutting'!M20="U Channel &amp; H Shaped Bottom Track")),'Straight Cutting'!N20,"")</f>
        <v/>
      </c>
      <c r="MI14" s="123" t="str">
        <f>IF(AND('Mitred Cutting'!D20="Mist Green",OR('Straight Cutting'!M20="H Shaped Bottom Track",'Straight Cutting'!M20="U Channel &amp; H Shaped Bottom Track")),'Straight Cutting'!N20,"")</f>
        <v/>
      </c>
      <c r="MJ14" s="123" t="str">
        <f>IF(AND('Mitred Cutting'!D20="Primrose",OR('Straight Cutting'!M20="H Shaped Bottom Track",'Straight Cutting'!M20="U Channel &amp; H Shaped Bottom Track")),'Straight Cutting'!N20,"")</f>
        <v/>
      </c>
      <c r="MK14" s="123" t="str">
        <f>IF(AND('Mitred Cutting'!D20="Ultra Silver",OR('Straight Cutting'!M20="H Shaped Bottom Track",'Straight Cutting'!M20="U Channel &amp; H Shaped Bottom Track")),'Straight Cutting'!N20,"")</f>
        <v/>
      </c>
      <c r="ML14" s="123" t="str">
        <f>IF(AND('Mitred Cutting'!D20="Woodland Grey(Green Tone)",OR('Straight Cutting'!M20="H Shaped Bottom Track",'Straight Cutting'!M20="U Channel &amp; H Shaped Bottom Track")),'Straight Cutting'!N20,"")</f>
        <v/>
      </c>
      <c r="MM14" s="123" t="str">
        <f>IF(AND('Mitred Cutting'!D20="Pearl White",OR('Straight Cutting'!M20="H Shaped Bottom Track",'Straight Cutting'!M20="U Channel &amp; H Shaped Bottom Track")),'Straight Cutting'!N20,"")</f>
        <v/>
      </c>
      <c r="MN14" s="123" t="str">
        <f>IF(AND('Mitred Cutting'!D20="Monument",OR('Straight Cutting'!M20="H Shaped Bottom Track",'Straight Cutting'!M20="U Channel &amp; H Shaped Bottom Track")),'Straight Cutting'!N20,"")</f>
        <v/>
      </c>
      <c r="MO14" s="123" t="str">
        <f>IF(AND('Mitred Cutting'!D20="Surfmist",OR('Straight Cutting'!M20="H Shaped Bottom Track",'Straight Cutting'!M20="U Channel &amp; H Shaped Bottom Track")),'Straight Cutting'!N20,"")</f>
        <v/>
      </c>
      <c r="MP14" s="123" t="str">
        <f>IF(AND('Mitred Cutting'!D20="Dune",OR('Straight Cutting'!M20="H Shaped Bottom Track",'Straight Cutting'!M20="U Channel &amp; H Shaped Bottom Track")),'Straight Cutting'!N20,"")</f>
        <v/>
      </c>
      <c r="MQ14" s="123" t="str">
        <f>IF(AND('Job Sheet'!Z20="Custom Powdercoat",OR('Straight Cutting'!M20="H Shaped Bottom Track",'Straight Cutting'!M20="U Channel &amp; H Shaped Bottom Track")),'Straight Cutting'!N20,"")</f>
        <v/>
      </c>
      <c r="MR14" s="123" t="str">
        <f>IF(AND('Straight Cutting'!P20="APO Grey",(OR('Job Sheet'!AI20="Yes",'Job Sheet'!AI20="Yes - Centre"))),'Straight Cutting'!Q20,"")</f>
        <v/>
      </c>
      <c r="MS14" s="123" t="str">
        <f>IF(AND('Straight Cutting'!P20="White Birch",(OR('Job Sheet'!AI20="Yes",'Job Sheet'!AI20="Yes - Centre"))),'Straight Cutting'!Q20,"")</f>
        <v/>
      </c>
      <c r="MT14" s="123" t="str">
        <f>IF(AND('Straight Cutting'!P20="Black",(OR('Job Sheet'!AI20="Yes",'Job Sheet'!AI20="Yes - Centre"))),'Straight Cutting'!Q20,"")</f>
        <v/>
      </c>
      <c r="MU14" s="123" t="str">
        <f>IF(AND('Straight Cutting'!P20="Brown",(OR('Job Sheet'!AI20="Yes",'Job Sheet'!AI20="Yes - Centre"))),'Straight Cutting'!Q20,"")</f>
        <v/>
      </c>
      <c r="MV14" s="123" t="str">
        <f>IF(AND('Straight Cutting'!P20="Deep Ocean",(OR('Job Sheet'!AI20="Yes",'Job Sheet'!AI20="Yes - Centre"))),'Straight Cutting'!Q20,"")</f>
        <v/>
      </c>
      <c r="MW14" s="123" t="str">
        <f>IF(AND('Straight Cutting'!P20="Jasper",(OR('Job Sheet'!AI20="Yes",'Job Sheet'!AI20="Yes - Centre"))),'Straight Cutting'!Q20,"")</f>
        <v/>
      </c>
      <c r="MX14" s="123" t="str">
        <f>IF(AND('Straight Cutting'!P20="Paperbark",(OR('Job Sheet'!AI20="Yes",'Job Sheet'!AI20="Yes - Centre"))),'Straight Cutting'!Q20,"")</f>
        <v/>
      </c>
      <c r="MY14" s="123" t="str">
        <f>IF(AND('Straight Cutting'!P20="Mist Green",(OR('Job Sheet'!AI20="Yes",'Job Sheet'!AI20="Yes - Centre"))),'Straight Cutting'!Q20,"")</f>
        <v/>
      </c>
      <c r="MZ14" s="123" t="str">
        <f>IF(AND('Straight Cutting'!P20="Primrose",(OR('Job Sheet'!AI20="Yes",'Job Sheet'!AI20="Yes - Centre"))),'Straight Cutting'!Q20,"")</f>
        <v/>
      </c>
      <c r="NA14" s="123" t="str">
        <f>IF(AND('Straight Cutting'!P20="Ultra Silver",(OR('Job Sheet'!AI20="Yes",'Job Sheet'!AI20="Yes - Centre"))),'Straight Cutting'!Q20,"")</f>
        <v/>
      </c>
      <c r="NB14" s="123" t="str">
        <f>IF(AND('Straight Cutting'!P20="Woodland Grey(Green Tone)",(OR('Job Sheet'!AI20="Yes",'Job Sheet'!AI20="Yes - Centre"))),'Straight Cutting'!Q20,"")</f>
        <v/>
      </c>
      <c r="NC14" s="123" t="str">
        <f>IF(AND('Straight Cutting'!P20="Pearl White",(OR('Job Sheet'!AI20="Yes",'Job Sheet'!AI20="Yes - Centre"))),'Straight Cutting'!Q20,"")</f>
        <v/>
      </c>
      <c r="ND14" s="123" t="str">
        <f>IF(AND('Straight Cutting'!P20="Monument",(OR('Job Sheet'!AI20="Yes",'Job Sheet'!AI20="Yes - Centre"))),'Straight Cutting'!Q20,"")</f>
        <v/>
      </c>
      <c r="NE14" s="123" t="str">
        <f>IF(AND('Straight Cutting'!P20="Surfmist",(OR('Job Sheet'!AI20="Yes",'Job Sheet'!AI20="Yes - Centre"))),'Straight Cutting'!Q20,"")</f>
        <v/>
      </c>
      <c r="NF14" s="123" t="str">
        <f>IF(AND('Straight Cutting'!P20="Dune",(OR('Job Sheet'!AI20="Yes",'Job Sheet'!AI20="Yes - Centre"))),'Straight Cutting'!Q20,"")</f>
        <v/>
      </c>
      <c r="NG14" s="73"/>
      <c r="NH14" s="123" t="str">
        <f>IF(AND('Straight Cutting'!P20="APO Grey",(OR('Job Sheet'!AI20="Yes",'Job Sheet'!AI20="Yes - Centre"))),'Straight Cutting'!R20,"")</f>
        <v/>
      </c>
      <c r="NI14" s="123" t="str">
        <f>IF(AND('Straight Cutting'!P20="White Birch",(OR('Job Sheet'!AI20="Yes",'Job Sheet'!AI20="Yes - Centre"))),'Straight Cutting'!R20,"")</f>
        <v/>
      </c>
      <c r="NJ14" s="123" t="str">
        <f>IF(AND('Straight Cutting'!P20="Black",(OR('Job Sheet'!AI20="Yes",'Job Sheet'!AI20="Yes - Centre"))),'Straight Cutting'!R20,"")</f>
        <v/>
      </c>
      <c r="NK14" s="123" t="str">
        <f>IF(AND('Straight Cutting'!P20="Brown",(OR('Job Sheet'!AI20="Yes",'Job Sheet'!AI20="Yes - Centre"))),'Straight Cutting'!R20,"")</f>
        <v/>
      </c>
      <c r="NL14" s="123" t="str">
        <f>IF(AND('Straight Cutting'!P20="Deep Ocean",(OR('Job Sheet'!AI20="Yes",'Job Sheet'!AI20="Yes - Centre"))),'Straight Cutting'!R20,"")</f>
        <v/>
      </c>
      <c r="NM14" s="123" t="str">
        <f>IF(AND('Straight Cutting'!P20="Jasper",(OR('Job Sheet'!AI20="Yes",'Job Sheet'!AI20="Yes - Centre"))),'Straight Cutting'!R20,"")</f>
        <v/>
      </c>
      <c r="NN14" s="123" t="str">
        <f>IF(AND('Straight Cutting'!P20="Paperbark",(OR('Job Sheet'!AI20="Yes",'Job Sheet'!AI20="Yes - Centre"))),'Straight Cutting'!R20,"")</f>
        <v/>
      </c>
      <c r="NO14" s="123" t="str">
        <f>IF(AND('Straight Cutting'!P20="Mist Green",(OR('Job Sheet'!AI20="Yes",'Job Sheet'!AI20="Yes - Centre"))),'Straight Cutting'!R20,"")</f>
        <v/>
      </c>
      <c r="NP14" s="123" t="str">
        <f>IF(AND('Straight Cutting'!P20="Primrose",(OR('Job Sheet'!AI20="Yes",'Job Sheet'!AI20="Yes - Centre"))),'Straight Cutting'!R20,"")</f>
        <v/>
      </c>
      <c r="NQ14" s="123" t="str">
        <f>IF(AND('Straight Cutting'!P20="Ultra Silver",(OR('Job Sheet'!AI20="Yes",'Job Sheet'!AI20="Yes - Centre"))),'Straight Cutting'!R20,"")</f>
        <v/>
      </c>
      <c r="NR14" s="123" t="str">
        <f>IF(AND('Straight Cutting'!P20="Woodland Grey(Green Tone)",(OR('Job Sheet'!AI20="Yes",'Job Sheet'!AI20="Yes - Centre"))),'Straight Cutting'!R20,"")</f>
        <v/>
      </c>
      <c r="NS14" s="123" t="str">
        <f>IF(AND('Straight Cutting'!P20="Pearl White",(OR('Job Sheet'!AI20="Yes",'Job Sheet'!AI20="Yes - Centre"))),'Straight Cutting'!R20,"")</f>
        <v/>
      </c>
      <c r="NT14" s="123" t="str">
        <f>IF(AND('Straight Cutting'!P20="Monument",(OR('Job Sheet'!AI20="Yes",'Job Sheet'!AI20="Yes - Centre"))),'Straight Cutting'!R20,"")</f>
        <v/>
      </c>
      <c r="NU14" s="123" t="str">
        <f>IF(AND('Straight Cutting'!P20="Surfmist",(OR('Job Sheet'!AI20="Yes",'Job Sheet'!AI20="Yes - Centre"))),'Straight Cutting'!R20,"")</f>
        <v/>
      </c>
      <c r="NV14" s="123" t="str">
        <f>IF(AND('Straight Cutting'!P20="Dune",(OR('Job Sheet'!AI20="Yes",'Job Sheet'!AI20="Yes - Centre"))),'Straight Cutting'!R20,"")</f>
        <v/>
      </c>
      <c r="NW14" s="73"/>
      <c r="NX14" s="123"/>
      <c r="NY14" s="123"/>
      <c r="NZ14" s="123"/>
      <c r="OA14" s="123"/>
      <c r="OB14" s="123"/>
      <c r="OC14" s="123"/>
      <c r="OD14" s="123"/>
      <c r="OE14" s="123"/>
      <c r="OF14" s="123"/>
      <c r="OG14" s="123"/>
      <c r="OH14" s="123"/>
      <c r="OI14" s="123"/>
      <c r="OJ14" s="123"/>
      <c r="OK14" s="123"/>
      <c r="OL14" s="123"/>
      <c r="OM14" s="123"/>
      <c r="ON14" s="123" t="str">
        <f>IF(Data!AW20="","",IF(VLOOKUP(CONCATENATE(Data!BO20,'Job Sheet'!AE20),DoorType,4,FALSE)="Yes",(('Job Sheet'!BH20-98)*2+('Job Sheet'!BI20-96)*2)/2700,""))</f>
        <v/>
      </c>
      <c r="OO14" s="123" t="str">
        <f>IF(Data!AW20="","",IF('Mitred Cutting'!F20="1.6mm",(('Job Sheet'!BH20-114)*2+('Job Sheet'!BI20-114)*2)/3100,""))</f>
        <v/>
      </c>
      <c r="OP14" s="123" t="str">
        <f>IF(Data!AW20="","",IF('Mitred Cutting'!F20="2mm",(('Job Sheet'!BH20-114)*2+('Job Sheet'!BI20-114)*2)/3100,""))</f>
        <v/>
      </c>
      <c r="OQ14" s="48" t="str">
        <f>IF(Data!AW20="","",IF('Straight Cutting'!R20&lt;&gt;"",(('Job Sheet'!BO20*4)+('Job Sheet'!BQ20*2)+('Job Sheet'!BP20*2))/4000,IF('Mitred Cutting'!C20="Invisi-Gard",(('Job Sheet'!BO20+'Job Sheet'!BP20)*2)/4000,"")))</f>
        <v/>
      </c>
      <c r="OR14" s="48" t="str">
        <f t="shared" si="2"/>
        <v/>
      </c>
      <c r="OS14" s="48" t="str">
        <f t="shared" si="3"/>
        <v/>
      </c>
      <c r="OT14" s="123" t="str">
        <f>IF(D14="","",'Job Sheet'!BH20-2)</f>
        <v/>
      </c>
      <c r="OU14" s="123" t="str">
        <f>IF(OR('Job Sheet'!AE20="Fibreglass Mesh",'Job Sheet'!AE20="Tuff Mesh",'Job Sheet'!AE20="Pet Mesh",'Job Sheet'!AE20="Aluminium Mesh"),'Job Sheet'!BH20*2+'Job Sheet'!BI20*2-200,"")</f>
        <v/>
      </c>
      <c r="OV14" s="123" t="str">
        <f>IF('Job Sheet'!M20="Not Required","",IF(Punching!K20="Hinged High",1,""))</f>
        <v/>
      </c>
      <c r="OW14" s="123" t="str">
        <f>IF('Job Sheet'!M20="Not Required","",IF(Punching!K20="Hinged Low",1,""))</f>
        <v/>
      </c>
      <c r="OX14" s="123" t="str">
        <f>IF('Job Sheet'!M20="Not Required","",IF(Punching!K20="Hinged Pool",1,""))</f>
        <v/>
      </c>
      <c r="OY14" s="123" t="str">
        <f>IF('Job Sheet'!M20="Not Required","",IF(Punching!K20="Hinged Adjustable",1,""))</f>
        <v/>
      </c>
      <c r="OZ14" s="123" t="str">
        <f>IF('Job Sheet'!M20="Not Required","",IF(Punching!K20="Sliding High",1,""))</f>
        <v/>
      </c>
      <c r="PA14" s="123" t="str">
        <f>IF('Job Sheet'!M20="Not Required","",IF(Punching!K20="Sliding Low",1,""))</f>
        <v/>
      </c>
      <c r="PB14" s="123" t="str">
        <f>IF('Job Sheet'!M20="Not Required","",IF(Punching!K20="Sliding Pool",1,""))</f>
        <v/>
      </c>
      <c r="PC14" s="123" t="str">
        <f>IF('Job Sheet'!M20="Not Required","",IF(Punching!K20="Sliding Adjustable",1,""))</f>
        <v/>
      </c>
      <c r="PD14" s="123" t="str">
        <f t="shared" si="0"/>
        <v/>
      </c>
      <c r="PE14" s="123"/>
      <c r="PF14" s="123"/>
      <c r="PG14" s="123"/>
      <c r="PH14" s="73" t="str">
        <f>IF('Job Sheet'!AV20&lt;&gt;"Yes","",IF(OR('Job Sheet'!AY20="Left",'Job Sheet'!AY20="Right"),"1","2"))</f>
        <v/>
      </c>
      <c r="PI14" s="123"/>
      <c r="PJ14" s="123"/>
      <c r="PK14" s="123"/>
      <c r="PL14" s="123"/>
      <c r="PM14" s="123"/>
      <c r="PN14" s="123"/>
      <c r="PO14" s="123" t="str">
        <f>IF('Job Sheet'!M20="Bass Latch",1,"")</f>
        <v/>
      </c>
      <c r="PP14" s="123" t="str">
        <f>IF('Job Sheet'!AU20="Yes","2","")</f>
        <v/>
      </c>
      <c r="PQ14" s="123" t="str">
        <f>IF('Job Sheet'!U20="Black",1,"")</f>
        <v/>
      </c>
      <c r="PR14" s="123" t="str">
        <f>IF('Job Sheet'!U20="Dune",1,"")</f>
        <v/>
      </c>
      <c r="PS14" s="123" t="str">
        <f>IF('Job Sheet'!U20="Jasper",1,"")</f>
        <v/>
      </c>
      <c r="PT14" s="123" t="str">
        <f>IF('Job Sheet'!U20="Monument",1,"")</f>
        <v/>
      </c>
      <c r="PU14" s="123" t="str">
        <f>IF('Job Sheet'!U20="Paperbark",1,"")</f>
        <v/>
      </c>
      <c r="PV14" s="123" t="str">
        <f>IF('Job Sheet'!U20="Primrose",1,"")</f>
        <v/>
      </c>
      <c r="PW14" s="123" t="str">
        <f>IF('Job Sheet'!U20="Surfmist",1,"")</f>
        <v/>
      </c>
      <c r="PX14" s="123" t="str">
        <f>IF('Job Sheet'!U20="White",1,"")</f>
        <v/>
      </c>
      <c r="PY14" s="123" t="str">
        <f>IF('Job Sheet'!U20="Woodland Grey(Green Tone)",1,"")</f>
        <v/>
      </c>
      <c r="PZ14" s="123" t="str">
        <f>IF(AND(OR('Job Sheet'!M20="Single Lock",'Job Sheet'!M20="Triple Lock"),'Job Sheet'!J20="Hinged",'Job Sheet'!Q20="Black"),1,"")</f>
        <v/>
      </c>
      <c r="QA14" s="123" t="str">
        <f>IF(AND(OR('Job Sheet'!M20="Single Lock",'Job Sheet'!M20="Triple Lock"),'Job Sheet'!J20="Hinged",'Job Sheet'!Q20="Dune"),1,"")</f>
        <v/>
      </c>
      <c r="QB14" s="123" t="str">
        <f>IF(AND(OR('Job Sheet'!M20="Single Lock",'Job Sheet'!M20="Triple Lock"),'Job Sheet'!J20="Hinged",'Job Sheet'!Q20="Jasper"),1,"")</f>
        <v/>
      </c>
      <c r="QC14" s="123" t="str">
        <f>IF(AND(OR('Job Sheet'!M20="Single Lock",'Job Sheet'!M20="Triple Lock"),'Job Sheet'!J20="Hinged",'Job Sheet'!Q20="Monument"),1,"")</f>
        <v/>
      </c>
      <c r="QD14" s="123" t="str">
        <f>IF(AND(OR('Job Sheet'!M20="Single Lock",'Job Sheet'!M20="Triple Lock"),'Job Sheet'!J20="Hinged",'Job Sheet'!Q20="Paperbark"),1,"")</f>
        <v/>
      </c>
      <c r="QE14" s="123" t="str">
        <f>IF(AND(OR('Job Sheet'!M20="Single Lock",'Job Sheet'!M20="Triple Lock"),'Job Sheet'!J20="Hinged",'Job Sheet'!Q20="Primrose"),1,"")</f>
        <v/>
      </c>
      <c r="QF14" s="123" t="str">
        <f>IF(AND(OR('Job Sheet'!M20="Single Lock",'Job Sheet'!M20="Triple Lock"),'Job Sheet'!J20="Hinged",'Job Sheet'!Q20="Surfmist"),1,"")</f>
        <v/>
      </c>
      <c r="QG14" s="123" t="str">
        <f>IF(AND(OR('Job Sheet'!M20="Single Lock",'Job Sheet'!M20="Triple Lock"),'Job Sheet'!J20="Hinged",'Job Sheet'!Q20="White"),1,"")</f>
        <v/>
      </c>
      <c r="QH14" s="123" t="str">
        <f>IF(AND(OR('Job Sheet'!M20="Single Lock",'Job Sheet'!M20="Triple Lock"),'Job Sheet'!J20="Hinged",'Job Sheet'!Q20="Woodland Grey(Green Tone)"),1,"")</f>
        <v/>
      </c>
      <c r="QI14" s="123" t="str">
        <f>IF(AND(OR('Job Sheet'!M20="Push 2 Go Single Lock",'Job Sheet'!M20="Push 2 Go Triple Lock"),'Job Sheet'!J20="Hinged",'Job Sheet'!Q20="Black"),1,"")</f>
        <v/>
      </c>
      <c r="QJ14" s="123" t="str">
        <f>IF(AND(OR('Job Sheet'!M20="Push 2 Go Single Lock",'Job Sheet'!M20="Push 2 Go Triple Lock"),'Job Sheet'!J20="Hinged",'Job Sheet'!Q20="Dune"),1,"")</f>
        <v/>
      </c>
      <c r="QK14" s="123" t="str">
        <f>IF(AND(OR('Job Sheet'!M20="Push 2 Go Single Lock",'Job Sheet'!M20="Push 2 Go Triple Lock"),'Job Sheet'!J20="Hinged",'Job Sheet'!Q20="Jasper"),1,"")</f>
        <v/>
      </c>
      <c r="QL14" s="123" t="str">
        <f>IF(AND(OR('Job Sheet'!M20="Push 2 Go Single Lock",'Job Sheet'!M20="Push 2 Go Triple Lock"),'Job Sheet'!J20="Hinged",'Job Sheet'!Q20="Monument"),1,"")</f>
        <v/>
      </c>
      <c r="QM14" s="123" t="str">
        <f>IF(AND(OR('Job Sheet'!M20="Push 2 Go Single Lock",'Job Sheet'!M20="Push 2 Go Triple Lock"),'Job Sheet'!J20="Hinged",'Job Sheet'!Q20="Paperbark"),1,"")</f>
        <v/>
      </c>
      <c r="QN14" s="123" t="str">
        <f>IF(AND(OR('Job Sheet'!M20="Push 2 Go Single Lock",'Job Sheet'!M20="Push 2 Go Triple Lock"),'Job Sheet'!J20="Hinged",'Job Sheet'!Q20="Primrose"),1,"")</f>
        <v/>
      </c>
      <c r="QO14" s="123" t="str">
        <f>IF(AND(OR('Job Sheet'!M20="Push 2 Go Single Lock",'Job Sheet'!M20="Push 2 Go Triple Lock"),'Job Sheet'!J20="Hinged",'Job Sheet'!Q20="Surfmist"),1,"")</f>
        <v/>
      </c>
      <c r="QP14" s="123" t="str">
        <f>IF(AND(OR('Job Sheet'!M20="Push 2 Go Single Lock",'Job Sheet'!M20="Push 2 Go Triple Lock"),'Job Sheet'!J20="Hinged",'Job Sheet'!Q20="White"),1,"")</f>
        <v/>
      </c>
      <c r="QQ14" s="123" t="str">
        <f>IF(AND(OR('Job Sheet'!M20="Push 2 Go Single Lock",'Job Sheet'!M20="Push 2 Go Triple Lock"),'Job Sheet'!J20="Hinged",'Job Sheet'!Q20="Woodland Grey(Green Tone)"),1,"")</f>
        <v/>
      </c>
      <c r="QR14" s="123" t="str">
        <f>IF('Job Sheet'!M20="Bass Latch","",IF(AND(OR('Job Sheet'!J20="Sliding",'Job Sheet'!J20="Stacker"),'Job Sheet'!Q20="Black"),1,""))</f>
        <v/>
      </c>
      <c r="QS14" s="123" t="str">
        <f>IF('Job Sheet'!M20="Bass Latch","",IF(AND(OR('Job Sheet'!J20="Sliding",'Job Sheet'!J20="Stacker"),'Job Sheet'!Q20="Dune"),1,""))</f>
        <v/>
      </c>
      <c r="QT14" s="123" t="str">
        <f>IF('Job Sheet'!M20="Bass Latch","",IF(AND(OR('Job Sheet'!J20="Sliding",'Job Sheet'!J20="Stacker"),'Job Sheet'!Q20="Jasper"),1,""))</f>
        <v/>
      </c>
      <c r="QU14" s="123" t="str">
        <f>IF('Job Sheet'!M20="Bass Latch","",IF(AND(OR('Job Sheet'!J20="Sliding",'Job Sheet'!J20="Stacker"),'Job Sheet'!Q20="Monument"),1,""))</f>
        <v/>
      </c>
      <c r="QV14" s="123" t="str">
        <f>IF('Job Sheet'!M20="Bass Latch","",IF(AND(OR('Job Sheet'!J20="Sliding",'Job Sheet'!J20="Stacker"),'Job Sheet'!Q20="Paperbark"),1,""))</f>
        <v/>
      </c>
      <c r="QW14" s="123" t="str">
        <f>IF('Job Sheet'!M20="Bass Latch","",IF(AND(OR('Job Sheet'!J20="Sliding",'Job Sheet'!J20="Stacker"),'Job Sheet'!Q20="Primrose"),1,""))</f>
        <v/>
      </c>
      <c r="QX14" s="123" t="str">
        <f>IF('Job Sheet'!M20="Bass Latch","",IF(AND(OR('Job Sheet'!J20="Sliding",'Job Sheet'!J20="Stacker"),'Job Sheet'!Q20="Surfmist"),1,""))</f>
        <v/>
      </c>
      <c r="QY14" s="123" t="str">
        <f>IF('Job Sheet'!M20="Bass Latch","",IF(AND('Job Sheet'!J20="Sliding",'Job Sheet'!Q20="White"),1,""))</f>
        <v/>
      </c>
      <c r="QZ14" s="123" t="str">
        <f>IF('Job Sheet'!M20="Bass Latch","",IF(AND(OR('Job Sheet'!J20="Sliding",'Job Sheet'!J20="Stacker"),'Job Sheet'!Q20="Woodland Grey(Green Tone)"),1,""))</f>
        <v/>
      </c>
      <c r="RA14" s="123" t="str">
        <f>IF(OR('Job Sheet'!M20="Single Lock",'Job Sheet'!M20="Triple Lock"),1,"")</f>
        <v/>
      </c>
      <c r="RB14" s="123" t="str">
        <f>IF('Job Sheet'!R20="Extended",1,"")</f>
        <v/>
      </c>
      <c r="RC14" s="123" t="str">
        <f>IF(OR('Job Sheet'!J20="Sliding",'Job Sheet'!J20="Stacker"),4,"")</f>
        <v/>
      </c>
      <c r="RD14" s="123" t="str">
        <f>IF('Job Sheet'!J20="Hinged",3,"")</f>
        <v/>
      </c>
      <c r="RE14" s="123"/>
      <c r="RF14" s="123" t="str">
        <f>IF(AND('Job Sheet'!AW20="Small 190mm x 240mm",'Job Sheet'!AX20="Black"),1,"")</f>
        <v/>
      </c>
      <c r="RG14" s="123" t="str">
        <f>IF(AND('Job Sheet'!AW20="Medium 225mm x 305mm",'Job Sheet'!AX20="Black"),1,"")</f>
        <v/>
      </c>
      <c r="RH14" s="123" t="str">
        <f>IF(AND('Job Sheet'!AW20="Large 260mm x 400mm",'Job Sheet'!AX20="Black"),1,"")</f>
        <v/>
      </c>
      <c r="RI14" s="123" t="str">
        <f>IF(AND('Job Sheet'!AW20="Small 190mm x 240mm",'Job Sheet'!AX20="White"),1,"")</f>
        <v/>
      </c>
      <c r="RJ14" s="123" t="str">
        <f>IF(AND('Job Sheet'!AW20="Medium 225mm x 305mm",'Job Sheet'!AX20="White"),1,"")</f>
        <v/>
      </c>
      <c r="RK14" s="123" t="str">
        <f>IF(AND('Job Sheet'!AW20="Large 260mm x 400mm",'Job Sheet'!AX20="White"),1,"")</f>
        <v/>
      </c>
      <c r="RL14" s="123" t="str">
        <f>IF('Job Sheet'!AQ20="T Mullion with Cutouts and 2 Lock Bolts",2,"")</f>
        <v/>
      </c>
      <c r="RM14" s="123" t="str">
        <f>IF('Job Sheet'!U20="Water Closer",1,"")</f>
        <v/>
      </c>
      <c r="RN14" s="123" t="str">
        <f>IF('Job Sheet'!AO20="Yes, Included in other Door","",IF(OR('Mitred Cutting'!I20="Long Leg Left, Right and Top",'Mitred Cutting'!I20="Short Leg Left, Right and Top"),2,""))</f>
        <v/>
      </c>
      <c r="RO14" s="123" t="str">
        <f>IF(AND('Mitred Cutting'!C20="Invisi-Gard",(OR('Job Sheet'!AI20="Yes",'Job Sheet'!AI20="Yes - Centre"))),2,"")</f>
        <v/>
      </c>
      <c r="RP14" s="123"/>
      <c r="RQ14" s="123" t="str">
        <f>IF('Job Sheet'!M20="Ultra Secua Digital Triple Lock",1,"")</f>
        <v/>
      </c>
      <c r="RR14" s="123"/>
      <c r="RT14" s="123" t="str">
        <f>IF(AND('Job Sheet'!BL20="750 x 2000",(OR('Job Sheet'!BK20="Woven Stainless Steel",'Job Sheet'!BK20="Invisi-Gard Woven Stainless Steel"))),1,"")</f>
        <v/>
      </c>
      <c r="RU14" s="123" t="str">
        <f>IF(AND('Job Sheet'!BL20="750 x 2400",(OR('Job Sheet'!BK20="Woven Stainless Steel",'Job Sheet'!BK20="Invisi-Gard Woven Stainless Steel"))),1,"")</f>
        <v/>
      </c>
      <c r="RV14" s="123" t="str">
        <f>IF(AND('Job Sheet'!BL20="750 x 3000",(OR('Job Sheet'!BK20="Woven Stainless Steel",'Job Sheet'!BK20="Invisi-Gard Woven Stainless Steel"))),1,"")</f>
        <v/>
      </c>
      <c r="RW14" s="123" t="str">
        <f>IF(AND('Job Sheet'!BL20="900 x 2000",(OR('Job Sheet'!BK20="Woven Stainless Steel",'Job Sheet'!BK20="Invisi-Gard Woven Stainless Steel"))),1,"")</f>
        <v/>
      </c>
      <c r="RX14" s="123" t="str">
        <f>IF(AND('Job Sheet'!BL20="900 x 2400",(OR('Job Sheet'!BK20="Woven Stainless Steel",'Job Sheet'!BK20="Invisi-Gard Woven Stainless Steel"))),1,"")</f>
        <v/>
      </c>
      <c r="RY14" s="123" t="str">
        <f>IF(AND('Job Sheet'!BL20="900 x 3000",(OR('Job Sheet'!BK20="Woven Stainless Steel",'Job Sheet'!BK20="Invisi-Gard Woven Stainless Steel"))),1,"")</f>
        <v/>
      </c>
      <c r="RZ14" s="123" t="str">
        <f>IF(AND('Job Sheet'!BL20="1200 x 2000",(OR('Job Sheet'!BK20="Woven Stainless Steel",'Job Sheet'!BK20="Invisi-Gard Woven Stainless Steel"))),1,"")</f>
        <v/>
      </c>
      <c r="SA14" s="123" t="str">
        <f>IF(AND('Job Sheet'!BL20="1200 x 2400",(OR('Job Sheet'!BK20="Woven Stainless Steel",'Job Sheet'!BK20="Invisi-Gard Woven Stainless Steel"))),1,"")</f>
        <v/>
      </c>
      <c r="SB14" s="123" t="str">
        <f>IF(AND('Job Sheet'!BL20="1200 x 3000",(OR('Job Sheet'!BK20="Woven Stainless Steel",'Job Sheet'!BK20="Invisi-Gard Woven Stainless Steel"))),1,"")</f>
        <v/>
      </c>
      <c r="SC14" s="123" t="str">
        <f>IF(AND('Job Sheet'!BL20="1500 x 2000",(OR('Job Sheet'!BK20="Woven Stainless Steel",'Job Sheet'!BK20="Invisi-Gard Woven Stainless Steel"))),1,"")</f>
        <v/>
      </c>
      <c r="SD14" s="123" t="str">
        <f>IF(AND('Job Sheet'!BL20="1500 x 2400",(OR('Job Sheet'!BK20="Woven Stainless Steel",'Job Sheet'!BK20="Invisi-Gard Woven Stainless Steel"))),1,"")</f>
        <v/>
      </c>
      <c r="SE14" s="123" t="str">
        <f>IF(AND('Job Sheet'!BL20="1500 x 3000",(OR('Job Sheet'!BK20="Woven Stainless Steel",'Job Sheet'!BK20="Invisi-Gard Woven Stainless Steel"))),1,"")</f>
        <v/>
      </c>
      <c r="SF14" s="123" t="str">
        <f>IF(AND('Job Sheet'!BK20="Alu-Gard Perforated Aluminium",'Job Sheet'!BL20="750 x 2000"),1,"")</f>
        <v/>
      </c>
      <c r="SG14" s="123" t="str">
        <f>IF(AND('Job Sheet'!BK20="Alu-Gard Perforated Aluminium",'Job Sheet'!BL20="750 x 2400"),1,"")</f>
        <v/>
      </c>
      <c r="SH14" s="123" t="str">
        <f>IF(AND('Job Sheet'!BK20="Alu-Gard Perforated Aluminium",'Job Sheet'!BL20="750 x 3000"),1,"")</f>
        <v/>
      </c>
      <c r="SI14" s="123" t="str">
        <f>IF(AND('Job Sheet'!BK20="Alu-Gard Perforated Aluminium",'Job Sheet'!BL20="900 x 2000"),1,"")</f>
        <v/>
      </c>
      <c r="SJ14" s="123" t="str">
        <f>IF(AND('Job Sheet'!BK20="Alu-Gard Perforated Aluminium",'Job Sheet'!BL20="900 x 2400"),1,"")</f>
        <v/>
      </c>
      <c r="SK14" s="123" t="str">
        <f>IF(AND('Job Sheet'!BK20="Alu-Gard Perforated Aluminium",'Job Sheet'!BL20="900 x 3000"),1,"")</f>
        <v/>
      </c>
      <c r="SL14" s="123" t="str">
        <f>IF(AND('Job Sheet'!BK20="Alu-Gard Perforated Aluminium",'Job Sheet'!BL20="1200 x 2000"),1,"")</f>
        <v/>
      </c>
      <c r="SM14" s="123" t="str">
        <f>IF(AND('Job Sheet'!BK20="Alu-Gard Perforated Aluminium",'Job Sheet'!BL20="1200 x 2400"),1,"")</f>
        <v/>
      </c>
      <c r="SN14" s="123" t="str">
        <f>IF(AND('Job Sheet'!BK20="Alu-Gard Perforated Aluminium",'Job Sheet'!BL20="1200 x 3000"),1,"")</f>
        <v/>
      </c>
      <c r="SO14" s="123" t="str">
        <f>IF(AND('Job Sheet'!BK20="Alu-Gard Perforated Aluminium",'Job Sheet'!BL20="1500 x 2000"),1,"")</f>
        <v/>
      </c>
      <c r="SP14" s="123" t="str">
        <f>IF(AND('Job Sheet'!BK20="Alu-Gard Perforated Aluminium",'Job Sheet'!BL20="1500 x 2400"),1,"")</f>
        <v/>
      </c>
      <c r="SQ14" s="123" t="str">
        <f>IF(AND('Job Sheet'!BK20="Alu-Gard Perforated Aluminium",'Job Sheet'!BL20="1500 x 3000"),1,"")</f>
        <v/>
      </c>
      <c r="SR14" s="123" t="str">
        <f>IF(AND('Job Sheet'!BK20="Privacy-Gard",'Job Sheet'!BL20="750 x 2000"),1,"")</f>
        <v/>
      </c>
      <c r="SS14" s="123" t="str">
        <f>IF(AND('Job Sheet'!BK20="Privacy-Gard",'Job Sheet'!BL20="750 x 2400"),1,"")</f>
        <v/>
      </c>
      <c r="ST14" s="123" t="str">
        <f>IF(AND('Job Sheet'!BK20="Privacy-Gard",'Job Sheet'!BL20="900 x 2000"),1,"")</f>
        <v/>
      </c>
      <c r="SU14" s="123" t="str">
        <f>IF(AND('Job Sheet'!BK20="Privacy-Gard",'Job Sheet'!BL20="900 x 2400"),1,"")</f>
        <v/>
      </c>
      <c r="SV14" s="123" t="str">
        <f>IF(AND('Job Sheet'!BK20="Privacy-Gard",'Job Sheet'!BL20="1200 x 2000"),1,"")</f>
        <v/>
      </c>
      <c r="SW14" s="123" t="str">
        <f>IF(AND('Job Sheet'!BK20="Privacy-Gard",'Job Sheet'!BL20="1200 x 2400"),1,"")</f>
        <v/>
      </c>
      <c r="SX14" s="123" t="str">
        <f>IF(AND('Job Sheet'!BK20="Standard Diamond",'Job Sheet'!BL20="750 x 2050",'Job Sheet'!AB20="APO Grey"),1,"")</f>
        <v/>
      </c>
      <c r="SY14" s="123" t="str">
        <f>IF(AND('Job Sheet'!BK20="Standard Diamond",'Job Sheet'!BL20="750 x 2050",'Job Sheet'!AB20="White Birch"),1,"")</f>
        <v/>
      </c>
      <c r="SZ14" s="123" t="str">
        <f>IF(AND('Job Sheet'!BK20="Standard Diamond",'Job Sheet'!BL20="750 x 2050",'Job Sheet'!AB20="Black"),1,"")</f>
        <v/>
      </c>
      <c r="TA14" s="123" t="str">
        <f>IF(AND('Job Sheet'!BK20="Standard Diamond",'Job Sheet'!BL20="750 x 2050",'Job Sheet'!AB20="Brown"),1,"")</f>
        <v/>
      </c>
      <c r="TB14" s="123" t="str">
        <f>IF(AND('Job Sheet'!BK20="Standard Diamond",'Job Sheet'!BL20="750 x 2050",'Job Sheet'!AB20="Deep Ocean"),1,"")</f>
        <v/>
      </c>
      <c r="TC14" s="123" t="str">
        <f>IF(AND('Job Sheet'!BK20="Standard Diamond",'Job Sheet'!BL20="750 x 2050",'Job Sheet'!AB20="Jasper"),1,"")</f>
        <v/>
      </c>
      <c r="TD14" s="123" t="str">
        <f>IF(AND('Job Sheet'!BK20="Standard Diamond",'Job Sheet'!BL20="750 x 2050",'Job Sheet'!AB20="Paperbark"),1,"")</f>
        <v/>
      </c>
      <c r="TE14" s="123" t="str">
        <f>IF(AND('Job Sheet'!BK20="Standard Diamond",'Job Sheet'!BL20="750 x 2050",'Job Sheet'!AB20="Mist Green"),1,"")</f>
        <v/>
      </c>
      <c r="TF14" s="123" t="str">
        <f>IF(AND('Job Sheet'!BK20="Standard Diamond",'Job Sheet'!BL20="750 x 2050",'Job Sheet'!AB20="Primrose"),1,"")</f>
        <v/>
      </c>
      <c r="TG14" s="123" t="str">
        <f>IF(AND('Job Sheet'!BK20="Standard Diamond",'Job Sheet'!BL20="750 x 2050",'Job Sheet'!AB20="Ultra Silver"),1,"")</f>
        <v/>
      </c>
      <c r="TH14" s="123" t="str">
        <f>IF(AND('Job Sheet'!BK20="Standard Diamond",'Job Sheet'!BL20="750 x 2050",'Job Sheet'!AB20="Woodland Grey(Green Tone)"),1,"")</f>
        <v/>
      </c>
      <c r="TI14" s="123" t="str">
        <f>IF(AND('Job Sheet'!BK20="Standard Diamond",'Job Sheet'!BL20="750 x 2050",'Job Sheet'!AB20="Pearl White"),1,"")</f>
        <v/>
      </c>
      <c r="TJ14" s="123" t="str">
        <f>IF(AND('Job Sheet'!BK20="Standard Diamond",'Job Sheet'!BL20="750 x 2050",'Job Sheet'!AB20="Monument"),1,"")</f>
        <v/>
      </c>
      <c r="TK14" s="123" t="str">
        <f>IF(AND('Job Sheet'!BK20="Standard Diamond",'Job Sheet'!BL20="750 x 2050",'Job Sheet'!AB20="Surfmist"),1,"")</f>
        <v/>
      </c>
      <c r="TL14" s="123" t="str">
        <f>IF(AND('Job Sheet'!BK20="Standard Diamond",'Job Sheet'!BL20="750 x 2050",'Job Sheet'!AB20="Dune"),1,"")</f>
        <v/>
      </c>
      <c r="TM14" s="123" t="str">
        <f>IF(AND('Job Sheet'!BK20="Standard Diamond",'Job Sheet'!BL20="750 x 2050",'Job Sheet'!AB20="Custom Powdercoat"),1,"")</f>
        <v/>
      </c>
      <c r="TN14" s="123" t="str">
        <f>IF(AND('Job Sheet'!BK20="Standard Diamond",'Job Sheet'!BL20="835 x 2050",'Job Sheet'!AB20="APO Grey"),1,"")</f>
        <v/>
      </c>
      <c r="TO14" s="123" t="str">
        <f>IF(AND('Job Sheet'!BK20="Standard Diamond",'Job Sheet'!BL20="835 x 2050",'Job Sheet'!AB20="White Birch"),1,"")</f>
        <v/>
      </c>
      <c r="TP14" s="123" t="str">
        <f>IF(AND('Job Sheet'!BK20="Standard Diamond",'Job Sheet'!BL20="835 x 2050",'Job Sheet'!AB20="Black"),1,"")</f>
        <v/>
      </c>
      <c r="TQ14" s="123" t="str">
        <f>IF(AND('Job Sheet'!BK20="Standard Diamond",'Job Sheet'!BL20="835 x 2050",'Job Sheet'!AB20="Brown"),1,"")</f>
        <v/>
      </c>
      <c r="TR14" s="123" t="str">
        <f>IF(AND('Job Sheet'!BK20="Standard Diamond",'Job Sheet'!BL20="835 x 2050",'Job Sheet'!AB20="Deep Ocean"),1,"")</f>
        <v/>
      </c>
      <c r="TS14" s="123" t="str">
        <f>IF(AND('Job Sheet'!BK20="Standard Diamond",'Job Sheet'!BL20="835 x 2050",'Job Sheet'!AB20="Jasper"),1,"")</f>
        <v/>
      </c>
      <c r="TT14" s="123" t="str">
        <f>IF(AND('Job Sheet'!BK20="Standard Diamond",'Job Sheet'!BL20="835 x 2050",'Job Sheet'!AB20="Paperbark"),1,"")</f>
        <v/>
      </c>
      <c r="TU14" s="123" t="str">
        <f>IF(AND('Job Sheet'!BK20="Standard Diamond",'Job Sheet'!BL20="835 x 2050",'Job Sheet'!AB20="Mist Green"),1,"")</f>
        <v/>
      </c>
      <c r="TV14" s="123" t="str">
        <f>IF(AND('Job Sheet'!BK20="Standard Diamond",'Job Sheet'!BL20="835 x 2050",'Job Sheet'!AB20="Primrose"),1,"")</f>
        <v/>
      </c>
      <c r="TW14" s="123" t="str">
        <f>IF(AND('Job Sheet'!BK20="Standard Diamond",'Job Sheet'!BL20="835 x 2050",'Job Sheet'!AB20="Ultra Silver"),1,"")</f>
        <v/>
      </c>
      <c r="TX14" s="123" t="str">
        <f>IF(AND('Job Sheet'!BK20="Standard Diamond",'Job Sheet'!BL20="835 x 2050",'Job Sheet'!AB20="Woodland Grey(Green Tone)"),1,"")</f>
        <v/>
      </c>
      <c r="TY14" s="123" t="str">
        <f>IF(AND('Job Sheet'!BK20="Standard Diamond",'Job Sheet'!BL20="835 x 2050",'Job Sheet'!AB20="Pearl White"),1,"")</f>
        <v/>
      </c>
      <c r="TZ14" s="123" t="str">
        <f>IF(AND('Job Sheet'!BK20="Standard Diamond",'Job Sheet'!BL20="835 x 2050",'Job Sheet'!AB20="Monument"),1,"")</f>
        <v/>
      </c>
      <c r="UA14" s="123" t="str">
        <f>IF(AND('Job Sheet'!BK20="Standard Diamond",'Job Sheet'!BL20="835 x 2050",'Job Sheet'!AB20="Surfmist"),1,"")</f>
        <v/>
      </c>
      <c r="UB14" s="123" t="str">
        <f>IF(AND('Job Sheet'!BK20="Standard Diamond",'Job Sheet'!BL20="835 x 2050",'Job Sheet'!AB20="Dune"),1,"")</f>
        <v/>
      </c>
      <c r="UC14" s="123" t="str">
        <f>IF(AND('Job Sheet'!BK20="Standard Diamond",'Job Sheet'!BL20="835 x 2050",'Job Sheet'!AB20="Custom Powdercoat"),1,"")</f>
        <v/>
      </c>
      <c r="UD14" s="123" t="str">
        <f>IF(AND('Job Sheet'!BK20="Standard Diamond",'Job Sheet'!BL20="920 x 2050",'Job Sheet'!AB20="APO Grey"),1,"")</f>
        <v/>
      </c>
      <c r="UE14" s="123" t="str">
        <f>IF(AND('Job Sheet'!BK20="Standard Diamond",'Job Sheet'!BL20="920 x 2050",'Job Sheet'!AB20="White Birch"),1,"")</f>
        <v/>
      </c>
      <c r="UF14" s="123" t="str">
        <f>IF(AND('Job Sheet'!BK20="Standard Diamond",'Job Sheet'!BL20="920 x 2050",'Job Sheet'!AB20="Black"),1,"")</f>
        <v/>
      </c>
      <c r="UG14" s="123" t="str">
        <f>IF(AND('Job Sheet'!BK20="Standard Diamond",'Job Sheet'!BL20="920 x 2050",'Job Sheet'!AB20="Brown"),1,"")</f>
        <v/>
      </c>
      <c r="UH14" s="123" t="str">
        <f>IF(AND('Job Sheet'!BK20="Standard Diamond",'Job Sheet'!BL20="920 x 2050",'Job Sheet'!AB20="Deep Ocean"),1,"")</f>
        <v/>
      </c>
      <c r="UI14" s="123" t="str">
        <f>IF(AND('Job Sheet'!BK20="Standard Diamond",'Job Sheet'!BL20="920 x 2050",'Job Sheet'!AB20="Jasper"),1,"")</f>
        <v/>
      </c>
      <c r="UJ14" s="123" t="str">
        <f>IF(AND('Job Sheet'!BK20="Standard Diamond",'Job Sheet'!BL20="920 x 2050",'Job Sheet'!AB20="Paperbark"),1,"")</f>
        <v/>
      </c>
      <c r="UK14" s="123" t="str">
        <f>IF(AND('Job Sheet'!BK20="Standard Diamond",'Job Sheet'!BL20="920 x 2050",'Job Sheet'!AB20="Mist Green"),1,"")</f>
        <v/>
      </c>
      <c r="UL14" s="123" t="str">
        <f>IF(AND('Job Sheet'!BK20="Standard Diamond",'Job Sheet'!BL20="920 x 2050",'Job Sheet'!AB20="Primrose"),1,"")</f>
        <v/>
      </c>
      <c r="UM14" s="123" t="str">
        <f>IF(AND('Job Sheet'!BK20="Standard Diamond",'Job Sheet'!BL20="920 x 2050",'Job Sheet'!AB20="Ultra Silver"),1,"")</f>
        <v/>
      </c>
      <c r="UN14" s="123" t="str">
        <f>IF(AND('Job Sheet'!BK20="Standard Diamond",'Job Sheet'!BL20="920 x 2050",'Job Sheet'!AB20="Woodland Grey(Green Tone)"),1,"")</f>
        <v/>
      </c>
      <c r="UO14" s="123" t="str">
        <f>IF(AND('Job Sheet'!BK20="Standard Diamond",'Job Sheet'!BL20="920 x 2050",'Job Sheet'!AB20="Pearl White"),1,"")</f>
        <v/>
      </c>
      <c r="UP14" s="123" t="str">
        <f>IF(AND('Job Sheet'!BK20="Standard Diamond",'Job Sheet'!BL20="920 x 2050",'Job Sheet'!AB20="Monument"),1,"")</f>
        <v/>
      </c>
      <c r="UQ14" s="123" t="str">
        <f>IF(AND('Job Sheet'!BK20="Standard Diamond",'Job Sheet'!BL20="920 x 2050",'Job Sheet'!AB20="Surfmist"),1,"")</f>
        <v/>
      </c>
      <c r="UR14" s="123" t="str">
        <f>IF(AND('Job Sheet'!BK20="Standard Diamond",'Job Sheet'!BL20="920 x 2050",'Job Sheet'!AB20="Dune"),1,"")</f>
        <v/>
      </c>
      <c r="US14" s="123" t="str">
        <f>IF(AND('Job Sheet'!BK20="Standard Diamond",'Job Sheet'!BL20="920 x 2050",'Job Sheet'!AB20="Custom Powdercoat"),1,"")</f>
        <v/>
      </c>
      <c r="UT14" s="123" t="str">
        <f>IF(AND('Job Sheet'!BK20="Standard Diamond",'Job Sheet'!BL20="1200 x 2050",'Job Sheet'!AB20="APO Grey"),1,"")</f>
        <v/>
      </c>
      <c r="UU14" s="123" t="str">
        <f>IF(AND('Job Sheet'!BK20="Standard Diamond",'Job Sheet'!BL20="1200 x 2050",'Job Sheet'!AB20="White Birch"),1,"")</f>
        <v/>
      </c>
      <c r="UV14" s="123" t="str">
        <f>IF(AND('Job Sheet'!BK20="Standard Diamond",'Job Sheet'!BL20="1200 x 2050",'Job Sheet'!AB20="Black"),1,"")</f>
        <v/>
      </c>
      <c r="UW14" s="123" t="str">
        <f>IF(AND('Job Sheet'!BK20="Standard Diamond",'Job Sheet'!BL20="1200 x 2050",'Job Sheet'!AB20="Brown"),1,"")</f>
        <v/>
      </c>
      <c r="UX14" s="123" t="str">
        <f>IF(AND('Job Sheet'!BK20="Standard Diamond",'Job Sheet'!BL20="1200 x 2050",'Job Sheet'!AB20="Deep Ocean"),1,"")</f>
        <v/>
      </c>
      <c r="UY14" s="123" t="str">
        <f>IF(AND('Job Sheet'!BK20="Standard Diamond",'Job Sheet'!BL20="1200 x 2050",'Job Sheet'!AB20="Jasper"),1,"")</f>
        <v/>
      </c>
      <c r="UZ14" s="123" t="str">
        <f>IF(AND('Job Sheet'!BK20="Standard Diamond",'Job Sheet'!BL20="1200 x 2050",'Job Sheet'!AB20="Paperbark"),1,"")</f>
        <v/>
      </c>
      <c r="VA14" s="123" t="str">
        <f>IF(AND('Job Sheet'!BK20="Standard Diamond",'Job Sheet'!BL20="1200 x 2050",'Job Sheet'!AB20="Mist Green"),1,"")</f>
        <v/>
      </c>
      <c r="VB14" s="123" t="str">
        <f>IF(AND('Job Sheet'!BK20="Standard Diamond",'Job Sheet'!BL20="1200 x 2050",'Job Sheet'!AB20="Primrose"),1,"")</f>
        <v/>
      </c>
      <c r="VC14" s="123" t="str">
        <f>IF(AND('Job Sheet'!BK20="Standard Diamond",'Job Sheet'!BL20="1200 x 2050",'Job Sheet'!AB20="Ultra Silver"),1,"")</f>
        <v/>
      </c>
      <c r="VD14" s="123" t="str">
        <f>IF(AND('Job Sheet'!BK20="Standard Diamond",'Job Sheet'!BL20="1200 x 2050",'Job Sheet'!AB20="Woodland Grey(Green Tone)"),1,"")</f>
        <v/>
      </c>
      <c r="VE14" s="123" t="str">
        <f>IF(AND('Job Sheet'!BK20="Standard Diamond",'Job Sheet'!BL20="1200 x 2050",'Job Sheet'!AB20="Pearl White"),1,"")</f>
        <v/>
      </c>
      <c r="VF14" s="123" t="str">
        <f>IF(AND('Job Sheet'!BK20="Standard Diamond",'Job Sheet'!BL20="1200 x 2050",'Job Sheet'!AB20="Monument"),1,"")</f>
        <v/>
      </c>
      <c r="VG14" s="123" t="str">
        <f>IF(AND('Job Sheet'!BK20="Standard Diamond",'Job Sheet'!BL20="1200 x 2050",'Job Sheet'!AB20="Surfmist"),1,"")</f>
        <v/>
      </c>
      <c r="VH14" s="123" t="str">
        <f>IF(AND('Job Sheet'!BK20="Standard Diamond",'Job Sheet'!BL20="1200 x 2050",'Job Sheet'!AB20="Dune"),1,"")</f>
        <v/>
      </c>
      <c r="VI14" s="123" t="str">
        <f>IF(AND('Job Sheet'!BK20="Standard Diamond",'Job Sheet'!BL20="1200 x 2050",'Job Sheet'!AB20="Custom Powdercoat"),1,"")</f>
        <v/>
      </c>
      <c r="VJ14" s="123" t="str">
        <f>IF(AND('Job Sheet'!BK20="Standard Diamond",'Job Sheet'!BL20="920 x 2450",'Job Sheet'!AB20="APO Grey"),1,"")</f>
        <v/>
      </c>
      <c r="VK14" s="123" t="str">
        <f>IF(AND('Job Sheet'!BK20="Standard Diamond",'Job Sheet'!BL20="920 x 2450",'Job Sheet'!AB20="White Birch"),1,"")</f>
        <v/>
      </c>
      <c r="VL14" s="123" t="str">
        <f>IF(AND('Job Sheet'!BK20="Standard Diamond",'Job Sheet'!BL20="920 x 2450",'Job Sheet'!AB20="Black"),1,"")</f>
        <v/>
      </c>
      <c r="VM14" s="123" t="str">
        <f>IF(AND('Job Sheet'!BK20="Standard Diamond",'Job Sheet'!BL20="920 x 2450",'Job Sheet'!AB20="Brown"),1,"")</f>
        <v/>
      </c>
      <c r="VN14" s="123" t="str">
        <f>IF(AND('Job Sheet'!BK20="Standard Diamond",'Job Sheet'!BL20="920 x 2450",'Job Sheet'!AB20="Deep Ocean"),1,"")</f>
        <v/>
      </c>
      <c r="VO14" s="123" t="str">
        <f>IF(AND('Job Sheet'!BK20="Standard Diamond",'Job Sheet'!BL20="920 x 2450",'Job Sheet'!AB20="Jasper"),1,"")</f>
        <v/>
      </c>
      <c r="VP14" s="123" t="str">
        <f>IF(AND('Job Sheet'!BK20="Standard Diamond",'Job Sheet'!BL20="920 x 2450",'Job Sheet'!AB20="Paperbark"),1,"")</f>
        <v/>
      </c>
      <c r="VQ14" s="123" t="str">
        <f>IF(AND('Job Sheet'!BK20="Standard Diamond",'Job Sheet'!BL20="920 x 2450",'Job Sheet'!AB20="Mist Green"),1,"")</f>
        <v/>
      </c>
      <c r="VR14" s="123" t="str">
        <f>IF(AND('Job Sheet'!BK20="Standard Diamond",'Job Sheet'!BL20="920 x 2450",'Job Sheet'!AB20="Primrose"),1,"")</f>
        <v/>
      </c>
      <c r="VS14" s="123" t="str">
        <f>IF(AND('Job Sheet'!BK20="Standard Diamond",'Job Sheet'!BL20="920 x 2450",'Job Sheet'!AB20="Ultra Silver"),1,"")</f>
        <v/>
      </c>
      <c r="VT14" s="123" t="str">
        <f>IF(AND('Job Sheet'!BK20="Standard Diamond",'Job Sheet'!BL20="920 x 2450",'Job Sheet'!AB20="Woodland Grey(Green Tone)"),1,"")</f>
        <v/>
      </c>
      <c r="VU14" s="123" t="str">
        <f>IF(AND('Job Sheet'!BK20="Standard Diamond",'Job Sheet'!BL20="920 x 2450",'Job Sheet'!AB20="Pearl White"),1,"")</f>
        <v/>
      </c>
      <c r="VV14" s="123" t="str">
        <f>IF(AND('Job Sheet'!BK20="Standard Diamond",'Job Sheet'!BL20="920 x 2450",'Job Sheet'!AB20="Monument"),1,"")</f>
        <v/>
      </c>
      <c r="VW14" s="123" t="str">
        <f>IF(AND('Job Sheet'!BK20="Standard Diamond",'Job Sheet'!BL20="920 x 2450",'Job Sheet'!AB20="Surfmist"),1,"")</f>
        <v/>
      </c>
      <c r="VX14" s="123" t="str">
        <f>IF(AND('Job Sheet'!BK20="Standard Diamond",'Job Sheet'!BL20="920 x 2450",'Job Sheet'!AB20="Dune"),1,"")</f>
        <v/>
      </c>
      <c r="VY14" s="123" t="str">
        <f>IF(AND('Job Sheet'!BK20="Standard Diamond",'Job Sheet'!BL20="920 x 2450",'Job Sheet'!AB20="Custom Powdercoat"),1,"")</f>
        <v/>
      </c>
      <c r="VZ14" s="123" t="str">
        <f>IF(AND('Job Sheet'!BK20="Standard Diamond",'Job Sheet'!BL20="1200 x 2450",'Job Sheet'!AB20="APO Grey"),1,"")</f>
        <v/>
      </c>
      <c r="WA14" s="123" t="str">
        <f>IF(AND('Job Sheet'!BK20="Standard Diamond",'Job Sheet'!BL20="1200 x 2450",'Job Sheet'!AB20="White Birch"),1,"")</f>
        <v/>
      </c>
      <c r="WB14" s="123" t="str">
        <f>IF(AND('Job Sheet'!BK20="Standard Diamond",'Job Sheet'!BL20="1200 x 2450",'Job Sheet'!AB20="Black"),1,"")</f>
        <v/>
      </c>
      <c r="WC14" s="123" t="str">
        <f>IF(AND('Job Sheet'!BK20="Standard Diamond",'Job Sheet'!BL20="1200 x 2450",'Job Sheet'!AB20="Brown"),1,"")</f>
        <v/>
      </c>
      <c r="WD14" s="123" t="str">
        <f>IF(AND('Job Sheet'!BK20="Standard Diamond",'Job Sheet'!BL20="1200 x 2450",'Job Sheet'!AB20="Deep Ocean"),1,"")</f>
        <v/>
      </c>
      <c r="WE14" s="123" t="str">
        <f>IF(AND('Job Sheet'!BK20="Standard Diamond",'Job Sheet'!BL20="1200 x 2450",'Job Sheet'!AB20="Jasper"),1,"")</f>
        <v/>
      </c>
      <c r="WF14" s="123" t="str">
        <f>IF(AND('Job Sheet'!BK20="Standard Diamond",'Job Sheet'!BL20="1200 x 2450",'Job Sheet'!AB20="Paperbark"),1,"")</f>
        <v/>
      </c>
      <c r="WG14" s="123" t="str">
        <f>IF(AND('Job Sheet'!BK20="Standard Diamond",'Job Sheet'!BL20="1200 x 2450",'Job Sheet'!AB20="Mist Green"),1,"")</f>
        <v/>
      </c>
      <c r="WH14" s="123" t="str">
        <f>IF(AND('Job Sheet'!BK20="Standard Diamond",'Job Sheet'!BL20="1200 x 2450",'Job Sheet'!AB20="Primrose"),1,"")</f>
        <v/>
      </c>
      <c r="WI14" s="123" t="str">
        <f>IF(AND('Job Sheet'!BK20="Standard Diamond",'Job Sheet'!BL20="1200 x 2450",'Job Sheet'!AB20="Ultra Silver"),1,"")</f>
        <v/>
      </c>
      <c r="WJ14" s="123" t="str">
        <f>IF(AND('Job Sheet'!BK20="Standard Diamond",'Job Sheet'!BL20="1200 x 2450",'Job Sheet'!AB20="Woodland Grey(Green Tone)"),1,"")</f>
        <v/>
      </c>
      <c r="WK14" s="123" t="str">
        <f>IF(AND('Job Sheet'!BK20="Standard Diamond",'Job Sheet'!BL20="1200 x 2450",'Job Sheet'!AB20="Pearl White"),1,"")</f>
        <v/>
      </c>
      <c r="WL14" s="123" t="str">
        <f>IF(AND('Job Sheet'!BK20="Standard Diamond",'Job Sheet'!BL20="1200 x 2450",'Job Sheet'!AB20="Monument"),1,"")</f>
        <v/>
      </c>
      <c r="WM14" s="123" t="str">
        <f>IF(AND('Job Sheet'!BK20="Standard Diamond",'Job Sheet'!BL20="1200 x 2450",'Job Sheet'!AB20="Surfmist"),1,"")</f>
        <v/>
      </c>
      <c r="WN14" s="123" t="str">
        <f>IF(AND('Job Sheet'!BK20="Standard Diamond",'Job Sheet'!BL20="1200 x 2450",'Mitred Cutting'!D20="Dune"),1,"")</f>
        <v/>
      </c>
      <c r="WO14" s="123" t="str">
        <f>IF(AND('Job Sheet'!BK20="Standard Diamond",'Job Sheet'!BL20="1200 x 2450",'Job Sheet'!AB20="Custom Powdercoat"),1,"")</f>
        <v/>
      </c>
      <c r="WP14" s="123" t="str">
        <f>IF(AND('Job Sheet'!BK20="Decorative Diamond",'Job Sheet'!BL20="770 x 2050",'Job Sheet'!AB20="APO Grey"),1,"")</f>
        <v/>
      </c>
      <c r="WQ14" s="123" t="str">
        <f>IF(AND('Job Sheet'!BK20="Decorative Diamond",'Job Sheet'!BL20="770 x 2050",'Job Sheet'!AB20="White Birch"),1,"")</f>
        <v/>
      </c>
      <c r="WR14" s="123" t="str">
        <f>IF(AND('Job Sheet'!BK20="Decorative Diamond",'Job Sheet'!BL20="770 x 2050",'Job Sheet'!AB20="Black"),1,"")</f>
        <v/>
      </c>
      <c r="WS14" s="123" t="str">
        <f>IF(AND('Job Sheet'!BK20="Decorative Diamond",'Job Sheet'!BL20="770 x 2050",'Job Sheet'!AB20="Brown"),1,"")</f>
        <v/>
      </c>
      <c r="WT14" s="123" t="str">
        <f>IF(AND('Job Sheet'!BK20="Decorative Diamond",'Job Sheet'!BL20="770 x 2050",'Job Sheet'!AB20="Deep Ocean"),1,"")</f>
        <v/>
      </c>
      <c r="WU14" s="123" t="str">
        <f>IF(AND('Job Sheet'!BK20="Decorative Diamond",'Job Sheet'!BL20="770 x 2050",'Job Sheet'!AB20="Jasper"),1,"")</f>
        <v/>
      </c>
      <c r="WV14" s="123" t="str">
        <f>IF(AND('Job Sheet'!BK20="Decorative Diamond",'Job Sheet'!BL20="770 x 2050",'Job Sheet'!AB20="Paperbark"),1,"")</f>
        <v/>
      </c>
      <c r="WW14" s="123" t="str">
        <f>IF(AND('Job Sheet'!BK20="Decorative Diamond",'Job Sheet'!BL20="770 x 2050",'Job Sheet'!AB20="Mist Green"),1,"")</f>
        <v/>
      </c>
      <c r="WX14" s="123" t="str">
        <f>IF(AND('Job Sheet'!BK20="Decorative Diamond",'Job Sheet'!BL20="770 x 2050",'Job Sheet'!AB20="Primrose"),1,"")</f>
        <v/>
      </c>
      <c r="WY14" s="123" t="str">
        <f>IF(AND('Job Sheet'!BK20="Decorative Diamond",'Job Sheet'!BL20="770 x 2050",'Job Sheet'!AB20="Ultra Silver"),1,"")</f>
        <v/>
      </c>
      <c r="WZ14" s="123" t="str">
        <f>IF(AND('Job Sheet'!BK20="Decorative Diamond",'Job Sheet'!BL20="770 x 2050",'Job Sheet'!AB20="Woodland Grey(Green Tone)"),1,"")</f>
        <v/>
      </c>
      <c r="XA14" s="123" t="str">
        <f>IF(AND('Job Sheet'!BK20="Decorative Diamond",'Job Sheet'!BL20="770 x 2050",'Job Sheet'!AB20="Pearl White"),1,"")</f>
        <v/>
      </c>
      <c r="XB14" s="123" t="str">
        <f>IF(AND('Job Sheet'!BK20="Decorative Diamond",'Job Sheet'!BL20="770 x 2050",'Job Sheet'!AB20="Monument"),1,"")</f>
        <v/>
      </c>
      <c r="XC14" s="123" t="str">
        <f>IF(AND('Job Sheet'!BK20="Decorative Diamond",'Job Sheet'!BL20="770 x 2050",'Job Sheet'!AB20="Surfmist"),1,"")</f>
        <v/>
      </c>
      <c r="XD14" s="123" t="str">
        <f>IF(AND('Job Sheet'!BK20="Decorative Diamond",'Job Sheet'!BL20="770 x 2050",'Job Sheet'!AB20="Dune"),1,"")</f>
        <v/>
      </c>
      <c r="XE14" s="123" t="str">
        <f>IF(AND('Job Sheet'!BK20="Decorative Diamond",'Job Sheet'!BL20="770 x 2050",'Job Sheet'!AB20="Custom Powdercoat"),1,"")</f>
        <v/>
      </c>
      <c r="XF14" s="123" t="str">
        <f>IF(AND('Job Sheet'!BK20="Decorative Diamond",'Job Sheet'!BL20="900 x 2050",'Job Sheet'!AB20="APO Grey"),1,"")</f>
        <v/>
      </c>
      <c r="XG14" s="123" t="str">
        <f>IF(AND('Job Sheet'!BK20="Decorative Diamond",'Job Sheet'!BL20="900 x 2050",'Job Sheet'!AB20="White Birch"),1,"")</f>
        <v/>
      </c>
      <c r="XH14" s="123" t="str">
        <f>IF(AND('Job Sheet'!BK20="Decorative Diamond",'Job Sheet'!BL20="900 x 2050",'Job Sheet'!AB20="Black"),1,"")</f>
        <v/>
      </c>
      <c r="XI14" s="123" t="str">
        <f>IF(AND('Job Sheet'!BK20="Decorative Diamond",'Job Sheet'!BL20="900 x 2050",'Job Sheet'!AB20="Brown"),1,"")</f>
        <v/>
      </c>
      <c r="XJ14" s="123" t="str">
        <f>IF(AND('Job Sheet'!BK20="Decorative Diamond",'Job Sheet'!BL20="900 x 2050",'Job Sheet'!AB20="Deep Ocean"),1,"")</f>
        <v/>
      </c>
      <c r="XK14" s="123" t="str">
        <f>IF(AND('Job Sheet'!BK20="Decorative Diamond",'Job Sheet'!BL20="900 x 2050",'Job Sheet'!AB20="Jasper"),1,"")</f>
        <v/>
      </c>
      <c r="XL14" s="123" t="str">
        <f>IF(AND('Job Sheet'!BK20="Decorative Diamond",'Job Sheet'!BL20="900 x 2050",'Job Sheet'!AB20="Paperbark"),1,"")</f>
        <v/>
      </c>
      <c r="XM14" s="123" t="str">
        <f>IF(AND('Job Sheet'!BK20="Decorative Diamond",'Job Sheet'!BL20="900 x 2050",'Job Sheet'!AB20="Mist Green"),1,"")</f>
        <v/>
      </c>
      <c r="XN14" s="123" t="str">
        <f>IF(AND('Job Sheet'!BK20="Decorative Diamond",'Job Sheet'!BL20="900 x 2050",'Job Sheet'!AB20="Primrose"),1,"")</f>
        <v/>
      </c>
      <c r="XO14" s="123" t="str">
        <f>IF(AND('Job Sheet'!BK20="Decorative Diamond",'Job Sheet'!BL20="900 x 2050",'Job Sheet'!AB20="Ultra Silver"),1,"")</f>
        <v/>
      </c>
      <c r="XP14" s="123" t="str">
        <f>IF(AND('Job Sheet'!BK20="Decorative Diamond",'Job Sheet'!BL20="900 x 2050",'Job Sheet'!AB20="Woodland Grey(Green Tone)"),1,"")</f>
        <v/>
      </c>
      <c r="XQ14" s="123" t="str">
        <f>IF(AND('Job Sheet'!BK20="Decorative Diamond",'Job Sheet'!BL20="900 x 2050",'Job Sheet'!AB20="Pearl White"),1,"")</f>
        <v/>
      </c>
      <c r="XR14" s="123" t="str">
        <f>IF(AND('Job Sheet'!BK20="Decorative Diamond",'Job Sheet'!BL20="900 x 2050",'Job Sheet'!AB20="Monument"),1,"")</f>
        <v/>
      </c>
      <c r="XS14" s="123" t="str">
        <f>IF(AND('Job Sheet'!BK20="Decorative Diamond",'Job Sheet'!BL20="900 x 2050",'Job Sheet'!AB20="Surfmist"),1,"")</f>
        <v/>
      </c>
      <c r="XT14" s="123" t="str">
        <f>IF(AND('Job Sheet'!BK20="Decorative Diamond",'Job Sheet'!BL20="900 x 2050",'Job Sheet'!AB20="Dune"),1,"")</f>
        <v/>
      </c>
      <c r="XU14" s="123" t="str">
        <f>IF(AND('Job Sheet'!BK20="Decorative Diamond",'Job Sheet'!BL20="900 x 2050",'Job Sheet'!AB20="Custom Powdercoat"),1,"")</f>
        <v/>
      </c>
      <c r="XV14" s="123" t="str">
        <f>IF(AND('Job Sheet'!BK20="Decorative Diamond",'Job Sheet'!BL20="1150 x 2050",'Job Sheet'!AB20="APO Grey"),1,"")</f>
        <v/>
      </c>
      <c r="XW14" s="123" t="str">
        <f>IF(AND('Job Sheet'!BK20="Decorative Diamond",'Job Sheet'!BL20="1150 x 2050",'Job Sheet'!AB20="White Birch"),1,"")</f>
        <v/>
      </c>
      <c r="XX14" s="123" t="str">
        <f>IF(AND('Job Sheet'!BK20="Decorative Diamond",'Job Sheet'!BL20="1150 x 2050",'Job Sheet'!AB20="Black"),1,"")</f>
        <v/>
      </c>
      <c r="XY14" s="123" t="str">
        <f>IF(AND('Job Sheet'!BK20="Decorative Diamond",'Job Sheet'!BL20="1150 x 2050",'Job Sheet'!AB20="Brown"),1,"")</f>
        <v/>
      </c>
      <c r="XZ14" s="123" t="str">
        <f>IF(AND('Job Sheet'!BK20="Decorative Diamond",'Job Sheet'!BL20="1150 x 2050",'Job Sheet'!AB20="Deep Ocean"),1,"")</f>
        <v/>
      </c>
      <c r="YA14" s="123" t="str">
        <f>IF(AND('Job Sheet'!BK20="Decorative Diamond",'Job Sheet'!BL20="1150 x 2050",'Job Sheet'!AB20="Jasper"),1,"")</f>
        <v/>
      </c>
      <c r="YB14" s="123" t="str">
        <f>IF(AND('Job Sheet'!BK20="Decorative Diamond",'Job Sheet'!BL20="1150 x 2050",'Job Sheet'!AB20="Paperbark"),1,"")</f>
        <v/>
      </c>
      <c r="YC14" s="123" t="str">
        <f>IF(AND('Job Sheet'!BK20="Decorative Diamond",'Job Sheet'!BL20="1150 x 2050",'Job Sheet'!AB20="Mist Green"),1,"")</f>
        <v/>
      </c>
      <c r="YD14" s="123" t="str">
        <f>IF(AND('Job Sheet'!BK20="Decorative Diamond",'Job Sheet'!BL20="1150 x 2050",'Job Sheet'!AB20="Primrose"),1,"")</f>
        <v/>
      </c>
      <c r="YE14" s="123" t="str">
        <f>IF(AND('Job Sheet'!BK20="Decorative Diamond",'Job Sheet'!BL20="1150 x 2050",'Job Sheet'!AB20="Ultra Silver"),1,"")</f>
        <v/>
      </c>
      <c r="YF14" s="123" t="str">
        <f>IF(AND('Job Sheet'!BK20="Decorative Diamond",'Job Sheet'!BL20="1150 x 2050",'Job Sheet'!AB20="Woodland Grey(Green Tone)"),1,"")</f>
        <v/>
      </c>
      <c r="YG14" s="123" t="str">
        <f>IF(AND('Job Sheet'!BK20="Decorative Diamond",'Job Sheet'!BL20="1150 x 2050",'Job Sheet'!AB20="Pearl White"),1,"")</f>
        <v/>
      </c>
      <c r="YH14" s="123" t="str">
        <f>IF(AND('Job Sheet'!BK20="Decorative Diamond",'Job Sheet'!BL20="1150 x 2050",'Job Sheet'!AB20="Monument"),1,"")</f>
        <v/>
      </c>
      <c r="YI14" s="123" t="str">
        <f>IF(AND('Job Sheet'!BK20="Decorative Diamond",'Job Sheet'!BL20="1150 x 2050",'Job Sheet'!AB20="Surfmist"),1,"")</f>
        <v/>
      </c>
      <c r="YJ14" s="123" t="str">
        <f>IF(AND('Job Sheet'!BK20="Decorative Diamond",'Job Sheet'!BL20="1150 x 2050",'Job Sheet'!AB20="Dune"),1,"")</f>
        <v/>
      </c>
      <c r="YK14" s="123" t="str">
        <f>IF(AND('Job Sheet'!BK20="Decorative Diamond",'Job Sheet'!BL20="1150 x 2050",'Job Sheet'!AB20="Custom Powdercoat"),1,"")</f>
        <v/>
      </c>
      <c r="YL14" s="123" t="str">
        <f>IF(AND('Job Sheet'!AE20="DVA Mesh",'Job Sheet'!BR20="750 x 2000",'Job Sheet'!AF20="Apo Grey"),1,"")</f>
        <v/>
      </c>
      <c r="YM14" s="123" t="str">
        <f>IF(AND('Job Sheet'!AE20="DVA Mesh",'Job Sheet'!BR20="750 x 2000",'Job Sheet'!AF20="Birch White"),1,"")</f>
        <v/>
      </c>
      <c r="YN14" s="123" t="str">
        <f>IF(AND('Job Sheet'!AE20="DVA Mesh",'Job Sheet'!BR20="750 x 2000",'Job Sheet'!AF20="Black"),1,"")</f>
        <v/>
      </c>
      <c r="YO14" s="123" t="str">
        <f>IF(AND('Job Sheet'!AE20="DVA Mesh",'Job Sheet'!BR20="750 x 2000",'Job Sheet'!AF20="Brown"),1,"")</f>
        <v/>
      </c>
      <c r="YP14" s="123" t="str">
        <f>IF(AND('Job Sheet'!AE20="DVA Mesh",'Job Sheet'!BR20="750 x 2000",'Job Sheet'!AF20="Deep Ocean"),1,"")</f>
        <v/>
      </c>
      <c r="YQ14" s="123" t="str">
        <f>IF(AND('Job Sheet'!AE20="DVA Mesh",'Job Sheet'!BR20="750 x 2000",'Job Sheet'!AF20="Jasper"),1,"")</f>
        <v/>
      </c>
      <c r="YR14" s="123" t="str">
        <f>IF(AND('Job Sheet'!AE20="DVA Mesh",'Job Sheet'!BR20="750 x 2000",'Job Sheet'!AF20="Paperbark"),1,"")</f>
        <v/>
      </c>
      <c r="YS14" s="123" t="str">
        <f>IF(AND('Job Sheet'!AE20="DVA Mesh",'Job Sheet'!BR20="750 x 2000",'Job Sheet'!AF20="Mist Green"),1,"")</f>
        <v/>
      </c>
      <c r="YT14" s="123" t="str">
        <f>IF(AND('Job Sheet'!AE20="DVA Mesh",'Job Sheet'!BR20="750 x 2000",'Job Sheet'!AF20="Primrose"),1,"")</f>
        <v/>
      </c>
      <c r="YU14" s="123" t="str">
        <f>IF(AND('Job Sheet'!AE20="DVA Mesh",'Job Sheet'!BR20="750 x 2000",'Job Sheet'!AF20="Ultra Silver"),1,"")</f>
        <v/>
      </c>
      <c r="YV14" s="123" t="str">
        <f>IF(AND('Job Sheet'!AE20="DVA Mesh",'Job Sheet'!BR20="750 x 2000",'Job Sheet'!AF20="Woodland Grey(Green Tone)"),1,"")</f>
        <v/>
      </c>
      <c r="YW14" s="123" t="str">
        <f>IF(AND('Job Sheet'!AE20="DVA Mesh",'Job Sheet'!BR20="750 x 2000",'Job Sheet'!AF20="Pearl White"),1,"")</f>
        <v/>
      </c>
      <c r="YX14" s="123" t="str">
        <f>IF(AND('Job Sheet'!AE20="DVA Mesh",'Job Sheet'!BR20="750 x 2000",'Job Sheet'!AF20="Monument"),1,"")</f>
        <v/>
      </c>
      <c r="YY14" s="123" t="str">
        <f>IF(AND('Job Sheet'!AE20="DVA Mesh",'Job Sheet'!BR20="750 x 2000",'Job Sheet'!AF20="Surfmist"),1,"")</f>
        <v/>
      </c>
      <c r="YZ14" s="123" t="str">
        <f>IF(AND('Job Sheet'!AE20="DVA Mesh",'Job Sheet'!BR20="750 x 2000",'Job Sheet'!AF20="Dune"),1,"")</f>
        <v/>
      </c>
      <c r="ZA14" s="123" t="str">
        <f>IF(AND('Job Sheet'!AE20="DVA Mesh",'Job Sheet'!BR20="750 x 2000",'Job Sheet'!AF20="Custom Powdercoat"),1,"")</f>
        <v/>
      </c>
      <c r="ZB14" s="123" t="str">
        <f>IF(AND('Job Sheet'!AE20="DVA Mesh",'Job Sheet'!BR20="825 x 2000",'Job Sheet'!AF20="Apo Grey"),1,"")</f>
        <v/>
      </c>
      <c r="ZC14" s="123" t="str">
        <f>IF(AND('Job Sheet'!AE20="DVA Mesh",'Job Sheet'!BR20="825 x 2000",'Job Sheet'!AF20="Birch White"),1,"")</f>
        <v/>
      </c>
      <c r="ZD14" s="123" t="str">
        <f>IF(AND('Job Sheet'!AE20="DVA Mesh",'Job Sheet'!BR20="825 x 2000",'Job Sheet'!AF20="Black"),1,"")</f>
        <v/>
      </c>
      <c r="ZE14" s="123" t="str">
        <f>IF(AND('Job Sheet'!AE20="DVA Mesh",'Job Sheet'!BR20="825 x 2000",'Job Sheet'!AF20="Brown"),1,"")</f>
        <v/>
      </c>
      <c r="ZF14" s="123" t="str">
        <f>IF(AND('Job Sheet'!AE20="DVA Mesh",'Job Sheet'!BR20="825 x 2000",'Job Sheet'!AF20="Deep Ocean"),1,"")</f>
        <v/>
      </c>
      <c r="ZG14" s="123" t="str">
        <f>IF(AND('Job Sheet'!AE20="DVA Mesh",'Job Sheet'!BR20="825 x 2000",'Job Sheet'!AF20="Jasper"),1,"")</f>
        <v/>
      </c>
      <c r="ZH14" s="123" t="str">
        <f>IF(AND('Job Sheet'!AE20="DVA Mesh",'Job Sheet'!BR20="825 x 2000",'Job Sheet'!AF20="Paperbark"),1,"")</f>
        <v/>
      </c>
      <c r="ZI14" s="123" t="str">
        <f>IF(AND('Job Sheet'!AE20="DVA Mesh",'Job Sheet'!BR20="825 x 2000",'Job Sheet'!AF20="Mist Green"),1,"")</f>
        <v/>
      </c>
      <c r="ZJ14" s="123" t="str">
        <f>IF(AND('Job Sheet'!AE20="DVA Mesh",'Job Sheet'!BR20="825 x 2000",'Job Sheet'!AF20="Primrose"),1,"")</f>
        <v/>
      </c>
      <c r="ZK14" s="123" t="str">
        <f>IF(AND('Job Sheet'!AE20="DVA Mesh",'Job Sheet'!BR20="825 x 2000",'Job Sheet'!AF20="Ultra Silver"),1,"")</f>
        <v/>
      </c>
      <c r="ZL14" s="123" t="str">
        <f>IF(AND('Job Sheet'!AE20="DVA Mesh",'Job Sheet'!BR20="825 x 2000",'Job Sheet'!AF20="Woodland Grey(Green Tone)"),1,"")</f>
        <v/>
      </c>
      <c r="ZM14" s="123" t="str">
        <f>IF(AND('Job Sheet'!AE20="DVA Mesh",'Job Sheet'!BR20="825 x 2000",'Job Sheet'!AF20="Pearl White"),1,"")</f>
        <v/>
      </c>
      <c r="ZN14" s="123" t="str">
        <f>IF(AND('Job Sheet'!AE20="DVA Mesh",'Job Sheet'!BR20="825 x 2000",'Job Sheet'!AF20="Monument"),1,"")</f>
        <v/>
      </c>
      <c r="ZO14" s="123" t="str">
        <f>IF(AND('Job Sheet'!AE20="DVA Mesh",'Job Sheet'!BR20="825 x 2000",'Job Sheet'!AF20="Surfmist"),1,"")</f>
        <v/>
      </c>
      <c r="ZP14" s="123" t="str">
        <f>IF(AND('Job Sheet'!AE20="DVA Mesh",'Job Sheet'!BR20="825 x 2000",'Job Sheet'!AF20="Dune"),1,"")</f>
        <v/>
      </c>
      <c r="ZQ14" s="123" t="str">
        <f>IF(AND('Job Sheet'!AE20="DVA Mesh",'Job Sheet'!BR20="825 x 2000",'Job Sheet'!AF20="Custom Powdercoat"),1,"")</f>
        <v/>
      </c>
      <c r="ZR14" s="123" t="str">
        <f>IF(AND('Job Sheet'!AE20="DVA Mesh",'Job Sheet'!BR20="900 x 2200",'Job Sheet'!AF20="Apo Grey"),1,"")</f>
        <v/>
      </c>
      <c r="ZS14" s="123" t="str">
        <f>IF(AND('Job Sheet'!AE20="DVA Mesh",'Job Sheet'!BR20="900 x 2200",'Job Sheet'!AF20="Birch White"),1,"")</f>
        <v/>
      </c>
      <c r="ZT14" s="123" t="str">
        <f>IF(AND('Job Sheet'!AE20="DVA Mesh",'Job Sheet'!BR20="900 x 2200",'Job Sheet'!AF20="Black"),1,"")</f>
        <v/>
      </c>
      <c r="ZU14" s="123" t="str">
        <f>IF(AND('Job Sheet'!AE20="DVA Mesh",'Job Sheet'!BR20="900 x 2200",'Job Sheet'!AF20="Brown"),1,"")</f>
        <v/>
      </c>
      <c r="ZV14" s="123" t="str">
        <f>IF(AND('Job Sheet'!AE20="DVA Mesh",'Job Sheet'!BR20="900 x 2200",'Job Sheet'!AF20="Deep Ocean"),1,"")</f>
        <v/>
      </c>
      <c r="ZW14" s="123" t="str">
        <f>IF(AND('Job Sheet'!AE20="DVA Mesh",'Job Sheet'!BR20="900 x 2200",'Job Sheet'!AF20="Jasper"),1,"")</f>
        <v/>
      </c>
      <c r="ZX14" s="123" t="str">
        <f>IF(AND('Job Sheet'!AE20="DVA Mesh",'Job Sheet'!BR20="900 x 2200",'Job Sheet'!AF20="Paperbark"),1,"")</f>
        <v/>
      </c>
      <c r="ZY14" s="123" t="str">
        <f>IF(AND('Job Sheet'!AE20="DVA Mesh",'Job Sheet'!BR20="900 x 2200",'Job Sheet'!AF20="Mist Green"),1,"")</f>
        <v/>
      </c>
      <c r="ZZ14" s="123" t="str">
        <f>IF(AND('Job Sheet'!AE20="DVA Mesh",'Job Sheet'!BR20="900 x 2200",'Job Sheet'!AF20="Primrose"),1,"")</f>
        <v/>
      </c>
      <c r="AAA14" s="123" t="str">
        <f>IF(AND('Job Sheet'!AE20="DVA Mesh",'Job Sheet'!BR20="900 x 2200",'Job Sheet'!AF20="Ultra Silver"),1,"")</f>
        <v/>
      </c>
      <c r="AAB14" s="123" t="str">
        <f>IF(AND('Job Sheet'!AE20="DVA Mesh",'Job Sheet'!BR20="900 x 2200",'Job Sheet'!AF20="Woodland Grey(Green Tone)"),1,"")</f>
        <v/>
      </c>
      <c r="AAC14" s="123" t="str">
        <f>IF(AND('Job Sheet'!AE20="DVA Mesh",'Job Sheet'!BR20="900 x 2200",'Job Sheet'!AF20="Pearl White"),1,"")</f>
        <v/>
      </c>
      <c r="AAD14" s="123" t="str">
        <f>IF(AND('Job Sheet'!AE20="DVA Mesh",'Job Sheet'!BR20="900 x 2200",'Job Sheet'!AF20="Monument"),1,"")</f>
        <v/>
      </c>
      <c r="AAE14" s="123" t="str">
        <f>IF(AND('Job Sheet'!AE20="DVA Mesh",'Job Sheet'!BR20="900 x 2200",'Job Sheet'!AF20="Surfmist"),1,"")</f>
        <v/>
      </c>
      <c r="AAF14" s="123" t="str">
        <f>IF(AND('Job Sheet'!AE20="DVA Mesh",'Job Sheet'!BR20="900 x 2200",'Job Sheet'!AF20="Dune"),1,"")</f>
        <v/>
      </c>
      <c r="AAG14" s="123" t="str">
        <f>IF(AND('Job Sheet'!AE20="DVA Mesh",'Job Sheet'!BR20="900 x 2200",'Job Sheet'!AF20="Custom Powdercoat"),1,"")</f>
        <v/>
      </c>
      <c r="AAH14" s="123" t="str">
        <f>IF(AND('Job Sheet'!AE20="DVA Mesh",'Job Sheet'!BR20="900 x 2400",'Job Sheet'!AF20="Apo Grey"),1,"")</f>
        <v/>
      </c>
      <c r="AAI14" s="123" t="str">
        <f>IF(AND('Job Sheet'!AE20="DVA Mesh",'Job Sheet'!BR20="900 x 2400",'Job Sheet'!AF20="Birch White"),1,"")</f>
        <v/>
      </c>
      <c r="AAJ14" s="123" t="str">
        <f>IF(AND('Job Sheet'!AE20="DVA Mesh",'Job Sheet'!BR20="900 x 2400",'Job Sheet'!AF20="Black"),1,"")</f>
        <v/>
      </c>
      <c r="AAK14" s="123" t="str">
        <f>IF(AND('Job Sheet'!AE20="DVA Mesh",'Job Sheet'!BR20="900 x 2400",'Job Sheet'!AF20="Brown"),1,"")</f>
        <v/>
      </c>
      <c r="AAL14" s="123" t="str">
        <f>IF(AND('Job Sheet'!AE20="DVA Mesh",'Job Sheet'!BR20="900 x 2400",'Job Sheet'!AF20="Deep Ocean"),1,"")</f>
        <v/>
      </c>
      <c r="AAM14" s="123" t="str">
        <f>IF(AND('Job Sheet'!AE20="DVA Mesh",'Job Sheet'!BR20="900 x 2400",'Job Sheet'!AF20="Jasper"),1,"")</f>
        <v/>
      </c>
      <c r="AAN14" s="123" t="str">
        <f>IF(AND('Job Sheet'!AE20="DVA Mesh",'Job Sheet'!BR20="900 x 2400",'Job Sheet'!AF20="Paperbark"),1,"")</f>
        <v/>
      </c>
      <c r="AAO14" s="123" t="str">
        <f>IF(AND('Job Sheet'!AE20="DVA Mesh",'Job Sheet'!BR20="900 x 2400",'Job Sheet'!AF20="Mist Green"),1,"")</f>
        <v/>
      </c>
      <c r="AAP14" s="123" t="str">
        <f>IF(AND('Job Sheet'!AE20="DVA Mesh",'Job Sheet'!BR20="900 x 2400",'Job Sheet'!AF20="Primrose"),1,"")</f>
        <v/>
      </c>
      <c r="AAQ14" s="123" t="str">
        <f>IF(AND('Job Sheet'!AE20="DVA Mesh",'Job Sheet'!BR20="900 x 2400",'Job Sheet'!AF20="Ultra Silver"),1,"")</f>
        <v/>
      </c>
      <c r="AAR14" s="123" t="str">
        <f>IF(AND('Job Sheet'!AE20="DVA Mesh",'Job Sheet'!BR20="900 x 2400",'Job Sheet'!AF20="Woodland Grey(Green Tone)"),1,"")</f>
        <v/>
      </c>
      <c r="AAS14" s="123" t="str">
        <f>IF(AND('Job Sheet'!AE20="DVA Mesh",'Job Sheet'!BR20="900 x 2400",'Job Sheet'!AF20="Pearl White"),1,"")</f>
        <v/>
      </c>
      <c r="AAT14" s="123" t="str">
        <f>IF(AND('Job Sheet'!AE20="DVA Mesh",'Job Sheet'!BR20="900 x 2400",'Job Sheet'!AF20="Monument"),1,"")</f>
        <v/>
      </c>
      <c r="AAU14" s="123" t="str">
        <f>IF(AND('Job Sheet'!AE20="DVA Mesh",'Job Sheet'!BR20="900 x 2400",'Job Sheet'!AF20="Surfmist"),1,"")</f>
        <v/>
      </c>
      <c r="AAV14" s="123" t="str">
        <f>IF(AND('Job Sheet'!AE20="DVA Mesh",'Job Sheet'!BR20="900 x 2400",'Job Sheet'!AF20="Dune"),1,"")</f>
        <v/>
      </c>
      <c r="AAW14" s="123" t="str">
        <f>IF(AND('Job Sheet'!AE20="DVA Mesh",'Job Sheet'!BR20="900 x 2400",'Job Sheet'!AF20="Custom Powdercoat"),1,"")</f>
        <v/>
      </c>
      <c r="AAX14" s="123" t="str">
        <f>IF(AND('Job Sheet'!AE20="DVA Mesh",'Job Sheet'!BR20="1200 x 2200",'Job Sheet'!AF20="Apo Grey"),1,"")</f>
        <v/>
      </c>
      <c r="AAY14" s="123" t="str">
        <f>IF(AND('Job Sheet'!AE20="DVA Mesh",'Job Sheet'!BR20="1200 x 2200",'Job Sheet'!AF20="Birch White"),1,"")</f>
        <v/>
      </c>
      <c r="AAZ14" s="123" t="str">
        <f>IF(AND('Job Sheet'!AE20="DVA Mesh",'Job Sheet'!BR20="1200 x 2200",'Job Sheet'!AF20="Black"),1,"")</f>
        <v/>
      </c>
      <c r="ABA14" s="123" t="str">
        <f>IF(AND('Job Sheet'!AE20="DVA Mesh",'Job Sheet'!BR20="1200 x 2200",'Job Sheet'!AF20="Brown"),1,"")</f>
        <v/>
      </c>
      <c r="ABB14" s="123" t="str">
        <f>IF(AND('Job Sheet'!AE20="DVA Mesh",'Job Sheet'!BR20="1200 x 2200",'Job Sheet'!AF20="Deep Ocean"),1,"")</f>
        <v/>
      </c>
      <c r="ABC14" s="123" t="str">
        <f>IF(AND('Job Sheet'!AE20="DVA Mesh",'Job Sheet'!BR20="1200 x 2200",'Job Sheet'!AF20="Jasper"),1,"")</f>
        <v/>
      </c>
      <c r="ABD14" s="123" t="str">
        <f>IF(AND('Job Sheet'!AE20="DVA Mesh",'Job Sheet'!BR20="1200 x 2200",'Job Sheet'!AF20="Paperbark"),1,"")</f>
        <v/>
      </c>
      <c r="ABE14" s="123" t="str">
        <f>IF(AND('Job Sheet'!AE20="DVA Mesh",'Job Sheet'!BR20="1200 x 2200",'Job Sheet'!AF20="Mist Green"),1,"")</f>
        <v/>
      </c>
      <c r="ABF14" s="123" t="str">
        <f>IF(AND('Job Sheet'!AE20="DVA Mesh",'Job Sheet'!BR20="1200 x 2200",'Job Sheet'!AF20="Primrose"),1,"")</f>
        <v/>
      </c>
      <c r="ABG14" s="123" t="str">
        <f>IF(AND('Job Sheet'!AE20="DVA Mesh",'Job Sheet'!BR20="1200 x 2200",'Job Sheet'!AF20="Ultra Silver"),1,"")</f>
        <v/>
      </c>
      <c r="ABH14" s="123" t="str">
        <f>IF(AND('Job Sheet'!AE20="DVA Mesh",'Job Sheet'!BR20="1200 x 2200",'Job Sheet'!AF20="Woodland Grey(Green Tone)"),1,"")</f>
        <v/>
      </c>
      <c r="ABI14" s="123" t="str">
        <f>IF(AND('Job Sheet'!AE20="DVA Mesh",'Job Sheet'!BR20="1200 x 2200",'Job Sheet'!AF20="Pearl White"),1,"")</f>
        <v/>
      </c>
      <c r="ABJ14" s="123" t="str">
        <f>IF(AND('Job Sheet'!AE20="DVA Mesh",'Job Sheet'!BR20="1200 x 2200",'Job Sheet'!AF20="Monument"),1,"")</f>
        <v/>
      </c>
      <c r="ABK14" s="123" t="str">
        <f>IF(AND('Job Sheet'!AE20="DVA Mesh",'Job Sheet'!BR20="1200 x 2200",'Job Sheet'!AF20="Surfmist"),1,"")</f>
        <v/>
      </c>
      <c r="ABL14" s="123" t="str">
        <f>IF(AND('Job Sheet'!AE20="DVA Mesh",'Job Sheet'!BR20="1200 x 2200",'Job Sheet'!AF20="Dune"),1,"")</f>
        <v/>
      </c>
      <c r="ABM14" s="123" t="str">
        <f>IF(AND('Job Sheet'!AE20="DVA Mesh",'Job Sheet'!BR20="1200 x 2200",'Job Sheet'!AF20="Custom Powdercoat"),1,"")</f>
        <v/>
      </c>
      <c r="ABN14" s="123" t="str">
        <f>IF(AND('Job Sheet'!AE20="DVA Mesh",'Job Sheet'!BR20="1200 x 2400",'Job Sheet'!AF20="Apo Grey"),1,"")</f>
        <v/>
      </c>
      <c r="ABO14" s="123" t="str">
        <f>IF(AND('Job Sheet'!AE20="DVA Mesh",'Job Sheet'!BR20="1200 x 2400",'Job Sheet'!AF20="Birch White"),1,"")</f>
        <v/>
      </c>
      <c r="ABP14" s="123" t="str">
        <f>IF(AND('Job Sheet'!AE20="DVA Mesh",'Job Sheet'!BR20="1200 x 2400",'Job Sheet'!AF20="Black"),1,"")</f>
        <v/>
      </c>
      <c r="ABQ14" s="123" t="str">
        <f>IF(AND('Job Sheet'!AE20="DVA Mesh",'Job Sheet'!BR20="1200 x 2400",'Job Sheet'!AF20="Brown"),1,"")</f>
        <v/>
      </c>
      <c r="ABR14" s="123" t="str">
        <f>IF(AND('Job Sheet'!AE20="DVA Mesh",'Job Sheet'!BR20="1200 x 2400",'Job Sheet'!AF20="Deep Ocean"),1,"")</f>
        <v/>
      </c>
      <c r="ABS14" s="123" t="str">
        <f>IF(AND('Job Sheet'!AE20="DVA Mesh",'Job Sheet'!BR20="1200 x 2400",'Job Sheet'!AF20="Jasper"),1,"")</f>
        <v/>
      </c>
      <c r="ABT14" s="123" t="str">
        <f>IF(AND('Job Sheet'!AE20="DVA Mesh",'Job Sheet'!BR20="1200 x 2400",'Job Sheet'!AF20="Paperbark"),1,"")</f>
        <v/>
      </c>
      <c r="ABU14" s="123" t="str">
        <f>IF(AND('Job Sheet'!AE20="DVA Mesh",'Job Sheet'!BR20="1200 x 2400",'Job Sheet'!AF20="Mist Green"),1,"")</f>
        <v/>
      </c>
      <c r="ABV14" s="123" t="str">
        <f>IF(AND('Job Sheet'!AE20="DVA Mesh",'Job Sheet'!BR20="1200 x 2400",'Job Sheet'!AF20="Primrose"),1,"")</f>
        <v/>
      </c>
      <c r="ABW14" s="123" t="str">
        <f>IF(AND('Job Sheet'!AE20="DVA Mesh",'Job Sheet'!BR20="1200 x 2400",'Job Sheet'!AF20="Ultra Silver"),1,"")</f>
        <v/>
      </c>
      <c r="ABX14" s="123" t="str">
        <f>IF(AND('Job Sheet'!AE20="DVA Mesh",'Job Sheet'!BR20="1200 x 2400",'Job Sheet'!AF20="Woodland Grey(Green Tone)"),1,"")</f>
        <v/>
      </c>
      <c r="ABY14" s="123" t="str">
        <f>IF(AND('Job Sheet'!AE20="DVA Mesh",'Job Sheet'!BR20="1200 x 2400",'Job Sheet'!AF20="Pearl White"),1,"")</f>
        <v/>
      </c>
      <c r="ABZ14" s="123" t="str">
        <f>IF(AND('Job Sheet'!AE20="DVA Mesh",'Job Sheet'!BR20="1200 x 2400",'Job Sheet'!AF20="Monument"),1,"")</f>
        <v/>
      </c>
      <c r="ACA14" s="123" t="str">
        <f>IF(AND('Job Sheet'!AE20="DVA Mesh",'Job Sheet'!BR20="1200 x 2400",'Job Sheet'!AF20="Surfmist"),1,"")</f>
        <v/>
      </c>
      <c r="ACB14" s="123" t="str">
        <f>IF(AND('Job Sheet'!AE20="DVA Mesh",'Job Sheet'!BR20="1200 x 2400",'Job Sheet'!AF20="Dune"),1,"")</f>
        <v/>
      </c>
      <c r="ACC14" s="123" t="str">
        <f>IF(AND('Job Sheet'!AE20="DVA Mesh",'Job Sheet'!BR20="1200 x 2400",'Job Sheet'!AF20="Custom Powdercoat"),1,"")</f>
        <v/>
      </c>
      <c r="ACD14" s="123" t="str">
        <f>IF('Job Sheet'!AE20="Fibreglass Mesh",CONCATENATE('Job Sheet'!BH20," x ",'Job Sheet'!BI20),"")</f>
        <v/>
      </c>
      <c r="ACE14" s="123" t="str">
        <f>IF('Job Sheet'!AE20="Aluminium Mesh",CONCATENATE('Job Sheet'!BH20," x ",'Job Sheet'!BI20),"")</f>
        <v/>
      </c>
      <c r="ACF14" s="123" t="str">
        <f>IF('Job Sheet'!AE20="Tuff Mesh",CONCATENATE('Job Sheet'!BH20," x ",'Job Sheet'!BI20),"")</f>
        <v/>
      </c>
      <c r="ACG14" s="123"/>
      <c r="ACH14" s="123"/>
      <c r="ACI14" s="123" t="str">
        <f>IF('Job Sheet'!AE20="Pet Mesh",CONCATENATE('Job Sheet'!BH20," x ",'Job Sheet'!BI20),"")</f>
        <v/>
      </c>
      <c r="ACJ14" s="123"/>
      <c r="ACK14" s="122" t="str">
        <f>IF(Guillotine!F21="SP13AB Apo Grey",1,"")</f>
        <v/>
      </c>
      <c r="ACL14" s="122" t="str">
        <f>IF(Guillotine!F21="SP13AB White Birch",1,"")</f>
        <v/>
      </c>
      <c r="ACM14" s="122" t="str">
        <f>IF(Guillotine!F21="SP13AB Black",1,"")</f>
        <v/>
      </c>
      <c r="ACN14" s="122" t="str">
        <f>IF(Guillotine!F21="SP13AB Brown",1,"")</f>
        <v/>
      </c>
      <c r="ACO14" s="122" t="str">
        <f>IF(Guillotine!F21="SP13AB Deep Ocean",1,"")</f>
        <v/>
      </c>
      <c r="ACP14" s="122" t="str">
        <f>IF(Guillotine!F21="SP13AB Jasper",1,"")</f>
        <v/>
      </c>
      <c r="ACQ14" s="122" t="str">
        <f>IF(Guillotine!F21="SP13AB Paperbark",1,"")</f>
        <v/>
      </c>
      <c r="ACR14" s="122" t="str">
        <f>IF(Guillotine!F21="SP13AB Mist Green",1,"")</f>
        <v/>
      </c>
      <c r="ACS14" s="122" t="str">
        <f>IF(Guillotine!F21="SP13AB Primrose",1,"")</f>
        <v/>
      </c>
      <c r="ACT14" s="122" t="str">
        <f>IF(Guillotine!F21="SP13AB Ultra Silver",1,"")</f>
        <v/>
      </c>
      <c r="ACU14" s="122" t="str">
        <f>IF(Guillotine!F21="SP13AB Woodland Grey(Green Tone)",1,"")</f>
        <v/>
      </c>
      <c r="ACV14" s="122" t="str">
        <f>IF(Guillotine!F21="SP13AB Pearl White",1,"")</f>
        <v/>
      </c>
      <c r="ACW14" s="122" t="str">
        <f>IF(Guillotine!F21="SP13AB Monument",1,"")</f>
        <v/>
      </c>
      <c r="ACX14" s="122" t="str">
        <f>IF(Guillotine!F21="SP13AB Surfmist",1,"")</f>
        <v/>
      </c>
      <c r="ACY14" s="122" t="str">
        <f>IF(Guillotine!F21="SP13AB Dune",1,"")</f>
        <v/>
      </c>
      <c r="ACZ14" s="122" t="str">
        <f>IF(Guillotine!F21="SP13AB Powdercoat",1,"")</f>
        <v/>
      </c>
      <c r="ADA14" s="122" t="str">
        <f>IF(Guillotine!F21="SP13BB Apo Grey",1,"")</f>
        <v/>
      </c>
      <c r="ADB14" s="122" t="str">
        <f>IF(Guillotine!F21="SP13BB White Birch",1,"")</f>
        <v/>
      </c>
      <c r="ADC14" s="122" t="str">
        <f>IF(Guillotine!F21="SP13BB Black",1,"")</f>
        <v/>
      </c>
      <c r="ADD14" s="122" t="str">
        <f>IF(Guillotine!F21="SP13BB Brown",1,"")</f>
        <v/>
      </c>
      <c r="ADE14" s="122" t="str">
        <f>IF(Guillotine!F21="SP13BB Deep Ocean",1,"")</f>
        <v/>
      </c>
      <c r="ADF14" s="122" t="str">
        <f>IF(Guillotine!F21="SP13BB Jasper",1,"")</f>
        <v/>
      </c>
      <c r="ADG14" s="122" t="str">
        <f>IF(Guillotine!F21="SP13BB Paperbark",1,"")</f>
        <v/>
      </c>
      <c r="ADH14" s="122" t="str">
        <f>IF(Guillotine!F21="SP13BB Mist Green",1,"")</f>
        <v/>
      </c>
      <c r="ADI14" s="122" t="str">
        <f>IF(Guillotine!F21="SP13BB Primrose",1,"")</f>
        <v/>
      </c>
      <c r="ADJ14" s="122" t="str">
        <f>IF(Guillotine!F21="SP13BB Ultra Silver",1,"")</f>
        <v/>
      </c>
      <c r="ADK14" s="122" t="str">
        <f>IF(Guillotine!F21="SP13BB Woodland Grey(Green Tone)",1,"")</f>
        <v/>
      </c>
      <c r="ADL14" s="122" t="str">
        <f>IF(Guillotine!F21="SP13BB Pearl White",1,"")</f>
        <v/>
      </c>
      <c r="ADM14" s="122" t="str">
        <f>IF(Guillotine!F21="SP13BB Monument",1,"")</f>
        <v/>
      </c>
      <c r="ADN14" s="122" t="str">
        <f>IF(Guillotine!F21="SP13BB Surfmist",1,"")</f>
        <v/>
      </c>
      <c r="ADO14" s="122" t="str">
        <f>IF(Guillotine!F21="SP13BB Dune",1,"")</f>
        <v/>
      </c>
      <c r="ADP14" s="122" t="str">
        <f>IF(Guillotine!F21="SP13BB Powdercoat",1,"")</f>
        <v/>
      </c>
      <c r="ADQ14" s="122" t="str">
        <f>IF(Guillotine!F21="SP14AB Apo Grey",1,"")</f>
        <v/>
      </c>
      <c r="ADR14" s="122" t="str">
        <f>IF(Guillotine!F21="SP14AB White Birch",1,"")</f>
        <v/>
      </c>
      <c r="ADS14" s="122" t="str">
        <f>IF(Guillotine!F21="SP14AB Black",1,"")</f>
        <v/>
      </c>
      <c r="ADT14" s="122" t="str">
        <f>IF(Guillotine!F21="SP14AB Brown",1,"")</f>
        <v/>
      </c>
      <c r="ADU14" s="122" t="str">
        <f>IF(Guillotine!F21="SP14AB Deep Ocean",1,"")</f>
        <v/>
      </c>
      <c r="ADV14" s="122" t="str">
        <f>IF(Guillotine!F21="SP14AB Jasper",1,"")</f>
        <v/>
      </c>
      <c r="ADW14" s="122" t="str">
        <f>IF(Guillotine!F21="SP14AB Paperbark",1,"")</f>
        <v/>
      </c>
      <c r="ADX14" s="122" t="str">
        <f>IF(Guillotine!F21="SP14AB Mist Green",1,"")</f>
        <v/>
      </c>
      <c r="ADY14" s="122" t="str">
        <f>IF(Guillotine!F21="SP14AB Primrose",1,"")</f>
        <v/>
      </c>
      <c r="ADZ14" s="122" t="str">
        <f>IF(Guillotine!F21="SP14AB Ultra Silver",1,"")</f>
        <v/>
      </c>
      <c r="AEA14" s="122" t="str">
        <f>IF(Guillotine!F21="SP14AB Woodland Grey(Green Tone)",1,"")</f>
        <v/>
      </c>
      <c r="AEB14" s="122" t="str">
        <f>IF(Guillotine!F21="SP14AB Pearl White",1,"")</f>
        <v/>
      </c>
      <c r="AEC14" s="122" t="str">
        <f>IF(Guillotine!F21="SP14AB Monument",1,"")</f>
        <v/>
      </c>
      <c r="AED14" s="122" t="str">
        <f>IF(Guillotine!F21="SP14AB Surfmist",1,"")</f>
        <v/>
      </c>
      <c r="AEE14" s="122" t="str">
        <f>IF(Guillotine!F21="SP14AB Dune",1,"")</f>
        <v/>
      </c>
      <c r="AEF14" s="122" t="str">
        <f>IF(Guillotine!F21="SP14AB Powdercoat",1,"")</f>
        <v/>
      </c>
      <c r="AEG14" s="122" t="str">
        <f>IF(Guillotine!F21="SP17AB Apo Grey",1,"")</f>
        <v/>
      </c>
      <c r="AEH14" s="122" t="str">
        <f>IF(Guillotine!F21="SP17AB White Birch",1,"")</f>
        <v/>
      </c>
      <c r="AEI14" s="122" t="str">
        <f>IF(Guillotine!F21="SP17AB Black",1,"")</f>
        <v/>
      </c>
      <c r="AEJ14" s="122" t="str">
        <f>IF(Guillotine!F21="SP17AB Brown",1,"")</f>
        <v/>
      </c>
      <c r="AEK14" s="122" t="str">
        <f>IF(Guillotine!F21="SP17AB Deep Ocean",1,"")</f>
        <v/>
      </c>
      <c r="AEL14" s="122" t="str">
        <f>IF(Guillotine!F21="SP17AB Jasper",1,"")</f>
        <v/>
      </c>
      <c r="AEM14" s="122" t="str">
        <f>IF(Guillotine!F21="SP17AB Paperbark",1,"")</f>
        <v/>
      </c>
      <c r="AEN14" s="122" t="str">
        <f>IF(Guillotine!F21="SP17AB Mist Green",1,"")</f>
        <v/>
      </c>
      <c r="AEO14" s="122" t="str">
        <f>IF(Guillotine!F21="SP17AB Primrose",1,"")</f>
        <v/>
      </c>
      <c r="AEP14" s="122" t="str">
        <f>IF(Guillotine!F21="SP17AB Ultra Silver",1,"")</f>
        <v/>
      </c>
      <c r="AEQ14" s="122" t="str">
        <f>IF(Guillotine!F21="SP17AB Woodland Grey(Green Tone)",1,"")</f>
        <v/>
      </c>
      <c r="AER14" s="122" t="str">
        <f>IF(Guillotine!F21="SP17AB Pearl White",1,"")</f>
        <v/>
      </c>
      <c r="AES14" s="122" t="str">
        <f>IF(Guillotine!F21="SP17AB Monument",1,"")</f>
        <v/>
      </c>
      <c r="AET14" s="122" t="str">
        <f>IF(Guillotine!F21="SP17AB Surfmist",1,"")</f>
        <v/>
      </c>
      <c r="AEU14" s="122" t="str">
        <f>IF(Guillotine!F21="SP17AB Dune",1,"")</f>
        <v/>
      </c>
      <c r="AEV14" s="122" t="str">
        <f>IF(Guillotine!F21="SP17AB Powdercoat",1,"")</f>
        <v/>
      </c>
      <c r="AEW14" s="122" t="str">
        <f>IF(Guillotine!F21="SP27AB Apo Grey",1,"")</f>
        <v/>
      </c>
      <c r="AEX14" s="122" t="str">
        <f>IF(Guillotine!F21="SP27AB White Birch",1,"")</f>
        <v/>
      </c>
      <c r="AEY14" s="122" t="str">
        <f>IF(Guillotine!F21="SP27AB Black",1,"")</f>
        <v/>
      </c>
      <c r="AEZ14" s="122" t="str">
        <f>IF(Guillotine!F21="SP27AB Brown",1,"")</f>
        <v/>
      </c>
      <c r="AFA14" s="122" t="str">
        <f>IF(Guillotine!F21="SP27AB Deep Ocean",1,"")</f>
        <v/>
      </c>
      <c r="AFB14" s="122" t="str">
        <f>IF(Guillotine!F21="SP27AB Jasper",1,"")</f>
        <v/>
      </c>
      <c r="AFC14" s="122" t="str">
        <f>IF(Guillotine!F21="SP27AB Paperbark",1,"")</f>
        <v/>
      </c>
      <c r="AFD14" s="122" t="str">
        <f>IF(Guillotine!F21="SP27AB Mist Green",1,"")</f>
        <v/>
      </c>
      <c r="AFE14" s="122" t="str">
        <f>IF(Guillotine!F21="SP27AB Primrose",1,"")</f>
        <v/>
      </c>
      <c r="AFF14" s="122" t="str">
        <f>IF(Guillotine!F21="SP27AB Ultra Silver",1,"")</f>
        <v/>
      </c>
      <c r="AFG14" s="122" t="str">
        <f>IF(Guillotine!F21="SP27AB Woodland Grey(Green Tone)",1,"")</f>
        <v/>
      </c>
      <c r="AFH14" s="122" t="str">
        <f>IF(Guillotine!F21="SP27AB Pearl White",1,"")</f>
        <v/>
      </c>
      <c r="AFI14" s="122" t="str">
        <f>IF(Guillotine!F21="SP27AB Monument",1,"")</f>
        <v/>
      </c>
      <c r="AFJ14" s="122" t="str">
        <f>IF(Guillotine!F21="SP27AB Surfmist",1,"")</f>
        <v/>
      </c>
      <c r="AFK14" s="122" t="str">
        <f>IF(Guillotine!F21="SP27AB Dune",1,"")</f>
        <v/>
      </c>
      <c r="AFL14" s="122" t="str">
        <f>IF(Guillotine!F21="SP27AB Powdercoat",1,"")</f>
        <v/>
      </c>
      <c r="AFM14" s="122" t="str">
        <f>IF(Guillotine!F21="SP29AB Apo Grey",1,"")</f>
        <v/>
      </c>
      <c r="AFN14" s="122" t="str">
        <f>IF(Guillotine!F21="SP29AB White Birch",1,"")</f>
        <v/>
      </c>
      <c r="AFO14" s="122" t="str">
        <f>IF(Guillotine!F21="SP29AB Black",1,"")</f>
        <v/>
      </c>
      <c r="AFP14" s="122" t="str">
        <f>IF(Guillotine!F21="SP29AB Brown",1,"")</f>
        <v/>
      </c>
      <c r="AFQ14" s="122" t="str">
        <f>IF(Guillotine!F21="SP29AB Deep Ocean",1,"")</f>
        <v/>
      </c>
      <c r="AFR14" s="122" t="str">
        <f>IF(Guillotine!F21="SP29AB Jasper",1,"")</f>
        <v/>
      </c>
      <c r="AFS14" s="122" t="str">
        <f>IF(Guillotine!F21="SP29AB Paperbark",1,"")</f>
        <v/>
      </c>
      <c r="AFT14" s="122" t="str">
        <f>IF(Guillotine!F21="SP29AB Mist Green",1,"")</f>
        <v/>
      </c>
      <c r="AFU14" s="122" t="str">
        <f>IF(Guillotine!F21="SP29AB Primrose",1,"")</f>
        <v/>
      </c>
      <c r="AFV14" s="122" t="str">
        <f>IF(Guillotine!F21="SP29AB Ultra Silver",1,"")</f>
        <v/>
      </c>
      <c r="AFW14" s="122" t="str">
        <f>IF(Guillotine!F21="SP29AB Woodland Grey(Green Tone)",1,"")</f>
        <v/>
      </c>
      <c r="AFX14" s="122" t="str">
        <f>IF(Guillotine!F21="SP29AB Pearl White",1,"")</f>
        <v/>
      </c>
      <c r="AFY14" s="122" t="str">
        <f>IF(Guillotine!F21="SP29AB Monument",1,"")</f>
        <v/>
      </c>
      <c r="AFZ14" s="122" t="str">
        <f>IF(Guillotine!F21="SP29AB Surfmist",1,"")</f>
        <v/>
      </c>
      <c r="AGA14" s="122" t="str">
        <f>IF(Guillotine!F21="SP29AB Dune",1,"")</f>
        <v/>
      </c>
      <c r="AGB14" s="122" t="str">
        <f>IF(Guillotine!F21="SP29AB Powdercoat",1,"")</f>
        <v/>
      </c>
      <c r="AGC14" s="122" t="str">
        <f>IF(Guillotine!F21="SP34AB Apo Grey",1,"")</f>
        <v/>
      </c>
      <c r="AGD14" s="122" t="str">
        <f>IF(Guillotine!F21="SP34AB White Birch",1,"")</f>
        <v/>
      </c>
      <c r="AGE14" s="122" t="str">
        <f>IF(Guillotine!F21="SP34AB Black",1,"")</f>
        <v/>
      </c>
      <c r="AGF14" s="122" t="str">
        <f>IF(Guillotine!F21="SP34AB Brown",1,"")</f>
        <v/>
      </c>
      <c r="AGG14" s="122" t="str">
        <f>IF(Guillotine!F21="SP34AB Deep Ocean",1,"")</f>
        <v/>
      </c>
      <c r="AGH14" s="122" t="str">
        <f>IF(Guillotine!F21="SP34AB Jasper",1,"")</f>
        <v/>
      </c>
      <c r="AGI14" s="122" t="str">
        <f>IF(Guillotine!F21="SP34AB Paperbark",1,"")</f>
        <v/>
      </c>
      <c r="AGJ14" s="122" t="str">
        <f>IF(Guillotine!F21="SP34AB Mist Green",1,"")</f>
        <v/>
      </c>
      <c r="AGK14" s="122" t="str">
        <f>IF(Guillotine!F21="SP34AB Primrose",1,"")</f>
        <v/>
      </c>
      <c r="AGL14" s="122" t="str">
        <f>IF(Guillotine!F21="SP34AB Ultra Silver",1,"")</f>
        <v/>
      </c>
      <c r="AGM14" s="122" t="str">
        <f>IF(Guillotine!F21="SP34AB Woodland Grey(Green Tone)",1,"")</f>
        <v/>
      </c>
      <c r="AGN14" s="122" t="str">
        <f>IF(Guillotine!F21="SP34AB Pearl White",1,"")</f>
        <v/>
      </c>
      <c r="AGO14" s="122" t="str">
        <f>IF(Guillotine!F21="SP34AB Monument",1,"")</f>
        <v/>
      </c>
      <c r="AGP14" s="122" t="str">
        <f>IF(Guillotine!F21="SP34AB Surfmist",1,"")</f>
        <v/>
      </c>
      <c r="AGQ14" s="122" t="str">
        <f>IF(Guillotine!F21="SP34AB Dune",1,"")</f>
        <v/>
      </c>
      <c r="AGR14" s="122" t="str">
        <f>IF(Guillotine!F21="SP34AB Powdercoat",1,"")</f>
        <v/>
      </c>
      <c r="AGS14" s="122" t="str">
        <f>IF(Guillotine!F21="SP37AB Apo Grey",1,"")</f>
        <v/>
      </c>
      <c r="AGT14" s="122" t="str">
        <f>IF(Guillotine!F21="SP37AB White Birch",1,"")</f>
        <v/>
      </c>
      <c r="AGU14" s="122" t="str">
        <f>IF(Guillotine!F21="SP37AB Black",1,"")</f>
        <v/>
      </c>
      <c r="AGV14" s="122" t="str">
        <f>IF(Guillotine!F21="SP37AB Brown",1,"")</f>
        <v/>
      </c>
      <c r="AGW14" s="122" t="str">
        <f>IF(Guillotine!F21="SP37AB Deep Ocean",1,"")</f>
        <v/>
      </c>
      <c r="AGX14" s="122" t="str">
        <f>IF(Guillotine!F21="SP37AB Jasper",1,"")</f>
        <v/>
      </c>
      <c r="AGY14" s="122" t="str">
        <f>IF(Guillotine!F21="SP37AB Paperbark",1,"")</f>
        <v/>
      </c>
      <c r="AGZ14" s="122" t="str">
        <f>IF(Guillotine!F21="SP37AB Mist Green",1,"")</f>
        <v/>
      </c>
      <c r="AHA14" s="122" t="str">
        <f>IF(Guillotine!F21="SP37AB Primrose",1,"")</f>
        <v/>
      </c>
      <c r="AHB14" s="122" t="str">
        <f>IF(Guillotine!F21="SP37AB Ultra Silver",1,"")</f>
        <v/>
      </c>
      <c r="AHC14" s="122" t="str">
        <f>IF(Guillotine!F21="SP37AB Woodland Grey(Green Tone)",1,"")</f>
        <v/>
      </c>
      <c r="AHD14" s="122" t="str">
        <f>IF(Guillotine!F21="SP37AB Pearl White",1,"")</f>
        <v/>
      </c>
      <c r="AHE14" s="122" t="str">
        <f>IF(Guillotine!F21="SP37AB Monument",1,"")</f>
        <v/>
      </c>
      <c r="AHF14" s="122" t="str">
        <f>IF(Guillotine!F21="SP37AB Surfmist",1,"")</f>
        <v/>
      </c>
      <c r="AHG14" s="122" t="str">
        <f>IF(Guillotine!F21="SP37AB Dune",1,"")</f>
        <v/>
      </c>
      <c r="AHH14" s="122" t="str">
        <f>IF(Guillotine!F21="SP37AB Powdercoat",1,"")</f>
        <v/>
      </c>
      <c r="AHI14" s="122" t="str">
        <f>IF(Guillotine!F21="SP52 Apo Grey",1,"")</f>
        <v/>
      </c>
      <c r="AHJ14" s="122" t="str">
        <f>IF(Guillotine!F21="SP52 White Birch",1,"")</f>
        <v/>
      </c>
      <c r="AHK14" s="122" t="str">
        <f>IF(Guillotine!F21="SP52 Black",1,"")</f>
        <v/>
      </c>
      <c r="AHL14" s="122" t="str">
        <f>IF(Guillotine!F21="SP52 Brown",1,"")</f>
        <v/>
      </c>
      <c r="AHM14" s="122" t="str">
        <f>IF(Guillotine!F21="SP52 Deep Ocean",1,"")</f>
        <v/>
      </c>
      <c r="AHN14" s="122" t="str">
        <f>IF(Guillotine!F21="SP52 Jasper",1,"")</f>
        <v/>
      </c>
      <c r="AHO14" s="122" t="str">
        <f>IF(Guillotine!F21="SP52 Paperbark",1,"")</f>
        <v/>
      </c>
      <c r="AHP14" s="122" t="str">
        <f>IF(Guillotine!F21="SP52 Mist Green",1,"")</f>
        <v/>
      </c>
      <c r="AHQ14" s="122" t="str">
        <f>IF(Guillotine!F21="SP52 Primrose",1,"")</f>
        <v/>
      </c>
      <c r="AHR14" s="122" t="str">
        <f>IF(Guillotine!F21="SP52 Ultra Silver",1,"")</f>
        <v/>
      </c>
      <c r="AHS14" s="122" t="str">
        <f>IF(Guillotine!F21="SP52 Woodland Grey(Green Tone)",1,"")</f>
        <v/>
      </c>
      <c r="AHT14" s="122" t="str">
        <f>IF(Guillotine!F21="SP52 Pearl White",1,"")</f>
        <v/>
      </c>
      <c r="AHU14" s="122" t="str">
        <f>IF(Guillotine!F21="SP52 Monument",1,"")</f>
        <v/>
      </c>
      <c r="AHV14" s="122" t="str">
        <f>IF(Guillotine!F21="SP52 Surfmist",1,"")</f>
        <v/>
      </c>
      <c r="AHW14" s="122" t="str">
        <f>IF(Guillotine!F21="SP52 Dune",1,"")</f>
        <v/>
      </c>
      <c r="AHX14" s="122" t="str">
        <f>IF(Guillotine!F21="SP52 Powdercoat",1,"")</f>
        <v/>
      </c>
      <c r="AHY14" s="122" t="str">
        <f>IF(Guillotine!F21="SP53 Apo Grey",1,"")</f>
        <v/>
      </c>
      <c r="AHZ14" s="122" t="str">
        <f>IF(Guillotine!F21="SP53 White Birch",1,"")</f>
        <v/>
      </c>
      <c r="AIA14" s="122" t="str">
        <f>IF(Guillotine!F21="SP53 Black",1,"")</f>
        <v/>
      </c>
      <c r="AIB14" s="122" t="str">
        <f>IF(Guillotine!F21="SP53 Brown",1,"")</f>
        <v/>
      </c>
      <c r="AIC14" s="122" t="str">
        <f>IF(Guillotine!F21="SP53 Deep Ocean",1,"")</f>
        <v/>
      </c>
      <c r="AID14" s="122" t="str">
        <f>IF(Guillotine!F21="SP53 Jasper",1,"")</f>
        <v/>
      </c>
      <c r="AIE14" s="122" t="str">
        <f>IF(Guillotine!F21="SP53 Paperbark",1,"")</f>
        <v/>
      </c>
      <c r="AIF14" s="122" t="str">
        <f>IF(Guillotine!F21="SP53 Mist Green",1,"")</f>
        <v/>
      </c>
      <c r="AIG14" s="122" t="str">
        <f>IF(Guillotine!F21="SP53 Primrose",1,"")</f>
        <v/>
      </c>
      <c r="AIH14" s="122" t="str">
        <f>IF(Guillotine!F21="SP53 Ultra Silver",1,"")</f>
        <v/>
      </c>
      <c r="AII14" s="122" t="str">
        <f>IF(Guillotine!F21="SP53 Woodland Grey(Green Tone)",1,"")</f>
        <v/>
      </c>
      <c r="AIJ14" s="122" t="str">
        <f>IF(Guillotine!F21="SP53 Pearl White",1,"")</f>
        <v/>
      </c>
      <c r="AIK14" s="122" t="str">
        <f>IF(Guillotine!F21="SP53 Monument",1,"")</f>
        <v/>
      </c>
      <c r="AIL14" s="122" t="str">
        <f>IF(Guillotine!F21="SP53 Surfmist",1,"")</f>
        <v/>
      </c>
      <c r="AIM14" s="122" t="str">
        <f>IF(Guillotine!F21="SP53 Dune",1,"")</f>
        <v/>
      </c>
      <c r="AIN14" s="122" t="str">
        <f>IF(Guillotine!F21="SP53 Powdercoat",1,"")</f>
        <v/>
      </c>
      <c r="AIO14" s="122" t="str">
        <f>IF(Guillotine!F21="SP55 Apo Grey",1,"")</f>
        <v/>
      </c>
      <c r="AIP14" s="122" t="str">
        <f>IF(Guillotine!F21="SP55 White Birch",1,"")</f>
        <v/>
      </c>
      <c r="AIQ14" s="122" t="str">
        <f>IF(Guillotine!F21="SP55 Black",1,"")</f>
        <v/>
      </c>
      <c r="AIR14" s="122" t="str">
        <f>IF(Guillotine!F21="SP55 Brown",1,"")</f>
        <v/>
      </c>
      <c r="AIS14" s="122" t="str">
        <f>IF(Guillotine!F21="SP55 Deep Ocean",1,"")</f>
        <v/>
      </c>
      <c r="AIT14" s="122" t="str">
        <f>IF(Guillotine!F21="SP55 Jasper",1,"")</f>
        <v/>
      </c>
      <c r="AIU14" s="122" t="str">
        <f>IF(Guillotine!F21="SP55 Paperbark",1,"")</f>
        <v/>
      </c>
      <c r="AIV14" s="122" t="str">
        <f>IF(Guillotine!F21="SP55 Mist Green",1,"")</f>
        <v/>
      </c>
      <c r="AIW14" s="122" t="str">
        <f>IF(Guillotine!F21="SP55 Primrose",1,"")</f>
        <v/>
      </c>
      <c r="AIX14" s="122" t="str">
        <f>IF(Guillotine!F21="SP55 Ultra Silver",1,"")</f>
        <v/>
      </c>
      <c r="AIY14" s="122" t="str">
        <f>IF(Guillotine!F21="SP55 Woodland Grey(Green Tone)",1,"")</f>
        <v/>
      </c>
      <c r="AIZ14" s="122" t="str">
        <f>IF(Guillotine!F21="SP55 Pearl White",1,"")</f>
        <v/>
      </c>
      <c r="AJA14" s="122" t="str">
        <f>IF(Guillotine!F21="SP55 Monument",1,"")</f>
        <v/>
      </c>
      <c r="AJB14" s="122" t="str">
        <f>IF(Guillotine!F21="SP55 Surfmist",1,"")</f>
        <v/>
      </c>
      <c r="AJC14" s="122" t="str">
        <f>IF(Guillotine!F21="SP55 Dune",1,"")</f>
        <v/>
      </c>
      <c r="AJD14" s="122" t="str">
        <f>IF(Guillotine!F21="SP55 Powdercoat",1,"")</f>
        <v/>
      </c>
      <c r="AJE14" s="122" t="str">
        <f>IF(Guillotine!F21="SP56 Apo Grey",1,"")</f>
        <v/>
      </c>
      <c r="AJF14" s="122" t="str">
        <f>IF(Guillotine!F21="SP56 White Birch",1,"")</f>
        <v/>
      </c>
      <c r="AJG14" s="122" t="str">
        <f>IF(Guillotine!F21="SP56 Black",1,"")</f>
        <v/>
      </c>
      <c r="AJH14" s="122" t="str">
        <f>IF(Guillotine!F21="SP56 Brown",1,"")</f>
        <v/>
      </c>
      <c r="AJI14" s="122" t="str">
        <f>IF(Guillotine!F21="SP56 Deep Ocean",1,"")</f>
        <v/>
      </c>
      <c r="AJJ14" s="122" t="str">
        <f>IF(Guillotine!F21="SP56 Jasper",1,"")</f>
        <v/>
      </c>
      <c r="AJK14" s="122" t="str">
        <f>IF(Guillotine!F21="SP56 Paperbark",1,"")</f>
        <v/>
      </c>
      <c r="AJL14" s="122" t="str">
        <f>IF(Guillotine!F21="SP56 Mist Green",1,"")</f>
        <v/>
      </c>
      <c r="AJM14" s="122" t="str">
        <f>IF(Guillotine!F21="SP56 Primrose",1,"")</f>
        <v/>
      </c>
      <c r="AJN14" s="122" t="str">
        <f>IF(Guillotine!F21="SP56 Ultra Silver",1,"")</f>
        <v/>
      </c>
      <c r="AJO14" s="122" t="str">
        <f>IF(Guillotine!F21="SP56 Woodland Grey(Green Tone)",1,"")</f>
        <v/>
      </c>
      <c r="AJP14" s="122" t="str">
        <f>IF(Guillotine!F21="SP56 Pearl White",1,"")</f>
        <v/>
      </c>
      <c r="AJQ14" s="122" t="str">
        <f>IF(Guillotine!F21="SP56 Monument",1,"")</f>
        <v/>
      </c>
      <c r="AJR14" s="122" t="str">
        <f>IF(Guillotine!F21="SP56 Surfmist",1,"")</f>
        <v/>
      </c>
      <c r="AJS14" s="122" t="str">
        <f>IF(Guillotine!F21="SP56 Dune",1,"")</f>
        <v/>
      </c>
      <c r="AJT14" s="122" t="str">
        <f>IF(Guillotine!F21="SP56 Powdercoat",1,"")</f>
        <v/>
      </c>
      <c r="AJU14" s="122" t="str">
        <f>IF(Guillotine!F21="SP65 Apo Grey",1,"")</f>
        <v/>
      </c>
      <c r="AJV14" s="122" t="str">
        <f>IF(Guillotine!F21="SP65 White Birch",1,"")</f>
        <v/>
      </c>
      <c r="AJW14" s="122" t="str">
        <f>IF(Guillotine!F21="SP65 Black",1,"")</f>
        <v/>
      </c>
      <c r="AJX14" s="122" t="str">
        <f>IF(Guillotine!F21="SP65 Brown",1,"")</f>
        <v/>
      </c>
      <c r="AJY14" s="122" t="str">
        <f>IF(Guillotine!F21="SP65 Deep Ocean",1,"")</f>
        <v/>
      </c>
      <c r="AJZ14" s="122" t="str">
        <f>IF(Guillotine!F21="SP65 Jasper",1,"")</f>
        <v/>
      </c>
      <c r="AKA14" s="122" t="str">
        <f>IF(Guillotine!F21="SP65 Paperbark",1,"")</f>
        <v/>
      </c>
      <c r="AKB14" s="122" t="str">
        <f>IF(Guillotine!F21="SP65 Mist Green",1,"")</f>
        <v/>
      </c>
      <c r="AKC14" s="122" t="str">
        <f>IF(Guillotine!F21="SP65 Primrose",1,"")</f>
        <v/>
      </c>
      <c r="AKD14" s="122" t="str">
        <f>IF(Guillotine!F21="SP65 Ultra Silver",1,"")</f>
        <v/>
      </c>
      <c r="AKE14" s="122" t="str">
        <f>IF(Guillotine!F21="SP65 Woodland Grey(Green Tone)",1,"")</f>
        <v/>
      </c>
      <c r="AKF14" s="122" t="str">
        <f>IF(Guillotine!F21="SP65 Pearl White",1,"")</f>
        <v/>
      </c>
      <c r="AKG14" s="122" t="str">
        <f>IF(Guillotine!F21="SP65 Monument",1,"")</f>
        <v/>
      </c>
      <c r="AKH14" s="122" t="str">
        <f>IF(Guillotine!F21="SP65 Surfmist",1,"")</f>
        <v/>
      </c>
      <c r="AKI14" s="122" t="str">
        <f>IF(Guillotine!F21="SP65 Dune",1,"")</f>
        <v/>
      </c>
      <c r="AKJ14" s="122" t="str">
        <f>IF(Guillotine!F21="SP65 Powdercoat",1,"")</f>
        <v/>
      </c>
      <c r="AKK14" s="122" t="str">
        <f>IF(Guillotine!F21="SP72 Apo Grey",1,"")</f>
        <v/>
      </c>
      <c r="AKL14" s="122" t="str">
        <f>IF(Guillotine!F21="SP72 White Birch",1,"")</f>
        <v/>
      </c>
      <c r="AKM14" s="122" t="str">
        <f>IF(Guillotine!F21="SP72 Black",1,"")</f>
        <v/>
      </c>
      <c r="AKN14" s="122" t="str">
        <f>IF(Guillotine!F21="SP72 Brown",1,"")</f>
        <v/>
      </c>
      <c r="AKO14" s="122" t="str">
        <f>IF(Guillotine!F21="SP72 Deep Ocean",1,"")</f>
        <v/>
      </c>
      <c r="AKP14" s="122" t="str">
        <f>IF(Guillotine!F21="SP72 Jasper",1,"")</f>
        <v/>
      </c>
      <c r="AKQ14" s="122" t="str">
        <f>IF(Guillotine!F21="SP72 Paperbark",1,"")</f>
        <v/>
      </c>
      <c r="AKR14" s="122" t="str">
        <f>IF(Guillotine!F21="SP72 Mist Green",1,"")</f>
        <v/>
      </c>
      <c r="AKS14" s="122" t="str">
        <f>IF(Guillotine!F21="SP72 Primrose",1,"")</f>
        <v/>
      </c>
      <c r="AKT14" s="122" t="str">
        <f>IF(Guillotine!F21="SP72 Ultra Silver",1,"")</f>
        <v/>
      </c>
      <c r="AKU14" s="122" t="str">
        <f>IF(Guillotine!F21="SP72 Woodland Grey(Green Tone)",1,"")</f>
        <v/>
      </c>
      <c r="AKV14" s="122" t="str">
        <f>IF(Guillotine!F21="SP72 Pearl White",1,"")</f>
        <v/>
      </c>
      <c r="AKW14" s="122" t="str">
        <f>IF(Guillotine!F21="SP72 Monument",1,"")</f>
        <v/>
      </c>
      <c r="AKX14" s="122" t="str">
        <f>IF(Guillotine!F21="SP72 Surfmist",1,"")</f>
        <v/>
      </c>
      <c r="AKY14" s="122" t="str">
        <f>IF(Guillotine!F21="SP72 Dune",1,"")</f>
        <v/>
      </c>
      <c r="AKZ14" s="122" t="str">
        <f>IF(Guillotine!F21="SP72 Powdercoat",1,"")</f>
        <v/>
      </c>
      <c r="ALA14" s="122" t="str">
        <f>IF(Guillotine!F21="SP74 Apo Grey",1,"")</f>
        <v/>
      </c>
      <c r="ALB14" s="122" t="str">
        <f>IF(Guillotine!F21="SP74 White Birch",1,"")</f>
        <v/>
      </c>
      <c r="ALC14" s="122" t="str">
        <f>IF(Guillotine!F21="SP74 Black",1,"")</f>
        <v/>
      </c>
      <c r="ALD14" s="122" t="str">
        <f>IF(Guillotine!F21="SP74 Brown",1,"")</f>
        <v/>
      </c>
      <c r="ALE14" s="122" t="str">
        <f>IF(Guillotine!F21="SP74 Deep Ocean",1,"")</f>
        <v/>
      </c>
      <c r="ALF14" s="122" t="str">
        <f>IF(Guillotine!F21="SP74 Jasper",1,"")</f>
        <v/>
      </c>
      <c r="ALG14" s="122" t="str">
        <f>IF(Guillotine!F21="SP74 Paperbark",1,"")</f>
        <v/>
      </c>
      <c r="ALH14" s="122" t="str">
        <f>IF(Guillotine!F21="SP74 Mist Green",1,"")</f>
        <v/>
      </c>
      <c r="ALI14" s="122" t="str">
        <f>IF(Guillotine!F21="SP74 Primrose",1,"")</f>
        <v/>
      </c>
      <c r="ALJ14" s="122" t="str">
        <f>IF(Guillotine!F21="SP74 Ultra Silver",1,"")</f>
        <v/>
      </c>
      <c r="ALK14" s="122" t="str">
        <f>IF(Guillotine!F21="SP74 Woodland Grey(Green Tone)",1,"")</f>
        <v/>
      </c>
      <c r="ALL14" s="122" t="str">
        <f>IF(Guillotine!F21="SP74 Pearl White",1,"")</f>
        <v/>
      </c>
      <c r="ALM14" s="122" t="str">
        <f>IF(Guillotine!F21="SP74 Monument",1,"")</f>
        <v/>
      </c>
      <c r="ALN14" s="122" t="str">
        <f>IF(Guillotine!F21="SP74 Surfmist",1,"")</f>
        <v/>
      </c>
      <c r="ALO14" s="122" t="str">
        <f>IF(Guillotine!F21="SP74 Dune",1,"")</f>
        <v/>
      </c>
      <c r="ALP14" s="122" t="str">
        <f>IF(Guillotine!F21="SP74 Powdercoat",1,"")</f>
        <v/>
      </c>
      <c r="ALQ14" s="122" t="str">
        <f>IF(Guillotine!F21="SP78 Apo Grey",1,"")</f>
        <v/>
      </c>
      <c r="ALR14" s="122" t="str">
        <f>IF(Guillotine!F21="SP78 White Birch",1,"")</f>
        <v/>
      </c>
      <c r="ALS14" s="122" t="str">
        <f>IF(Guillotine!F21="SP78 Black",1,"")</f>
        <v/>
      </c>
      <c r="ALT14" s="122" t="str">
        <f>IF(Guillotine!F21="SP78 Brown",1,"")</f>
        <v/>
      </c>
      <c r="ALU14" s="122" t="str">
        <f>IF(Guillotine!F21="SP78 Deep Ocean",1,"")</f>
        <v/>
      </c>
      <c r="ALV14" s="122" t="str">
        <f>IF(Guillotine!F21="SP78 Jasper",1,"")</f>
        <v/>
      </c>
      <c r="ALW14" s="122" t="str">
        <f>IF(Guillotine!F21="SP78 Paperbark",1,"")</f>
        <v/>
      </c>
      <c r="ALX14" s="122" t="str">
        <f>IF(Guillotine!F21="SP78 Mist Green",1,"")</f>
        <v/>
      </c>
      <c r="ALY14" s="122" t="str">
        <f>IF(Guillotine!F21="SP78 Primrose",1,"")</f>
        <v/>
      </c>
      <c r="ALZ14" s="122" t="str">
        <f>IF(Guillotine!F21="SP78 Ultra Silver",1,"")</f>
        <v/>
      </c>
      <c r="AMA14" s="122" t="str">
        <f>IF(Guillotine!F21="SP78 Woodland Grey(Green Tone)",1,"")</f>
        <v/>
      </c>
      <c r="AMB14" s="122" t="str">
        <f>IF(Guillotine!F21="SP78 Pearl White",1,"")</f>
        <v/>
      </c>
      <c r="AMC14" s="122" t="str">
        <f>IF(Guillotine!F21="SP78 Monument",1,"")</f>
        <v/>
      </c>
      <c r="AMD14" s="122" t="str">
        <f>IF(Guillotine!F21="SP78 Surfmist",1,"")</f>
        <v/>
      </c>
      <c r="AME14" s="122" t="str">
        <f>IF(Guillotine!F21="SP78 Dune",1,"")</f>
        <v/>
      </c>
      <c r="AMF14" s="122" t="str">
        <f>IF(Guillotine!F21="SP78 Powdercoat",1,"")</f>
        <v/>
      </c>
    </row>
    <row r="15" ht="13.2">
      <c r="YR15" s="73"/>
    </row>
  </sheetData>
  <mergeCells count="74">
    <mergeCell ref="ALA2:ALP2"/>
    <mergeCell ref="AKK2:AKZ2"/>
    <mergeCell ref="AJU2:AKJ2"/>
    <mergeCell ref="ALQ2:AMF2"/>
    <mergeCell ref="D2:I2"/>
    <mergeCell ref="VJ2:VY2"/>
    <mergeCell ref="AHI2:AHX2"/>
    <mergeCell ref="AGS2:AHH2"/>
    <mergeCell ref="AGC2:AGR2"/>
    <mergeCell ref="AJE2:AJT2"/>
    <mergeCell ref="AIO2:AJD2"/>
    <mergeCell ref="AHY2:AIN2"/>
    <mergeCell ref="ACK2:ACZ2"/>
    <mergeCell ref="ACD2:ACJ2"/>
    <mergeCell ref="ADQ2:AEF2"/>
    <mergeCell ref="ADA2:ADP2"/>
    <mergeCell ref="AFM2:AGB2"/>
    <mergeCell ref="AEW2:AFL2"/>
    <mergeCell ref="AEG2:AEV2"/>
    <mergeCell ref="YL2:ZA2"/>
    <mergeCell ref="XV2:YK2"/>
    <mergeCell ref="ABN2:ACC2"/>
    <mergeCell ref="XF2:XU2"/>
    <mergeCell ref="AAX2:ABM2"/>
    <mergeCell ref="ZR2:AAG2"/>
    <mergeCell ref="ZB2:ZQ2"/>
    <mergeCell ref="TN2:UC2"/>
    <mergeCell ref="AAH2:AAW2"/>
    <mergeCell ref="SX2:TM2"/>
    <mergeCell ref="SR2:SW2"/>
    <mergeCell ref="UT2:VI2"/>
    <mergeCell ref="UD2:US2"/>
    <mergeCell ref="WP2:XE2"/>
    <mergeCell ref="VZ2:WO2"/>
    <mergeCell ref="RA2:RD2"/>
    <mergeCell ref="QR2:QZ2"/>
    <mergeCell ref="SF2:SQ2"/>
    <mergeCell ref="RT2:SE2"/>
    <mergeCell ref="RR2:RS2"/>
    <mergeCell ref="RL2:RQ2"/>
    <mergeCell ref="RF2:RK2"/>
    <mergeCell ref="QI2:QQ2"/>
    <mergeCell ref="PZ2:QH2"/>
    <mergeCell ref="PQ2:PY2"/>
    <mergeCell ref="PO2:PP2"/>
    <mergeCell ref="KV2:LK2"/>
    <mergeCell ref="LL2:MA2"/>
    <mergeCell ref="MB2:MQ2"/>
    <mergeCell ref="MR2:NG2"/>
    <mergeCell ref="NH2:NW2"/>
    <mergeCell ref="NX2:OM2"/>
    <mergeCell ref="PJ2:PN2"/>
    <mergeCell ref="PD2:PI2"/>
    <mergeCell ref="OV2:PC2"/>
    <mergeCell ref="OT2:OU2"/>
    <mergeCell ref="ON2:OS2"/>
    <mergeCell ref="KF2:KU2"/>
    <mergeCell ref="DH2:DX2"/>
    <mergeCell ref="DY2:EN2"/>
    <mergeCell ref="EO2:FD2"/>
    <mergeCell ref="FE2:FU2"/>
    <mergeCell ref="FV2:GK2"/>
    <mergeCell ref="GL2:HA2"/>
    <mergeCell ref="HB2:HR2"/>
    <mergeCell ref="HS2:IH2"/>
    <mergeCell ref="II2:IY2"/>
    <mergeCell ref="IZ2:JO2"/>
    <mergeCell ref="JP2:KE2"/>
    <mergeCell ref="CQ2:DG2"/>
    <mergeCell ref="J2:Z2"/>
    <mergeCell ref="AA2:AQ2"/>
    <mergeCell ref="AR2:BH2"/>
    <mergeCell ref="BI2:BY2"/>
    <mergeCell ref="BZ2:CP2"/>
  </mergeCells>
  <pageMargins left="1.05826771653551" right="1.05826771653551" top="0.75" bottom="0.75" header="0.3" footer="0.3"/>
  <pageSetup horizontalDpi="300" verticalDpi="30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abels"/>
  <dimension ref="A1:K20"/>
  <sheetViews>
    <sheetView zoomScale="90" zoomScaleNormal="90" zoomScaleSheetLayoutView="100" workbookViewId="0" topLeftCell="A1">
      <selection pane="topLeft" activeCell="A21" sqref="A21"/>
    </sheetView>
  </sheetViews>
  <sheetFormatPr defaultColWidth="9.44140625" defaultRowHeight="13.5"/>
  <cols>
    <col min="1" max="1" width="30.5714285714286" bestFit="1" customWidth="1"/>
    <col min="2" max="2" width="64.4285714285714" bestFit="1" customWidth="1"/>
    <col min="3" max="3" width="41" bestFit="1" customWidth="1"/>
    <col min="4" max="4" width="45.5714285714286" bestFit="1" customWidth="1"/>
    <col min="5" max="5" width="42.5714285714286" bestFit="1" customWidth="1"/>
    <col min="6" max="6" width="34.5714285714286" bestFit="1" customWidth="1"/>
    <col min="7" max="7" width="34" bestFit="1" customWidth="1"/>
    <col min="8" max="8" width="33.5714285714286" bestFit="1" customWidth="1"/>
    <col min="9" max="9" width="41.5714285714286" bestFit="1" customWidth="1"/>
    <col min="10" max="10" width="10.4285714285714" bestFit="1" customWidth="1"/>
    <col min="11" max="11" width="11.4285714285714" bestFit="1" customWidth="1"/>
  </cols>
  <sheetData>
    <row r="1" spans="1:6" ht="13.2">
      <c r="A1">
        <v>1</v>
      </c>
      <c r="C1" s="30"/>
      <c r="D1" s="34"/>
      <c r="E1" s="30"/>
      <c r="F1" s="30"/>
    </row>
    <row r="2" spans="1:4" ht="13.2">
      <c r="A2">
        <v>2</v>
      </c>
      <c r="B2" s="35"/>
      <c r="C2" s="30"/>
      <c r="D2" s="34"/>
    </row>
    <row r="3" spans="1:4" ht="13.2">
      <c r="A3">
        <v>3</v>
      </c>
      <c r="C3" s="30"/>
      <c r="D3" s="30"/>
    </row>
    <row r="4" ht="13.2">
      <c r="A4">
        <v>4</v>
      </c>
    </row>
    <row r="5" ht="13.2">
      <c r="A5">
        <v>5</v>
      </c>
    </row>
    <row r="6" ht="13.2">
      <c r="A6">
        <v>6</v>
      </c>
    </row>
    <row r="7" ht="13.2">
      <c r="A7">
        <v>7</v>
      </c>
    </row>
    <row r="8" ht="13.2">
      <c r="A8">
        <v>8</v>
      </c>
    </row>
    <row r="9" ht="13.2">
      <c r="A9" t="s">
        <v>134</v>
      </c>
    </row>
    <row r="10" spans="1:11" ht="13.2">
      <c r="A10" t="s">
        <v>114</v>
      </c>
      <c r="B10" t="s">
        <v>115</v>
      </c>
      <c r="C10" t="s">
        <v>116</v>
      </c>
      <c r="D10" t="s">
        <v>117</v>
      </c>
      <c r="E10" t="s">
        <v>118</v>
      </c>
      <c r="F10" t="s">
        <v>135</v>
      </c>
      <c r="G10" t="s">
        <v>119</v>
      </c>
      <c r="H10" t="s">
        <v>120</v>
      </c>
      <c r="I10" t="s">
        <v>121</v>
      </c>
      <c r="J10" t="s">
        <v>122</v>
      </c>
      <c r="K10" t="s">
        <v>123</v>
      </c>
    </row>
    <row r="11" spans="1:11" ht="13.35" customHeight="1">
      <c r="A11" t="str">
        <f>IF(OR(Data!$AV11="",Data!$AW11&gt;999),"","^XA^LH0,0^PRB,D^MD20^JMA^FS")</f>
        <v>^XA^LH0,0^PRB,D^MD20^JMA^FS</v>
      </c>
      <c r="B11" t="str">
        <f t="array" ref="B11">IF(A11&lt;&gt;"","^BY2,2.7,13^FO506,20^B2N,132,Y,N,N^SN"&amp;BarcodeValue(Data!BC$5,Data!BD$5,Data!AW11,0)&amp;",N,Y^FS","")</f>
        <v>^BY2,2.7,13^FO506,20^B2N,132,Y,N,N^SN0012201650010004,N,Y^FS</v>
      </c>
      <c r="C11" t="str">
        <f>IF(A11&lt;&gt;"","^FO20,20^A0N,28,37^CI13^FD"&amp;TEXT(Data!AY$5,"d/m/yyyy")&amp;"^FS","")</f>
        <v>^FO20,20^A0N,28,37^CI13^FD26/8/2026^FS</v>
      </c>
      <c r="D11" t="str">
        <f>IF(A11&lt;&gt;"","^FO220,20^A0N,41,48^CI13^FD"&amp;Data!$BC$5&amp;Data!$BD$5&amp;"/"&amp;RIGHT("000"&amp;Data!AW11,3)&amp;"^FS","")</f>
        <v>^FO220,20^A0N,41,48^CI13^FD12201A/001^FS</v>
      </c>
      <c r="E11" t="str">
        <f>IF(A11&lt;&gt;"","^FO20,55^A0N,30,30^CI13^FD"&amp;Data!$BF$5&amp;"^FS","")</f>
        <v>^FO20,55^A0N,30,30^CI13^FDLeurs, Nigel^FS</v>
      </c>
      <c r="F11" t="str">
        <f>IF(A11&lt;&gt;"","^FO20,95^A0N,30,30^CI13^FD"&amp;Data!AX$5&amp;"^FS","")</f>
        <v>^FO20,95^A0N,30,30^CI13^FDBarrier Doors ^FS</v>
      </c>
      <c r="G11" t="str">
        <f>IF(A11&lt;&gt;"","^FO20,135^A0N,30,30^CI13^FD"&amp;Data!BE11&amp;"^FS","")</f>
        <v>^FO20,135^A0N,30,30^CI13^FDSECD Barrier Door Alu-Gard Perforated Aluminium Paperbark^FS</v>
      </c>
      <c r="H11" t="str">
        <f>IF(A11&lt;&gt;"","^FO20,175^A0N,30,30^CI13^FD"&amp;Data!AY11&amp;"^FS","")</f>
        <v>^FO20,175^A0N,30,30^CI13^FDRumpus^FS</v>
      </c>
      <c r="I11" t="str">
        <f>IF(A11&lt;&gt;"","^FO300,175^A0N,30,30^CI13^FD"&amp;"W:"&amp;Data!BA11&amp;" H:"&amp;Data!BB11,"")</f>
        <v>^FO300,175^A0N,30,30^CI13^FDW:940 H:2046</v>
      </c>
      <c r="J11" t="str">
        <f>IF(A11&lt;&gt;"","^PQ"&amp;Data!$F$19&amp;",0,"&amp;Data!$F$19&amp;",Y","")</f>
        <v>^PQ0,0,0,Y</v>
      </c>
      <c r="K11" t="str">
        <f t="shared" si="0" ref="K11:K20">IF(A11&lt;&gt;"","^XZ","")</f>
        <v>^XZ</v>
      </c>
    </row>
    <row r="12" spans="1:11" ht="13.35" customHeight="1">
      <c r="A12" t="str">
        <f>IF(OR(Data!$AV12="",Data!$AW12&gt;999),"","^XA^LH0,0^PRB,D^MD20^JMA^FS")</f>
        <v>^XA^LH0,0^PRB,D^MD20^JMA^FS</v>
      </c>
      <c r="B12" t="str">
        <f t="array" ref="B12">IF(A12&lt;&gt;"","^BY2,2.7,13^FO506,20^B2N,132,Y,N,N^SN"&amp;BarcodeValue(Data!BC$5,Data!BD$5,Data!AW12,0)&amp;",N,Y^FS","")</f>
        <v>^BY2,2.7,13^FO506,20^B2N,132,Y,N,N^SN0012201650020003,N,Y^FS</v>
      </c>
      <c r="C12" t="str">
        <f>IF(A12&lt;&gt;"","^FO20,20^A0N,28,37^CI13^FD"&amp;TEXT(Data!AY$5,"d/m/yyyy")&amp;"^FS","")</f>
        <v>^FO20,20^A0N,28,37^CI13^FD26/8/2026^FS</v>
      </c>
      <c r="D12" t="str">
        <f>IF(A12&lt;&gt;"","^FO220,20^A0N,41,48^CI13^FD"&amp;Data!$BC$5&amp;Data!$BD$5&amp;"/"&amp;RIGHT("000"&amp;Data!AW12,3)&amp;"^FS","")</f>
        <v>^FO220,20^A0N,41,48^CI13^FD12201A/002^FS</v>
      </c>
      <c r="E12" t="str">
        <f>IF(A12&lt;&gt;"","^FO20,55^A0N,30,30^CI13^FD"&amp;Data!$BF$5&amp;"^FS","")</f>
        <v>^FO20,55^A0N,30,30^CI13^FDLeurs, Nigel^FS</v>
      </c>
      <c r="F12" t="str">
        <f>IF(A12&lt;&gt;"","^FO20,95^A0N,30,30^CI13^FD"&amp;Data!AX$5&amp;"^FS","")</f>
        <v>^FO20,95^A0N,30,30^CI13^FDBarrier Doors ^FS</v>
      </c>
      <c r="G12" t="str">
        <f>IF(A12&lt;&gt;"","^FO20,135^A0N,30,30^CI13^FD"&amp;Data!BE12&amp;"^FS","")</f>
        <v>^FO20,135^A0N,30,30^CI13^FDSECD Barrier Door Alu-Gard Perforated Aluminium Paperbark^FS</v>
      </c>
      <c r="H12" t="str">
        <f>IF(A12&lt;&gt;"","^FO20,175^A0N,30,30^CI13^FD"&amp;Data!AY12&amp;"^FS","")</f>
        <v>^FO20,175^A0N,30,30^CI13^FDLaundry^FS</v>
      </c>
      <c r="I12" t="str">
        <f>IF(A12&lt;&gt;"","^FO300,175^A0N,30,30^CI13^FD"&amp;"W:"&amp;Data!BA12&amp;" H:"&amp;Data!BB12,"")</f>
        <v>^FO300,175^A0N,30,30^CI13^FDW:821 H:2054</v>
      </c>
      <c r="J12" t="str">
        <f>IF(A12&lt;&gt;"","^PQ"&amp;Data!$F$19&amp;",0,"&amp;Data!$F$19&amp;",Y","")</f>
        <v>^PQ0,0,0,Y</v>
      </c>
      <c r="K12" t="str">
        <f t="shared" si="0"/>
        <v>^XZ</v>
      </c>
    </row>
    <row r="13" spans="1:11" ht="13.35" customHeight="1">
      <c r="A13" t="str">
        <f>IF(OR(Data!$AV13="",Data!$AW13&gt;999),"","^XA^LH0,0^PRB,D^MD20^JMA^FS")</f>
        <v>^XA^LH0,0^PRB,D^MD20^JMA^FS</v>
      </c>
      <c r="B13" t="str">
        <f t="array" ref="B13">IF(A13&lt;&gt;"","^BY2,2.7,13^FO506,20^B2N,132,Y,N,N^SN"&amp;BarcodeValue(Data!BC$5,Data!BD$5,Data!AW13,0)&amp;",N,Y^FS","")</f>
        <v>^BY2,2.7,13^FO506,20^B2N,132,Y,N,N^SN0012201650030002,N,Y^FS</v>
      </c>
      <c r="C13" t="str">
        <f>IF(A13&lt;&gt;"","^FO20,20^A0N,28,37^CI13^FD"&amp;TEXT(Data!AY$5,"d/m/yyyy")&amp;"^FS","")</f>
        <v>^FO20,20^A0N,28,37^CI13^FD26/8/2026^FS</v>
      </c>
      <c r="D13" t="str">
        <f>IF(A13&lt;&gt;"","^FO220,20^A0N,41,48^CI13^FD"&amp;Data!$BC$5&amp;Data!$BD$5&amp;"/"&amp;RIGHT("000"&amp;Data!AW13,3)&amp;"^FS","")</f>
        <v>^FO220,20^A0N,41,48^CI13^FD12201A/003^FS</v>
      </c>
      <c r="E13" t="str">
        <f>IF(A13&lt;&gt;"","^FO20,55^A0N,30,30^CI13^FD"&amp;Data!$BF$5&amp;"^FS","")</f>
        <v>^FO20,55^A0N,30,30^CI13^FDLeurs, Nigel^FS</v>
      </c>
      <c r="F13" t="str">
        <f>IF(A13&lt;&gt;"","^FO20,95^A0N,30,30^CI13^FD"&amp;Data!AX$5&amp;"^FS","")</f>
        <v>^FO20,95^A0N,30,30^CI13^FDBarrier Doors ^FS</v>
      </c>
      <c r="G13" t="str">
        <f>IF(A13&lt;&gt;"","^FO20,135^A0N,30,30^CI13^FD"&amp;Data!BE13&amp;"^FS","")</f>
        <v>^FO20,135^A0N,30,30^CI13^FDSECD Barrier Door Alu-Gard Perforated Aluminium Paperbark^FS</v>
      </c>
      <c r="H13" t="str">
        <f>IF(A13&lt;&gt;"","^FO20,175^A0N,30,30^CI13^FD"&amp;Data!AY13&amp;"^FS","")</f>
        <v>^FO20,175^A0N,30,30^CI13^FDKitchen^FS</v>
      </c>
      <c r="I13" t="str">
        <f>IF(A13&lt;&gt;"","^FO300,175^A0N,30,30^CI13^FD"&amp;"W:"&amp;Data!BA13&amp;" H:"&amp;Data!BB13,"")</f>
        <v>^FO300,175^A0N,30,30^CI13^FDW:908 H:2078</v>
      </c>
      <c r="J13" t="str">
        <f>IF(A13&lt;&gt;"","^PQ"&amp;Data!$F$19&amp;",0,"&amp;Data!$F$19&amp;",Y","")</f>
        <v>^PQ0,0,0,Y</v>
      </c>
      <c r="K13" t="str">
        <f t="shared" si="0"/>
        <v>^XZ</v>
      </c>
    </row>
    <row r="14" spans="1:11" ht="13.35" customHeight="1">
      <c r="A14" t="str">
        <f>IF(OR(Data!$AV14="",Data!$AW14&gt;999),"","^XA^LH0,0^PRB,D^MD20^JMA^FS")</f>
        <v/>
      </c>
      <c r="B14" t="str">
        <f t="array" ref="B14">IF(A14&lt;&gt;"","^BY2,2.7,13^FO506,20^B2N,132,Y,N,N^SN"&amp;BarcodeValue(Data!BC$5,Data!BD$5,Data!AW14,0)&amp;",N,Y^FS","")</f>
        <v/>
      </c>
      <c r="C14" t="str">
        <f>IF(A14&lt;&gt;"","^FO20,20^A0N,28,37^CI13^FD"&amp;TEXT(Data!AY$5,"d/m/yyyy")&amp;"^FS","")</f>
        <v/>
      </c>
      <c r="D14" t="str">
        <f>IF(A14&lt;&gt;"","^FO220,20^A0N,41,48^CI13^FD"&amp;Data!$BC$5&amp;Data!$BD$5&amp;"/"&amp;RIGHT("000"&amp;Data!AW14,3)&amp;"^FS","")</f>
        <v/>
      </c>
      <c r="E14" t="str">
        <f>IF(A14&lt;&gt;"","^FO20,55^A0N,30,30^CI13^FD"&amp;Data!$BF$5&amp;"^FS","")</f>
        <v/>
      </c>
      <c r="F14" t="str">
        <f>IF(A14&lt;&gt;"","^FO20,95^A0N,30,30^CI13^FD"&amp;Data!AX$5&amp;"^FS","")</f>
        <v/>
      </c>
      <c r="G14" t="str">
        <f>IF(A14&lt;&gt;"","^FO20,135^A0N,30,30^CI13^FD"&amp;Data!BE14&amp;"^FS","")</f>
        <v/>
      </c>
      <c r="H14" t="str">
        <f>IF(A14&lt;&gt;"","^FO20,175^A0N,30,30^CI13^FD"&amp;Data!AY14&amp;"^FS","")</f>
        <v/>
      </c>
      <c r="I14" t="str">
        <f>IF(A14&lt;&gt;"","^FO300,175^A0N,30,30^CI13^FD"&amp;"W:"&amp;Data!BA14&amp;" H:"&amp;Data!BB14,"")</f>
        <v/>
      </c>
      <c r="J14" t="str">
        <f>IF(A14&lt;&gt;"","^PQ"&amp;Data!$F$19&amp;",0,"&amp;Data!$F$19&amp;",Y","")</f>
        <v/>
      </c>
      <c r="K14" t="str">
        <f t="shared" si="0"/>
        <v/>
      </c>
    </row>
    <row r="15" spans="1:11" ht="13.35" customHeight="1">
      <c r="A15" t="str">
        <f>IF(OR(Data!$AV15="",Data!$AW15&gt;999),"","^XA^LH0,0^PRB,D^MD20^JMA^FS")</f>
        <v/>
      </c>
      <c r="B15" t="str">
        <f t="array" ref="B15">IF(A15&lt;&gt;"","^BY2,2.7,13^FO506,20^B2N,132,Y,N,N^SN"&amp;BarcodeValue(Data!BC$5,Data!BD$5,Data!AW15,0)&amp;",N,Y^FS","")</f>
        <v/>
      </c>
      <c r="C15" t="str">
        <f>IF(A15&lt;&gt;"","^FO20,20^A0N,28,37^CI13^FD"&amp;TEXT(Data!AY$5,"d/m/yyyy")&amp;"^FS","")</f>
        <v/>
      </c>
      <c r="D15" t="str">
        <f>IF(A15&lt;&gt;"","^FO220,20^A0N,41,48^CI13^FD"&amp;Data!$BC$5&amp;Data!$BD$5&amp;"/"&amp;RIGHT("000"&amp;Data!AW15,3)&amp;"^FS","")</f>
        <v/>
      </c>
      <c r="E15" t="str">
        <f>IF(A15&lt;&gt;"","^FO20,55^A0N,30,30^CI13^FD"&amp;Data!$BF$5&amp;"^FS","")</f>
        <v/>
      </c>
      <c r="F15" t="str">
        <f>IF(A15&lt;&gt;"","^FO20,95^A0N,30,30^CI13^FD"&amp;Data!AX$5&amp;"^FS","")</f>
        <v/>
      </c>
      <c r="G15" t="str">
        <f>IF(A15&lt;&gt;"","^FO20,135^A0N,30,30^CI13^FD"&amp;Data!BE15&amp;"^FS","")</f>
        <v/>
      </c>
      <c r="H15" t="str">
        <f>IF(A15&lt;&gt;"","^FO20,175^A0N,30,30^CI13^FD"&amp;Data!AY15&amp;"^FS","")</f>
        <v/>
      </c>
      <c r="I15" t="str">
        <f>IF(A15&lt;&gt;"","^FO300,175^A0N,30,30^CI13^FD"&amp;"W:"&amp;Data!BA15&amp;" H:"&amp;Data!BB15,"")</f>
        <v/>
      </c>
      <c r="J15" t="str">
        <f>IF(A15&lt;&gt;"","^PQ"&amp;Data!$F$19&amp;",0,"&amp;Data!$F$19&amp;",Y","")</f>
        <v/>
      </c>
      <c r="K15" t="str">
        <f t="shared" si="0"/>
        <v/>
      </c>
    </row>
    <row r="16" spans="1:11" ht="13.35" customHeight="1">
      <c r="A16" t="str">
        <f>IF(OR(Data!$AV16="",Data!$AW16&gt;999),"","^XA^LH0,0^PRB,D^MD20^JMA^FS")</f>
        <v/>
      </c>
      <c r="B16" t="str">
        <f t="array" ref="B16">IF(A16&lt;&gt;"","^BY2,2.7,13^FO506,20^B2N,132,Y,N,N^SN"&amp;BarcodeValue(Data!BC$5,Data!BD$5,Data!AW16,0)&amp;",N,Y^FS","")</f>
        <v/>
      </c>
      <c r="C16" t="str">
        <f>IF(A16&lt;&gt;"","^FO20,20^A0N,28,37^CI13^FD"&amp;TEXT(Data!AY$5,"d/m/yyyy")&amp;"^FS","")</f>
        <v/>
      </c>
      <c r="D16" t="str">
        <f>IF(A16&lt;&gt;"","^FO220,20^A0N,41,48^CI13^FD"&amp;Data!$BC$5&amp;Data!$BD$5&amp;"/"&amp;RIGHT("000"&amp;Data!AW16,3)&amp;"^FS","")</f>
        <v/>
      </c>
      <c r="E16" t="str">
        <f>IF(A16&lt;&gt;"","^FO20,55^A0N,30,30^CI13^FD"&amp;Data!$BF$5&amp;"^FS","")</f>
        <v/>
      </c>
      <c r="F16" t="str">
        <f>IF(A16&lt;&gt;"","^FO20,95^A0N,30,30^CI13^FD"&amp;Data!AX$5&amp;"^FS","")</f>
        <v/>
      </c>
      <c r="G16" t="str">
        <f>IF(A16&lt;&gt;"","^FO20,135^A0N,30,30^CI13^FD"&amp;Data!BE16&amp;"^FS","")</f>
        <v/>
      </c>
      <c r="H16" t="str">
        <f>IF(A16&lt;&gt;"","^FO20,175^A0N,30,30^CI13^FD"&amp;Data!AY16&amp;"^FS","")</f>
        <v/>
      </c>
      <c r="I16" t="str">
        <f>IF(A16&lt;&gt;"","^FO300,175^A0N,30,30^CI13^FD"&amp;"W:"&amp;Data!BA16&amp;" H:"&amp;Data!BB16,"")</f>
        <v/>
      </c>
      <c r="J16" t="str">
        <f>IF(A16&lt;&gt;"","^PQ"&amp;Data!$F$19&amp;",0,"&amp;Data!$F$19&amp;",Y","")</f>
        <v/>
      </c>
      <c r="K16" t="str">
        <f t="shared" si="0"/>
        <v/>
      </c>
    </row>
    <row r="17" spans="1:11" ht="13.35" customHeight="1">
      <c r="A17" t="str">
        <f>IF(OR(Data!$AV17="",Data!$AW17&gt;999),"","^XA^LH0,0^PRB,D^MD20^JMA^FS")</f>
        <v/>
      </c>
      <c r="B17" t="str">
        <f t="array" ref="B17">IF(A17&lt;&gt;"","^BY2,2.7,13^FO506,20^B2N,132,Y,N,N^SN"&amp;BarcodeValue(Data!BC$5,Data!BD$5,Data!AW17,0)&amp;",N,Y^FS","")</f>
        <v/>
      </c>
      <c r="C17" t="str">
        <f>IF(A17&lt;&gt;"","^FO20,20^A0N,28,37^CI13^FD"&amp;TEXT(Data!AY$5,"d/m/yyyy")&amp;"^FS","")</f>
        <v/>
      </c>
      <c r="D17" t="str">
        <f>IF(A17&lt;&gt;"","^FO220,20^A0N,41,48^CI13^FD"&amp;Data!$BC$5&amp;Data!$BD$5&amp;"/"&amp;RIGHT("000"&amp;Data!AW17,3)&amp;"^FS","")</f>
        <v/>
      </c>
      <c r="E17" t="str">
        <f>IF(A17&lt;&gt;"","^FO20,55^A0N,30,30^CI13^FD"&amp;Data!$BF$5&amp;"^FS","")</f>
        <v/>
      </c>
      <c r="F17" t="str">
        <f>IF(A17&lt;&gt;"","^FO20,95^A0N,30,30^CI13^FD"&amp;Data!AX$5&amp;"^FS","")</f>
        <v/>
      </c>
      <c r="G17" t="str">
        <f>IF(A17&lt;&gt;"","^FO20,135^A0N,30,30^CI13^FD"&amp;Data!BE17&amp;"^FS","")</f>
        <v/>
      </c>
      <c r="H17" t="str">
        <f>IF(A17&lt;&gt;"","^FO20,175^A0N,30,30^CI13^FD"&amp;Data!AY17&amp;"^FS","")</f>
        <v/>
      </c>
      <c r="I17" t="str">
        <f>IF(A17&lt;&gt;"","^FO300,175^A0N,30,30^CI13^FD"&amp;"W:"&amp;Data!BA17&amp;" H:"&amp;Data!BB17,"")</f>
        <v/>
      </c>
      <c r="J17" t="str">
        <f>IF(A17&lt;&gt;"","^PQ"&amp;Data!$F$19&amp;",0,"&amp;Data!$F$19&amp;",Y","")</f>
        <v/>
      </c>
      <c r="K17" t="str">
        <f t="shared" si="0"/>
        <v/>
      </c>
    </row>
    <row r="18" spans="1:11" ht="13.35" customHeight="1">
      <c r="A18" t="str">
        <f>IF(OR(Data!$AV18="",Data!$AW18&gt;999),"","^XA^LH0,0^PRB,D^MD20^JMA^FS")</f>
        <v/>
      </c>
      <c r="B18" t="str">
        <f t="array" ref="B18">IF(A18&lt;&gt;"","^BY2,2.7,13^FO506,20^B2N,132,Y,N,N^SN"&amp;BarcodeValue(Data!BC$5,Data!BD$5,Data!AW18,0)&amp;",N,Y^FS","")</f>
        <v/>
      </c>
      <c r="C18" t="str">
        <f>IF(A18&lt;&gt;"","^FO20,20^A0N,28,37^CI13^FD"&amp;TEXT(Data!AY$5,"d/m/yyyy")&amp;"^FS","")</f>
        <v/>
      </c>
      <c r="D18" t="str">
        <f>IF(A18&lt;&gt;"","^FO220,20^A0N,41,48^CI13^FD"&amp;Data!$BC$5&amp;Data!$BD$5&amp;"/"&amp;RIGHT("000"&amp;Data!AW18,3)&amp;"^FS","")</f>
        <v/>
      </c>
      <c r="E18" t="str">
        <f>IF(A18&lt;&gt;"","^FO20,55^A0N,30,30^CI13^FD"&amp;Data!$BF$5&amp;"^FS","")</f>
        <v/>
      </c>
      <c r="F18" t="str">
        <f>IF(A18&lt;&gt;"","^FO20,95^A0N,30,30^CI13^FD"&amp;Data!AX$5&amp;"^FS","")</f>
        <v/>
      </c>
      <c r="G18" t="str">
        <f>IF(A18&lt;&gt;"","^FO20,135^A0N,30,30^CI13^FD"&amp;Data!BE18&amp;"^FS","")</f>
        <v/>
      </c>
      <c r="H18" t="str">
        <f>IF(A18&lt;&gt;"","^FO20,175^A0N,30,30^CI13^FD"&amp;Data!AY18&amp;"^FS","")</f>
        <v/>
      </c>
      <c r="I18" t="str">
        <f>IF(A18&lt;&gt;"","^FO300,175^A0N,30,30^CI13^FD"&amp;"W:"&amp;Data!BA18&amp;" H:"&amp;Data!BB18,"")</f>
        <v/>
      </c>
      <c r="J18" t="str">
        <f>IF(A18&lt;&gt;"","^PQ"&amp;Data!$F$19&amp;",0,"&amp;Data!$F$19&amp;",Y","")</f>
        <v/>
      </c>
      <c r="K18" t="str">
        <f t="shared" si="0"/>
        <v/>
      </c>
    </row>
    <row r="19" spans="1:11" ht="13.35" customHeight="1">
      <c r="A19" t="str">
        <f>IF(OR(Data!$AV19="",Data!$AW19&gt;999),"","^XA^LH0,0^PRB,D^MD20^JMA^FS")</f>
        <v/>
      </c>
      <c r="B19" t="str">
        <f t="array" ref="B19">IF(A19&lt;&gt;"","^BY2,2.7,13^FO506,20^B2N,132,Y,N,N^SN"&amp;BarcodeValue(Data!BC$5,Data!BD$5,Data!AW19,0)&amp;",N,Y^FS","")</f>
        <v/>
      </c>
      <c r="C19" t="str">
        <f>IF(A19&lt;&gt;"","^FO20,20^A0N,28,37^CI13^FD"&amp;TEXT(Data!AY$5,"d/m/yyyy")&amp;"^FS","")</f>
        <v/>
      </c>
      <c r="D19" t="str">
        <f>IF(A19&lt;&gt;"","^FO220,20^A0N,41,48^CI13^FD"&amp;Data!$BC$5&amp;Data!$BD$5&amp;"/"&amp;RIGHT("000"&amp;Data!AW19,3)&amp;"^FS","")</f>
        <v/>
      </c>
      <c r="E19" t="str">
        <f>IF(A19&lt;&gt;"","^FO20,55^A0N,30,30^CI13^FD"&amp;Data!$BF$5&amp;"^FS","")</f>
        <v/>
      </c>
      <c r="F19" t="str">
        <f>IF(A19&lt;&gt;"","^FO20,95^A0N,30,30^CI13^FD"&amp;Data!AX$5&amp;"^FS","")</f>
        <v/>
      </c>
      <c r="G19" t="str">
        <f>IF(A19&lt;&gt;"","^FO20,135^A0N,30,30^CI13^FD"&amp;Data!BE19&amp;"^FS","")</f>
        <v/>
      </c>
      <c r="H19" t="str">
        <f>IF(A19&lt;&gt;"","^FO20,175^A0N,30,30^CI13^FD"&amp;Data!AY19&amp;"^FS","")</f>
        <v/>
      </c>
      <c r="I19" t="str">
        <f>IF(A19&lt;&gt;"","^FO300,175^A0N,30,30^CI13^FD"&amp;"W:"&amp;Data!BA19&amp;" H:"&amp;Data!BB19,"")</f>
        <v/>
      </c>
      <c r="J19" t="str">
        <f>IF(A19&lt;&gt;"","^PQ"&amp;Data!$F$19&amp;",0,"&amp;Data!$F$19&amp;",Y","")</f>
        <v/>
      </c>
      <c r="K19" t="str">
        <f t="shared" si="0"/>
        <v/>
      </c>
    </row>
    <row r="20" spans="1:11" ht="13.35" customHeight="1">
      <c r="A20" t="str">
        <f>IF(OR(Data!$AV20="",Data!$AW20&gt;999),"","^XA^LH0,0^PRB,D^MD20^JMA^FS")</f>
        <v/>
      </c>
      <c r="B20" t="str">
        <f t="array" ref="B20">IF(A20&lt;&gt;"","^BY2,2.7,13^FO506,20^B2N,132,Y,N,N^SN"&amp;BarcodeValue(Data!BC$5,Data!BD$5,Data!AW20,0)&amp;",N,Y^FS","")</f>
        <v/>
      </c>
      <c r="C20" t="str">
        <f>IF(A20&lt;&gt;"","^FO20,20^A0N,28,37^CI13^FD"&amp;TEXT(Data!AY$5,"d/m/yyyy")&amp;"^FS","")</f>
        <v/>
      </c>
      <c r="D20" t="str">
        <f>IF(A20&lt;&gt;"","^FO220,20^A0N,41,48^CI13^FD"&amp;Data!$BC$5&amp;Data!$BD$5&amp;"/"&amp;RIGHT("000"&amp;Data!AW20,3)&amp;"^FS","")</f>
        <v/>
      </c>
      <c r="E20" t="str">
        <f>IF(A20&lt;&gt;"","^FO20,55^A0N,30,30^CI13^FD"&amp;Data!$BF$5&amp;"^FS","")</f>
        <v/>
      </c>
      <c r="F20" t="str">
        <f>IF(A20&lt;&gt;"","^FO20,95^A0N,30,30^CI13^FD"&amp;Data!AX$5&amp;"^FS","")</f>
        <v/>
      </c>
      <c r="G20" t="str">
        <f>IF(A20&lt;&gt;"","^FO20,135^A0N,30,30^CI13^FD"&amp;Data!BE20&amp;"^FS","")</f>
        <v/>
      </c>
      <c r="H20" t="str">
        <f>IF(A20&lt;&gt;"","^FO20,175^A0N,30,30^CI13^FD"&amp;Data!AY20&amp;"^FS","")</f>
        <v/>
      </c>
      <c r="I20" t="str">
        <f>IF(A20&lt;&gt;"","^FO300,175^A0N,30,30^CI13^FD"&amp;"W:"&amp;Data!BA20&amp;" H:"&amp;Data!BB20,"")</f>
        <v/>
      </c>
      <c r="J20" t="str">
        <f>IF(A20&lt;&gt;"","^PQ"&amp;Data!$F$19&amp;",0,"&amp;Data!$F$19&amp;",Y","")</f>
        <v/>
      </c>
      <c r="K20" t="str">
        <f t="shared" si="0"/>
        <v/>
      </c>
    </row>
  </sheetData>
  <pageMargins left="1.95196850393805" right="1.95196850393805" top="0.75" bottom="0.75" header="0.3" footer="0.3"/>
  <pageSetup orientation="portrait" paperSize="9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Deductions"/>
  <dimension ref="A1:CT631"/>
  <sheetViews>
    <sheetView zoomScale="80" zoomScaleNormal="80" workbookViewId="0" topLeftCell="A1">
      <selection pane="topLeft" activeCell="C30" sqref="C30"/>
    </sheetView>
  </sheetViews>
  <sheetFormatPr defaultColWidth="8.88671875" defaultRowHeight="15"/>
  <cols>
    <col min="1" max="1" width="9.71428571428571" style="38" bestFit="1" customWidth="1"/>
    <col min="2" max="2" width="10.1428571428571" style="38" customWidth="1"/>
    <col min="3" max="3" width="40" style="38" bestFit="1" customWidth="1"/>
    <col min="4" max="4" width="10.4285714285714" style="38" customWidth="1"/>
    <col min="5" max="5" width="10.2857142857143" style="38" customWidth="1"/>
    <col min="6" max="6" width="10.8571428571429" style="38" customWidth="1"/>
    <col min="7" max="7" width="10.7142857142857" style="38" customWidth="1"/>
    <col min="8" max="8" width="9.71428571428571" style="38" bestFit="1" customWidth="1"/>
    <col min="9" max="9" width="25.7142857142857" style="38" bestFit="1" customWidth="1"/>
    <col min="10" max="10" width="46.5714285714286" style="38" bestFit="1" customWidth="1"/>
    <col min="11" max="11" width="10.7142857142857" style="38" customWidth="1"/>
    <col min="12" max="12" width="9.85714285714286" style="38" customWidth="1"/>
    <col min="13" max="13" width="2.71428571428571" style="38" customWidth="1"/>
    <col min="14" max="14" width="40" style="38" bestFit="1" customWidth="1"/>
    <col min="15" max="15" width="24" style="38" bestFit="1" customWidth="1"/>
    <col min="16" max="16" width="12.8571428571429" style="38" customWidth="1"/>
    <col min="17" max="17" width="3.57142857142857" style="38" customWidth="1"/>
    <col min="18" max="18" width="35.1428571428571" style="38" bestFit="1" customWidth="1"/>
    <col min="19" max="19" width="31.2857142857143" style="38" bestFit="1" customWidth="1"/>
    <col min="20" max="20" width="44.1428571428571" style="38" bestFit="1" customWidth="1"/>
    <col min="21" max="21" width="11.2857142857143" style="38" bestFit="1" customWidth="1"/>
    <col min="22" max="22" width="11.7142857142857" style="38" customWidth="1"/>
    <col min="23" max="23" width="12.4285714285714" style="38" bestFit="1" customWidth="1"/>
    <col min="24" max="24" width="2.28571428571429" style="38" customWidth="1"/>
    <col min="25" max="25" width="21" style="38" bestFit="1" customWidth="1"/>
    <col min="26" max="26" width="13.1428571428571" style="38" customWidth="1"/>
    <col min="27" max="27" width="2" style="38" customWidth="1"/>
    <col min="28" max="28" width="10" style="38" bestFit="1" customWidth="1"/>
    <col min="29" max="29" width="26.2857142857143" style="38" bestFit="1" customWidth="1"/>
    <col min="30" max="30" width="32.4285714285714" style="38" bestFit="1" customWidth="1"/>
    <col min="31" max="31" width="52.1428571428571" style="38" bestFit="1" customWidth="1"/>
    <col min="32" max="32" width="10.1428571428571" style="38" customWidth="1"/>
    <col min="33" max="33" width="10.7142857142857" style="38" customWidth="1"/>
    <col min="34" max="34" width="10.1428571428571" style="38" customWidth="1"/>
    <col min="35" max="35" width="10.7142857142857" style="38" customWidth="1"/>
    <col min="36" max="36" width="10.1428571428571" style="38" customWidth="1"/>
    <col min="37" max="37" width="10.7142857142857" style="38" customWidth="1"/>
    <col min="38" max="38" width="2.42857142857143" style="38" customWidth="1"/>
    <col min="39" max="39" width="24" style="38" bestFit="1" customWidth="1"/>
    <col min="40" max="40" width="24" style="38" customWidth="1"/>
    <col min="41" max="41" width="50.7142857142857" style="38" customWidth="1"/>
    <col min="42" max="42" width="41.8571428571429" style="38" bestFit="1" customWidth="1"/>
    <col min="43" max="43" width="26" style="38" bestFit="1" customWidth="1"/>
    <col min="44" max="44" width="8.14285714285714" style="38" customWidth="1"/>
    <col min="45" max="45" width="2" style="38" customWidth="1"/>
    <col min="46" max="46" width="33.8571428571429" style="38" bestFit="1" customWidth="1"/>
    <col min="47" max="47" width="10.8571428571429" style="38" customWidth="1"/>
    <col min="48" max="48" width="2" style="38" customWidth="1"/>
    <col min="49" max="49" width="9.28571428571429" style="38" customWidth="1"/>
    <col min="50" max="50" width="8.85714285714286" style="38" customWidth="1"/>
    <col min="51" max="51" width="10" style="38" bestFit="1" customWidth="1"/>
    <col min="52" max="52" width="7.42857142857143" style="38" customWidth="1"/>
    <col min="53" max="53" width="2" style="38" customWidth="1"/>
    <col min="54" max="54" width="8.85714285714286" style="38" customWidth="1"/>
    <col min="55" max="55" width="9" style="38" customWidth="1"/>
    <col min="56" max="57" width="8.85714285714286" style="38"/>
    <col min="58" max="58" width="2" style="38" customWidth="1"/>
    <col min="59" max="61" width="8.85714285714286" style="38"/>
    <col min="62" max="62" width="7" style="38" customWidth="1"/>
    <col min="63" max="63" width="1.28571428571429" style="38" customWidth="1"/>
    <col min="64" max="64" width="33.8571428571429" style="38" bestFit="1" customWidth="1"/>
    <col min="65" max="65" width="8.71428571428571" style="38" bestFit="1" customWidth="1"/>
    <col min="66" max="66" width="31.7142857142857" style="38" customWidth="1"/>
    <col min="67" max="67" width="13.1428571428571" style="38" customWidth="1"/>
    <col min="68" max="68" width="7.14285714285714" style="38" bestFit="1" customWidth="1"/>
    <col min="69" max="69" width="7.71428571428571" style="38" customWidth="1"/>
    <col min="70" max="70" width="7.57142857142857" style="38" customWidth="1"/>
    <col min="71" max="71" width="7.42857142857143" style="38" customWidth="1"/>
    <col min="72" max="72" width="7.14285714285714" style="38" customWidth="1"/>
    <col min="73" max="73" width="7.57142857142857" style="38" customWidth="1"/>
    <col min="74" max="74" width="87.1428571428571" style="38" bestFit="1" customWidth="1"/>
    <col min="75" max="75" width="26.2857142857143" style="38" bestFit="1" customWidth="1"/>
    <col min="76" max="76" width="3.14285714285714" style="38" customWidth="1"/>
    <col min="77" max="78" width="35.1428571428571" style="38" bestFit="1" customWidth="1"/>
    <col min="79" max="80" width="31" style="38" bestFit="1" customWidth="1"/>
    <col min="81" max="81" width="12.7142857142857" style="38" bestFit="1" customWidth="1"/>
    <col min="82" max="82" width="2.71428571428571" style="38" customWidth="1"/>
    <col min="83" max="83" width="28.7142857142857" style="38" bestFit="1" customWidth="1"/>
    <col min="84" max="84" width="9.28571428571429" style="38" bestFit="1" customWidth="1"/>
    <col min="85" max="85" width="9.57142857142857" style="38" customWidth="1"/>
    <col min="86" max="86" width="9.28571428571429" style="38" bestFit="1" customWidth="1"/>
    <col min="87" max="87" width="10.1428571428571" style="38" bestFit="1" customWidth="1"/>
    <col min="88" max="88" width="9.28571428571429" style="38" bestFit="1" customWidth="1"/>
    <col min="89" max="89" width="41" style="38" bestFit="1" customWidth="1"/>
    <col min="90" max="90" width="9.28571428571429" style="38" bestFit="1" customWidth="1"/>
    <col min="91" max="91" width="41" style="38" bestFit="1" customWidth="1"/>
    <col min="92" max="92" width="9.71428571428571" style="38" customWidth="1"/>
    <col min="93" max="93" width="11.1428571428571" style="38" bestFit="1" customWidth="1"/>
    <col min="94" max="94" width="10" style="38" customWidth="1"/>
    <col min="95" max="95" width="31.7142857142857" style="38" bestFit="1" customWidth="1"/>
    <col min="96" max="96" width="10.2857142857143" style="38" customWidth="1"/>
    <col min="97" max="97" width="27.1428571428571" style="38" bestFit="1" customWidth="1"/>
    <col min="98" max="98" width="10.1428571428571" style="38" customWidth="1"/>
    <col min="99" max="16384" width="8.85714285714286" style="38"/>
  </cols>
  <sheetData>
    <row r="1" spans="1:98" s="67" customFormat="1" ht="83.25" customHeight="1">
      <c r="A1" s="65" t="s">
        <v>11</v>
      </c>
      <c r="B1" s="65" t="s">
        <v>146</v>
      </c>
      <c r="C1" s="65" t="s">
        <v>136</v>
      </c>
      <c r="D1" s="65" t="s">
        <v>174</v>
      </c>
      <c r="E1" s="65" t="s">
        <v>182</v>
      </c>
      <c r="F1" s="65" t="s">
        <v>215</v>
      </c>
      <c r="G1" s="65" t="s">
        <v>180</v>
      </c>
      <c r="H1" s="65" t="s">
        <v>11</v>
      </c>
      <c r="I1" s="65" t="s">
        <v>190</v>
      </c>
      <c r="J1" s="65" t="s">
        <v>191</v>
      </c>
      <c r="K1" s="65" t="s">
        <v>174</v>
      </c>
      <c r="L1" s="65" t="s">
        <v>182</v>
      </c>
      <c r="M1" s="66"/>
      <c r="N1" s="65" t="s">
        <v>213</v>
      </c>
      <c r="O1" s="65" t="s">
        <v>213</v>
      </c>
      <c r="P1" s="65" t="s">
        <v>182</v>
      </c>
      <c r="R1" s="65" t="s">
        <v>328</v>
      </c>
      <c r="S1" s="65" t="s">
        <v>224</v>
      </c>
      <c r="T1" s="65"/>
      <c r="U1" s="65" t="s">
        <v>226</v>
      </c>
      <c r="V1" s="65" t="s">
        <v>308</v>
      </c>
      <c r="W1" s="65" t="s">
        <v>310</v>
      </c>
      <c r="Y1" s="65" t="s">
        <v>258</v>
      </c>
      <c r="Z1" s="65" t="s">
        <v>146</v>
      </c>
      <c r="AB1" s="65" t="s">
        <v>167</v>
      </c>
      <c r="AC1" s="65" t="s">
        <v>277</v>
      </c>
      <c r="AD1" s="65"/>
      <c r="AE1" s="65" t="s">
        <v>278</v>
      </c>
      <c r="AF1" s="65" t="s">
        <v>353</v>
      </c>
      <c r="AG1" s="65" t="s">
        <v>354</v>
      </c>
      <c r="AH1" s="65" t="s">
        <v>355</v>
      </c>
      <c r="AI1" s="65" t="s">
        <v>356</v>
      </c>
      <c r="AJ1" s="65" t="s">
        <v>357</v>
      </c>
      <c r="AK1" s="65" t="s">
        <v>358</v>
      </c>
      <c r="AM1" s="65" t="s">
        <v>288</v>
      </c>
      <c r="AN1" s="65" t="s">
        <v>291</v>
      </c>
      <c r="AO1" s="65"/>
      <c r="AP1" s="65" t="s">
        <v>509</v>
      </c>
      <c r="AQ1" s="65" t="s">
        <v>294</v>
      </c>
      <c r="AR1" s="65" t="s">
        <v>299</v>
      </c>
      <c r="AT1" s="72" t="s">
        <v>504</v>
      </c>
      <c r="AU1" s="72" t="s">
        <v>505</v>
      </c>
      <c r="AW1" s="72" t="s">
        <v>365</v>
      </c>
      <c r="AX1" s="72" t="s">
        <v>366</v>
      </c>
      <c r="AY1" s="72"/>
      <c r="AZ1" s="72" t="s">
        <v>367</v>
      </c>
      <c r="BB1" s="72" t="s">
        <v>368</v>
      </c>
      <c r="BC1" s="72" t="s">
        <v>369</v>
      </c>
      <c r="BD1" s="72"/>
      <c r="BE1" s="72" t="s">
        <v>313</v>
      </c>
      <c r="BG1" s="72" t="s">
        <v>370</v>
      </c>
      <c r="BH1" s="72" t="s">
        <v>371</v>
      </c>
      <c r="BI1" s="72"/>
      <c r="BJ1" s="72" t="s">
        <v>313</v>
      </c>
      <c r="BL1" s="72" t="s">
        <v>381</v>
      </c>
      <c r="BM1" s="72" t="s">
        <v>167</v>
      </c>
      <c r="BN1" s="72" t="s">
        <v>408</v>
      </c>
      <c r="BO1" s="72" t="s">
        <v>183</v>
      </c>
      <c r="BP1" s="72" t="s">
        <v>288</v>
      </c>
      <c r="BQ1" s="72" t="s">
        <v>412</v>
      </c>
      <c r="BR1" s="72" t="s">
        <v>413</v>
      </c>
      <c r="BS1" s="72" t="s">
        <v>258</v>
      </c>
      <c r="BT1" s="72" t="s">
        <v>414</v>
      </c>
      <c r="BU1" s="72" t="s">
        <v>415</v>
      </c>
      <c r="BV1" s="72"/>
      <c r="BW1" s="72" t="s">
        <v>409</v>
      </c>
      <c r="BY1" s="72" t="s">
        <v>381</v>
      </c>
      <c r="BZ1" s="72" t="s">
        <v>167</v>
      </c>
      <c r="CA1" s="72" t="s">
        <v>408</v>
      </c>
      <c r="CB1" s="72" t="s">
        <v>183</v>
      </c>
      <c r="CC1" s="72" t="s">
        <v>288</v>
      </c>
      <c r="CE1" s="322" t="s">
        <v>479</v>
      </c>
      <c r="CF1" s="322"/>
      <c r="CG1" s="322"/>
      <c r="CH1" s="322"/>
      <c r="CI1" s="322"/>
      <c r="CJ1" s="322"/>
      <c r="CK1" s="322"/>
      <c r="CL1" s="322"/>
      <c r="CM1" s="322"/>
      <c r="CN1" s="322"/>
      <c r="CO1" s="322"/>
      <c r="CP1" s="322"/>
      <c r="CQ1" s="322"/>
      <c r="CR1" s="322"/>
      <c r="CS1" s="322"/>
      <c r="CT1" s="322"/>
    </row>
    <row r="2" spans="1:98" ht="28.8">
      <c r="A2" s="38" t="s">
        <v>165</v>
      </c>
      <c r="B2" s="38">
        <v>0</v>
      </c>
      <c r="C2" t="s">
        <v>147</v>
      </c>
      <c r="D2" s="38">
        <v>0</v>
      </c>
      <c r="E2" s="38">
        <v>0</v>
      </c>
      <c r="F2" s="38" t="s">
        <v>216</v>
      </c>
      <c r="G2" s="38" t="s">
        <v>178</v>
      </c>
      <c r="H2" t="s">
        <v>166</v>
      </c>
      <c r="I2"/>
      <c r="J2" t="str">
        <f t="shared" si="0" ref="J2:J33">CONCATENATE(F2,G2,H2,I2)</f>
        <v>DoubleHingedTimber</v>
      </c>
      <c r="K2" s="38">
        <v>7</v>
      </c>
      <c r="L2">
        <v>10</v>
      </c>
      <c r="N2" t="s">
        <v>221</v>
      </c>
      <c r="O2"/>
      <c r="P2" s="38">
        <v>0</v>
      </c>
      <c r="R2" s="38" t="s">
        <v>232</v>
      </c>
      <c r="T2" s="38" t="str">
        <f>CONCATENATE(R2,S2)</f>
        <v>Alu-Gard Perforated Aluminium</v>
      </c>
      <c r="U2" s="38" t="s">
        <v>234</v>
      </c>
      <c r="V2" s="38" t="s">
        <v>309</v>
      </c>
      <c r="W2" s="38" t="s">
        <v>306</v>
      </c>
      <c r="Y2" t="s">
        <v>259</v>
      </c>
      <c r="Z2" s="38">
        <v>-90</v>
      </c>
      <c r="AB2" t="s">
        <v>178</v>
      </c>
      <c r="AC2" t="s">
        <v>279</v>
      </c>
      <c r="AD2" t="str">
        <f>CONCATENATE(AB2,AC2,)</f>
        <v>HingedSingle Lock</v>
      </c>
      <c r="AE2" s="38" t="s">
        <v>654</v>
      </c>
      <c r="AM2" t="s">
        <v>303</v>
      </c>
      <c r="AN2" s="38" t="s">
        <v>286</v>
      </c>
      <c r="AO2" s="38" t="str">
        <f>CONCATENATE(AM2,AN2)</f>
        <v>Small 190mm x 240mmLeft</v>
      </c>
      <c r="AP2" s="38" t="s">
        <v>324</v>
      </c>
      <c r="AQ2" s="38" t="s">
        <v>293</v>
      </c>
      <c r="AR2" s="38">
        <v>580</v>
      </c>
      <c r="AT2" s="70" t="s">
        <v>374</v>
      </c>
      <c r="AU2" s="70">
        <v>25</v>
      </c>
      <c r="AW2" s="70" t="s">
        <v>306</v>
      </c>
      <c r="AX2" s="70" t="s">
        <v>306</v>
      </c>
      <c r="AY2" s="71" t="str">
        <f>CONCATENATE(AW2,AX2,)</f>
        <v>YesYes</v>
      </c>
      <c r="AZ2" s="71" t="s">
        <v>147</v>
      </c>
      <c r="BB2" s="70" t="s">
        <v>306</v>
      </c>
      <c r="BC2" s="70" t="s">
        <v>306</v>
      </c>
      <c r="BD2" s="71" t="str">
        <f>CONCATENATE(BB2,BC2,)</f>
        <v>YesYes</v>
      </c>
      <c r="BE2" s="71" t="s">
        <v>147</v>
      </c>
      <c r="BG2" s="70" t="s">
        <v>306</v>
      </c>
      <c r="BH2" s="70" t="s">
        <v>306</v>
      </c>
      <c r="BI2" s="71" t="str">
        <f>CONCATENATE(BG2,BH2,)</f>
        <v>YesYes</v>
      </c>
      <c r="BJ2" s="71" t="s">
        <v>147</v>
      </c>
      <c r="BL2" s="38" t="s">
        <v>227</v>
      </c>
      <c r="BM2" s="38" t="s">
        <v>178</v>
      </c>
      <c r="BN2" s="38" t="s">
        <v>279</v>
      </c>
      <c r="BO2" s="38" t="s">
        <v>147</v>
      </c>
      <c r="BP2" s="38" t="s">
        <v>306</v>
      </c>
      <c r="BQ2" s="38" t="str">
        <f>IF(BL2="Standard Diamond","SD",IF(BL2="Decorative Diamond","DD",IF(BL2="Privacy-Gard","PG",IF(BL2="Flyscreen","FW",IF(BL2="Woven Stainless Steel","SS",IF(BL2="Alu-Gard Perforated Aluminium","PA",IF(BL2="Invisi-Gard Woven Stainless Steel","IG")))))))</f>
        <v>SD</v>
      </c>
      <c r="BR2" s="38" t="str">
        <f t="shared" si="1" ref="BR2:BR65">IF(BM2="Hinged","H",IF(BM2="Sliding","S",IF(BM2="Stacker","ST")))</f>
        <v>H</v>
      </c>
      <c r="BS2" s="38" t="str">
        <f t="shared" si="2" ref="BS2:BS65">IF(BN2="Single Lock","S",IF(BN2="Triple Lock","T",IF(BN2="Not Required","N",IF(BN2="Ultra Secua Digital Triple Lock","D",IF(BN2="Bass Latch","B")))))</f>
        <v>S</v>
      </c>
      <c r="BT2" s="38" t="str">
        <f t="shared" si="3" ref="BT2:BT65">IF(BO2="No","N",IF(BO2="Yes","Y",IF(BO2="Not Required","N",IF(BO2="Yes - Centre","Y"))))</f>
        <v>N</v>
      </c>
      <c r="BU2" s="38" t="str">
        <f t="shared" si="4" ref="BU2:BU65">IF(BP2="","N",IF(BP2="Yes","Y"))</f>
        <v>Y</v>
      </c>
      <c r="BV2" s="38" t="str">
        <f t="shared" si="5" ref="BV2:BV65">CONCATENATE(BM2,BL2,BN2,BO2,BP2,)</f>
        <v>HingedStandard DiamondSingle LockNoYes</v>
      </c>
      <c r="BW2" s="38" t="str">
        <f t="shared" si="6" ref="BW2:BW65">CONCATENATE(BQ2,BR2,BS2,BT2,BU2)</f>
        <v>SDHSNY</v>
      </c>
      <c r="BY2" s="38" t="s">
        <v>227</v>
      </c>
      <c r="BZ2" s="38" t="s">
        <v>178</v>
      </c>
      <c r="CA2" s="38" t="s">
        <v>279</v>
      </c>
      <c r="CB2" s="38" t="s">
        <v>147</v>
      </c>
      <c r="CC2" s="38" t="s">
        <v>306</v>
      </c>
      <c r="CE2" s="84" t="s">
        <v>480</v>
      </c>
      <c r="CF2" s="84" t="s">
        <v>471</v>
      </c>
      <c r="CG2" s="84" t="s">
        <v>467</v>
      </c>
      <c r="CH2" s="84" t="s">
        <v>471</v>
      </c>
      <c r="CI2" s="84" t="s">
        <v>481</v>
      </c>
      <c r="CJ2" s="84" t="s">
        <v>471</v>
      </c>
      <c r="CK2" s="84" t="s">
        <v>151</v>
      </c>
      <c r="CL2" s="84" t="s">
        <v>471</v>
      </c>
      <c r="CM2" s="84" t="s">
        <v>418</v>
      </c>
      <c r="CN2" s="84" t="s">
        <v>471</v>
      </c>
      <c r="CO2" s="84" t="s">
        <v>167</v>
      </c>
      <c r="CP2" s="84" t="s">
        <v>471</v>
      </c>
      <c r="CQ2" s="84" t="s">
        <v>408</v>
      </c>
      <c r="CR2" s="84" t="s">
        <v>471</v>
      </c>
      <c r="CS2" s="84" t="s">
        <v>486</v>
      </c>
      <c r="CT2" s="84" t="s">
        <v>471</v>
      </c>
    </row>
    <row r="3" spans="1:98" ht="14.4" customHeight="1">
      <c r="A3" s="38" t="s">
        <v>169</v>
      </c>
      <c r="B3" s="38">
        <v>0</v>
      </c>
      <c r="C3" t="s">
        <v>187</v>
      </c>
      <c r="D3" s="38">
        <v>-2</v>
      </c>
      <c r="E3" s="38">
        <v>0</v>
      </c>
      <c r="F3" s="38" t="s">
        <v>216</v>
      </c>
      <c r="G3" s="38" t="s">
        <v>178</v>
      </c>
      <c r="H3" t="s">
        <v>170</v>
      </c>
      <c r="I3"/>
      <c r="J3" t="str">
        <f t="shared" si="0"/>
        <v>DoubleHingedSteel</v>
      </c>
      <c r="K3" s="38">
        <v>8</v>
      </c>
      <c r="L3">
        <v>10</v>
      </c>
      <c r="N3" t="s">
        <v>386</v>
      </c>
      <c r="O3"/>
      <c r="P3" s="38">
        <v>2</v>
      </c>
      <c r="R3" s="38" t="s">
        <v>230</v>
      </c>
      <c r="S3" s="38" t="s">
        <v>329</v>
      </c>
      <c r="T3" s="38" t="str">
        <f t="shared" si="7" ref="T3:T29">CONCATENATE(R3,S3)</f>
        <v>Colonial CastFibreglass Mesh</v>
      </c>
      <c r="U3" s="38" t="s">
        <v>234</v>
      </c>
      <c r="V3" s="38" t="s">
        <v>312</v>
      </c>
      <c r="W3" s="38" t="s">
        <v>312</v>
      </c>
      <c r="Y3" t="s">
        <v>260</v>
      </c>
      <c r="Z3" s="38">
        <v>90</v>
      </c>
      <c r="AB3" t="s">
        <v>178</v>
      </c>
      <c r="AC3" t="s">
        <v>660</v>
      </c>
      <c r="AD3" t="str">
        <f>CONCATENATE(AB3,AC3,)</f>
        <v>HingedPush 2 Go Single Lock</v>
      </c>
      <c r="AE3" s="38" t="s">
        <v>654</v>
      </c>
      <c r="AM3" t="s">
        <v>303</v>
      </c>
      <c r="AN3" s="38" t="s">
        <v>289</v>
      </c>
      <c r="AO3" s="38" t="str">
        <f t="shared" si="8" ref="AO3:AO13">CONCATENATE(AM3,AN3)</f>
        <v>Small 190mm x 240mmRight</v>
      </c>
      <c r="AP3" s="38" t="s">
        <v>325</v>
      </c>
      <c r="AQ3" s="38" t="s">
        <v>292</v>
      </c>
      <c r="AR3" s="38">
        <v>580</v>
      </c>
      <c r="AT3" s="70" t="s">
        <v>375</v>
      </c>
      <c r="AU3" s="70">
        <v>50</v>
      </c>
      <c r="AW3" s="70" t="s">
        <v>306</v>
      </c>
      <c r="AX3" s="70" t="s">
        <v>147</v>
      </c>
      <c r="AY3" s="71" t="str">
        <f>CONCATENATE(AW3,AX3,)</f>
        <v>YesNo</v>
      </c>
      <c r="AZ3" s="71" t="s">
        <v>147</v>
      </c>
      <c r="BB3" s="70" t="s">
        <v>306</v>
      </c>
      <c r="BC3" s="70" t="s">
        <v>147</v>
      </c>
      <c r="BD3" s="71" t="str">
        <f>CONCATENATE(BB3,BC3,)</f>
        <v>YesNo</v>
      </c>
      <c r="BE3" s="71" t="s">
        <v>147</v>
      </c>
      <c r="BG3" s="70" t="s">
        <v>306</v>
      </c>
      <c r="BH3" s="70" t="s">
        <v>147</v>
      </c>
      <c r="BI3" s="71" t="str">
        <f>CONCATENATE(BG3,BH3,)</f>
        <v>YesNo</v>
      </c>
      <c r="BJ3" s="71" t="s">
        <v>147</v>
      </c>
      <c r="BL3" s="38" t="s">
        <v>227</v>
      </c>
      <c r="BM3" s="38" t="s">
        <v>179</v>
      </c>
      <c r="BN3" s="38" t="s">
        <v>279</v>
      </c>
      <c r="BO3" s="38" t="s">
        <v>147</v>
      </c>
      <c r="BP3" s="38" t="s">
        <v>306</v>
      </c>
      <c r="BQ3" s="38" t="str">
        <f t="shared" si="9" ref="BQ3:BQ66">IF(BL3="Standard Diamond","SD",IF(BL3="Decorative Diamond","DD",IF(BL3="Privacy-Gard","PG",IF(BL3="Flyscreen","FW",IF(BL3="Woven Stainless Steel","SS",IF(BL3="Alu-Gard Perforated Aluminium","PA",IF(BL3="Invisi-Gard Woven Stainless Steel","IG")))))))</f>
        <v>SD</v>
      </c>
      <c r="BR3" s="38" t="str">
        <f t="shared" si="1"/>
        <v>S</v>
      </c>
      <c r="BS3" s="38" t="str">
        <f t="shared" si="2"/>
        <v>S</v>
      </c>
      <c r="BT3" s="38" t="str">
        <f t="shared" si="3"/>
        <v>N</v>
      </c>
      <c r="BU3" s="38" t="str">
        <f t="shared" si="4"/>
        <v>Y</v>
      </c>
      <c r="BV3" s="38" t="str">
        <f t="shared" si="5"/>
        <v>SlidingStandard DiamondSingle LockNoYes</v>
      </c>
      <c r="BW3" s="38" t="str">
        <f t="shared" si="6"/>
        <v>SDSSNY</v>
      </c>
      <c r="BY3" s="38" t="s">
        <v>229</v>
      </c>
      <c r="BZ3" s="38" t="s">
        <v>179</v>
      </c>
      <c r="CA3" s="38" t="s">
        <v>275</v>
      </c>
      <c r="CB3" s="38" t="s">
        <v>411</v>
      </c>
      <c r="CE3" t="s">
        <v>482</v>
      </c>
      <c r="CF3">
        <v>0</v>
      </c>
      <c r="CG3" s="38" t="s">
        <v>306</v>
      </c>
      <c r="CH3" s="38">
        <v>3</v>
      </c>
      <c r="CI3" t="s">
        <v>166</v>
      </c>
      <c r="CJ3" s="38">
        <v>0</v>
      </c>
      <c r="CK3" t="s">
        <v>147</v>
      </c>
      <c r="CL3" s="38">
        <v>0</v>
      </c>
      <c r="CM3" t="s">
        <v>147</v>
      </c>
      <c r="CN3" s="38">
        <v>0</v>
      </c>
      <c r="CO3" s="38" t="s">
        <v>178</v>
      </c>
      <c r="CP3" s="38">
        <v>20</v>
      </c>
      <c r="CQ3" s="38" t="s">
        <v>279</v>
      </c>
      <c r="CR3" s="38">
        <v>10</v>
      </c>
      <c r="CS3" t="s">
        <v>195</v>
      </c>
      <c r="CT3" s="38">
        <v>30</v>
      </c>
    </row>
    <row r="4" spans="3:98" ht="14.4">
      <c r="C4" t="s">
        <v>197</v>
      </c>
      <c r="D4" s="38">
        <v>5</v>
      </c>
      <c r="E4" s="38">
        <v>5</v>
      </c>
      <c r="F4" s="38" t="s">
        <v>216</v>
      </c>
      <c r="G4" s="38" t="s">
        <v>178</v>
      </c>
      <c r="H4" t="s">
        <v>171</v>
      </c>
      <c r="I4"/>
      <c r="J4" t="str">
        <f t="shared" si="0"/>
        <v>DoubleHingedAluminium</v>
      </c>
      <c r="K4" s="38">
        <v>8</v>
      </c>
      <c r="L4">
        <v>10</v>
      </c>
      <c r="N4" t="s">
        <v>385</v>
      </c>
      <c r="O4" t="s">
        <v>387</v>
      </c>
      <c r="P4" s="38">
        <v>10</v>
      </c>
      <c r="R4" s="38" t="s">
        <v>230</v>
      </c>
      <c r="S4" s="38" t="s">
        <v>330</v>
      </c>
      <c r="T4" s="38" t="str">
        <f t="shared" si="7"/>
        <v>Colonial CastPet Mesh</v>
      </c>
      <c r="U4" s="38" t="s">
        <v>234</v>
      </c>
      <c r="V4" s="38" t="s">
        <v>312</v>
      </c>
      <c r="W4" s="38" t="s">
        <v>312</v>
      </c>
      <c r="Y4" t="s">
        <v>261</v>
      </c>
      <c r="Z4" s="38">
        <v>0</v>
      </c>
      <c r="AB4" t="s">
        <v>178</v>
      </c>
      <c r="AC4" t="s">
        <v>275</v>
      </c>
      <c r="AD4" t="str">
        <f>CONCATENATE(AB4,AC4,)</f>
        <v>HingedTriple Lock</v>
      </c>
      <c r="AE4" s="38" t="s">
        <v>655</v>
      </c>
      <c r="AF4" s="38">
        <v>858</v>
      </c>
      <c r="AG4" s="38">
        <v>714</v>
      </c>
      <c r="AH4" s="38">
        <v>714</v>
      </c>
      <c r="AI4" s="38">
        <v>858</v>
      </c>
      <c r="AJ4" s="38">
        <v>993</v>
      </c>
      <c r="AK4" s="38">
        <v>407</v>
      </c>
      <c r="AM4" t="s">
        <v>303</v>
      </c>
      <c r="AN4" s="38" t="s">
        <v>287</v>
      </c>
      <c r="AO4" s="38" t="str">
        <f t="shared" si="8"/>
        <v>Small 190mm x 240mmCentre</v>
      </c>
      <c r="AP4" s="38" t="s">
        <v>315</v>
      </c>
      <c r="AQ4" s="38" t="s">
        <v>314</v>
      </c>
      <c r="AR4" s="38">
        <v>925</v>
      </c>
      <c r="AT4" s="70" t="s">
        <v>502</v>
      </c>
      <c r="AU4" s="70">
        <v>0</v>
      </c>
      <c r="AW4" s="70" t="s">
        <v>147</v>
      </c>
      <c r="AX4" s="70" t="s">
        <v>306</v>
      </c>
      <c r="AY4" s="71" t="str">
        <f>CONCATENATE(AW4,AX4,)</f>
        <v>NoYes</v>
      </c>
      <c r="AZ4" s="71" t="s">
        <v>147</v>
      </c>
      <c r="BB4" s="70" t="s">
        <v>147</v>
      </c>
      <c r="BC4" s="70" t="s">
        <v>306</v>
      </c>
      <c r="BD4" s="71" t="str">
        <f>CONCATENATE(BB4,BC4,)</f>
        <v>NoYes</v>
      </c>
      <c r="BE4" s="71" t="s">
        <v>147</v>
      </c>
      <c r="BG4" s="70" t="s">
        <v>147</v>
      </c>
      <c r="BH4" s="70" t="s">
        <v>306</v>
      </c>
      <c r="BI4" s="71" t="str">
        <f>CONCATENATE(BG4,BH4,)</f>
        <v>NoYes</v>
      </c>
      <c r="BJ4" s="71" t="s">
        <v>147</v>
      </c>
      <c r="BL4" s="38" t="s">
        <v>227</v>
      </c>
      <c r="BM4" s="38" t="s">
        <v>220</v>
      </c>
      <c r="BN4" s="38" t="s">
        <v>279</v>
      </c>
      <c r="BO4" s="38" t="s">
        <v>147</v>
      </c>
      <c r="BP4" s="38" t="s">
        <v>306</v>
      </c>
      <c r="BQ4" s="38" t="str">
        <f t="shared" si="9"/>
        <v>SD</v>
      </c>
      <c r="BR4" s="38" t="str">
        <f t="shared" si="1"/>
        <v>ST</v>
      </c>
      <c r="BS4" s="38" t="str">
        <f t="shared" si="2"/>
        <v>S</v>
      </c>
      <c r="BT4" s="38" t="str">
        <f t="shared" si="3"/>
        <v>N</v>
      </c>
      <c r="BU4" s="38" t="str">
        <f t="shared" si="4"/>
        <v>Y</v>
      </c>
      <c r="BV4" s="38" t="str">
        <f t="shared" si="5"/>
        <v>StackerStandard DiamondSingle LockNoYes</v>
      </c>
      <c r="BW4" s="38" t="str">
        <f t="shared" si="6"/>
        <v>SDSTSNY</v>
      </c>
      <c r="BY4" s="38" t="s">
        <v>230</v>
      </c>
      <c r="BZ4" s="38" t="s">
        <v>220</v>
      </c>
      <c r="CA4" s="38" t="s">
        <v>410</v>
      </c>
      <c r="CB4" s="38" t="s">
        <v>306</v>
      </c>
      <c r="CE4" t="s">
        <v>483</v>
      </c>
      <c r="CF4">
        <v>10</v>
      </c>
      <c r="CG4" s="38" t="s">
        <v>147</v>
      </c>
      <c r="CH4" s="38">
        <v>0</v>
      </c>
      <c r="CI4" t="s">
        <v>170</v>
      </c>
      <c r="CJ4" s="38">
        <v>10</v>
      </c>
      <c r="CK4" t="s">
        <v>187</v>
      </c>
      <c r="CL4" s="38">
        <v>5</v>
      </c>
      <c r="CM4" t="s">
        <v>187</v>
      </c>
      <c r="CN4" s="38">
        <v>5</v>
      </c>
      <c r="CO4" s="38" t="s">
        <v>179</v>
      </c>
      <c r="CP4" s="38">
        <v>0</v>
      </c>
      <c r="CQ4" s="38" t="s">
        <v>660</v>
      </c>
      <c r="CR4" s="38">
        <v>10</v>
      </c>
      <c r="CS4" t="s">
        <v>347</v>
      </c>
      <c r="CT4" s="38">
        <v>10</v>
      </c>
    </row>
    <row r="5" spans="3:97" ht="14.4">
      <c r="C5" t="s">
        <v>198</v>
      </c>
      <c r="D5" s="38">
        <v>10</v>
      </c>
      <c r="E5" s="38">
        <v>10</v>
      </c>
      <c r="F5" s="38" t="s">
        <v>216</v>
      </c>
      <c r="G5" s="38" t="s">
        <v>178</v>
      </c>
      <c r="H5" t="s">
        <v>172</v>
      </c>
      <c r="I5"/>
      <c r="J5" t="str">
        <f t="shared" si="0"/>
        <v>DoubleHingedBrick</v>
      </c>
      <c r="K5" s="38">
        <v>8</v>
      </c>
      <c r="L5">
        <v>10</v>
      </c>
      <c r="N5" t="s">
        <v>390</v>
      </c>
      <c r="O5" t="s">
        <v>388</v>
      </c>
      <c r="P5" s="38">
        <v>13</v>
      </c>
      <c r="R5" s="38" t="s">
        <v>230</v>
      </c>
      <c r="S5" s="38" t="s">
        <v>331</v>
      </c>
      <c r="T5" s="38" t="str">
        <f t="shared" si="7"/>
        <v>Colonial CastPrivacy Plus</v>
      </c>
      <c r="U5" s="38" t="s">
        <v>234</v>
      </c>
      <c r="V5" s="38" t="s">
        <v>312</v>
      </c>
      <c r="W5" s="38" t="s">
        <v>306</v>
      </c>
      <c r="Y5" t="s">
        <v>257</v>
      </c>
      <c r="Z5" s="38">
        <v>27</v>
      </c>
      <c r="AB5" t="s">
        <v>178</v>
      </c>
      <c r="AC5" t="s">
        <v>661</v>
      </c>
      <c r="AD5" t="str">
        <f>CONCATENATE(AB5,AC5,)</f>
        <v>HingedPush 2 Go Triple Lock</v>
      </c>
      <c r="AE5" s="38" t="s">
        <v>655</v>
      </c>
      <c r="AF5" s="38">
        <v>858</v>
      </c>
      <c r="AG5" s="38">
        <v>714</v>
      </c>
      <c r="AH5" s="38">
        <v>714</v>
      </c>
      <c r="AI5" s="38">
        <v>858</v>
      </c>
      <c r="AJ5" s="38">
        <v>993</v>
      </c>
      <c r="AK5" s="38">
        <v>407</v>
      </c>
      <c r="AM5" t="s">
        <v>303</v>
      </c>
      <c r="AN5" s="38" t="s">
        <v>290</v>
      </c>
      <c r="AO5" s="38" t="str">
        <f t="shared" si="8"/>
        <v>Small 190mm x 240mmOther - Attach Diagram</v>
      </c>
      <c r="AP5" s="38" t="s">
        <v>315</v>
      </c>
      <c r="AQ5" s="38" t="s">
        <v>314</v>
      </c>
      <c r="AR5" s="38">
        <v>925</v>
      </c>
      <c r="AW5" s="70" t="s">
        <v>147</v>
      </c>
      <c r="AX5" s="70" t="s">
        <v>147</v>
      </c>
      <c r="AY5" s="71" t="str">
        <f>CONCATENATE(AW5,AX5,)</f>
        <v>NoNo</v>
      </c>
      <c r="AZ5" s="71" t="s">
        <v>350</v>
      </c>
      <c r="BB5" s="70" t="s">
        <v>147</v>
      </c>
      <c r="BC5" s="70" t="s">
        <v>147</v>
      </c>
      <c r="BD5" s="71" t="str">
        <f>CONCATENATE(BB5,BC5,)</f>
        <v>NoNo</v>
      </c>
      <c r="BE5" s="71" t="s">
        <v>351</v>
      </c>
      <c r="BG5" s="70" t="s">
        <v>147</v>
      </c>
      <c r="BH5" s="70" t="s">
        <v>147</v>
      </c>
      <c r="BI5" s="71" t="str">
        <f>CONCATENATE(BG5,BH5,)</f>
        <v>NoNo</v>
      </c>
      <c r="BJ5" s="71" t="s">
        <v>352</v>
      </c>
      <c r="BL5" s="38" t="s">
        <v>227</v>
      </c>
      <c r="BM5" s="38" t="s">
        <v>178</v>
      </c>
      <c r="BN5" s="38" t="s">
        <v>275</v>
      </c>
      <c r="BO5" s="38" t="s">
        <v>147</v>
      </c>
      <c r="BP5" s="38" t="s">
        <v>306</v>
      </c>
      <c r="BQ5" s="38" t="str">
        <f t="shared" si="9"/>
        <v>SD</v>
      </c>
      <c r="BR5" s="38" t="str">
        <f t="shared" si="1"/>
        <v>H</v>
      </c>
      <c r="BS5" s="38" t="str">
        <f t="shared" si="2"/>
        <v>T</v>
      </c>
      <c r="BT5" s="38" t="str">
        <f t="shared" si="3"/>
        <v>N</v>
      </c>
      <c r="BU5" s="38" t="str">
        <f t="shared" si="4"/>
        <v>Y</v>
      </c>
      <c r="BV5" s="38" t="str">
        <f t="shared" si="5"/>
        <v>HingedStandard DiamondTriple LockNoYes</v>
      </c>
      <c r="BW5" s="38" t="str">
        <f t="shared" si="6"/>
        <v>SDHTNY</v>
      </c>
      <c r="BY5" s="38" t="s">
        <v>231</v>
      </c>
      <c r="CA5" s="38" t="s">
        <v>383</v>
      </c>
      <c r="CE5" t="s">
        <v>484</v>
      </c>
      <c r="CF5">
        <v>20</v>
      </c>
      <c r="CI5" t="s">
        <v>171</v>
      </c>
      <c r="CJ5" s="38">
        <v>10</v>
      </c>
      <c r="CK5" t="s">
        <v>197</v>
      </c>
      <c r="CL5" s="38">
        <v>5</v>
      </c>
      <c r="CM5" t="s">
        <v>197</v>
      </c>
      <c r="CN5" s="38">
        <v>5</v>
      </c>
      <c r="CO5" s="38" t="s">
        <v>220</v>
      </c>
      <c r="CP5" s="38">
        <v>0</v>
      </c>
      <c r="CQ5" s="38" t="s">
        <v>661</v>
      </c>
      <c r="CR5" s="38">
        <v>20</v>
      </c>
      <c r="CS5"/>
    </row>
    <row r="6" spans="3:97" ht="14.4">
      <c r="C6" t="s">
        <v>199</v>
      </c>
      <c r="D6" s="38">
        <v>15</v>
      </c>
      <c r="E6" s="38">
        <v>15</v>
      </c>
      <c r="F6" s="38" t="s">
        <v>216</v>
      </c>
      <c r="G6" s="38" t="s">
        <v>178</v>
      </c>
      <c r="H6" t="s">
        <v>173</v>
      </c>
      <c r="I6"/>
      <c r="J6" t="str">
        <f t="shared" si="0"/>
        <v>DoubleHingedPlaster</v>
      </c>
      <c r="K6" s="38">
        <v>7</v>
      </c>
      <c r="L6">
        <v>10</v>
      </c>
      <c r="N6" t="s">
        <v>460</v>
      </c>
      <c r="O6" t="s">
        <v>388</v>
      </c>
      <c r="P6" s="38">
        <v>22</v>
      </c>
      <c r="R6" s="38" t="s">
        <v>230</v>
      </c>
      <c r="S6" s="38" t="s">
        <v>223</v>
      </c>
      <c r="T6" s="38" t="str">
        <f t="shared" si="7"/>
        <v>Colonial CastWoven Stainless Steel</v>
      </c>
      <c r="U6" s="38" t="s">
        <v>234</v>
      </c>
      <c r="V6" s="38" t="s">
        <v>312</v>
      </c>
      <c r="W6" s="38" t="s">
        <v>306</v>
      </c>
      <c r="AB6" t="s">
        <v>178</v>
      </c>
      <c r="AC6" t="s">
        <v>383</v>
      </c>
      <c r="AD6" t="str">
        <f t="shared" si="10" ref="AD6:AD11">CONCATENATE(AB6,AC6,)</f>
        <v>HingedUltra Secua Digital Triple Lock</v>
      </c>
      <c r="AE6" s="38" t="s">
        <v>662</v>
      </c>
      <c r="AF6" s="38">
        <v>858</v>
      </c>
      <c r="AG6" s="38">
        <v>714</v>
      </c>
      <c r="AH6" s="38">
        <v>714</v>
      </c>
      <c r="AI6" s="38">
        <v>858</v>
      </c>
      <c r="AJ6" s="38">
        <v>993</v>
      </c>
      <c r="AK6" s="38">
        <v>407</v>
      </c>
      <c r="AM6" t="s">
        <v>304</v>
      </c>
      <c r="AN6" s="38" t="s">
        <v>286</v>
      </c>
      <c r="AO6" s="38" t="str">
        <f t="shared" si="8"/>
        <v>Medium 225mm x 305mmLeft</v>
      </c>
      <c r="AP6" s="38" t="s">
        <v>323</v>
      </c>
      <c r="AQ6" s="38" t="s">
        <v>296</v>
      </c>
      <c r="AR6" s="38">
        <v>680</v>
      </c>
      <c r="AW6" s="70"/>
      <c r="AX6" s="70"/>
      <c r="AY6" s="71" t="str">
        <f>CONCATENATE(AW6,AX6,)</f>
        <v/>
      </c>
      <c r="AZ6" s="71"/>
      <c r="BB6" s="70"/>
      <c r="BC6" s="70"/>
      <c r="BD6" s="71" t="str">
        <f>CONCATENATE(BB6,BC6,)</f>
        <v/>
      </c>
      <c r="BE6" s="71"/>
      <c r="BG6" s="70"/>
      <c r="BH6" s="70"/>
      <c r="BI6" s="71" t="str">
        <f>CONCATENATE(BG6,BH6,)</f>
        <v/>
      </c>
      <c r="BJ6" s="71"/>
      <c r="BL6" s="38" t="s">
        <v>227</v>
      </c>
      <c r="BM6" s="38" t="s">
        <v>179</v>
      </c>
      <c r="BN6" s="38" t="s">
        <v>275</v>
      </c>
      <c r="BO6" s="38" t="s">
        <v>147</v>
      </c>
      <c r="BP6" s="38" t="s">
        <v>306</v>
      </c>
      <c r="BQ6" s="38" t="str">
        <f t="shared" si="9"/>
        <v>SD</v>
      </c>
      <c r="BR6" s="38" t="str">
        <f t="shared" si="1"/>
        <v>S</v>
      </c>
      <c r="BS6" s="38" t="str">
        <f t="shared" si="2"/>
        <v>T</v>
      </c>
      <c r="BT6" s="38" t="str">
        <f t="shared" si="3"/>
        <v>N</v>
      </c>
      <c r="BU6" s="38" t="str">
        <f t="shared" si="4"/>
        <v>Y</v>
      </c>
      <c r="BV6" s="38" t="str">
        <f t="shared" si="5"/>
        <v>SlidingStandard DiamondTriple LockNoYes</v>
      </c>
      <c r="BW6" s="38" t="str">
        <f t="shared" si="6"/>
        <v>SDSTNY</v>
      </c>
      <c r="BY6" s="38" t="s">
        <v>223</v>
      </c>
      <c r="CA6" s="38" t="s">
        <v>284</v>
      </c>
      <c r="CE6"/>
      <c r="CF6"/>
      <c r="CI6" t="s">
        <v>172</v>
      </c>
      <c r="CJ6" s="38">
        <v>10</v>
      </c>
      <c r="CK6" t="s">
        <v>198</v>
      </c>
      <c r="CL6" s="38">
        <v>5</v>
      </c>
      <c r="CM6" t="s">
        <v>198</v>
      </c>
      <c r="CN6" s="38">
        <v>5</v>
      </c>
      <c r="CQ6" s="38" t="s">
        <v>275</v>
      </c>
      <c r="CR6" s="38">
        <v>20</v>
      </c>
      <c r="CS6"/>
    </row>
    <row r="7" spans="3:96" ht="14.4">
      <c r="C7" t="s">
        <v>200</v>
      </c>
      <c r="D7" s="38">
        <v>20</v>
      </c>
      <c r="E7" s="38">
        <v>20</v>
      </c>
      <c r="F7" s="38" t="s">
        <v>216</v>
      </c>
      <c r="G7" s="38" t="s">
        <v>179</v>
      </c>
      <c r="H7" t="s">
        <v>166</v>
      </c>
      <c r="I7"/>
      <c r="J7" t="str">
        <f t="shared" si="0"/>
        <v>DoubleSlidingTimber</v>
      </c>
      <c r="K7" s="38">
        <v>4</v>
      </c>
      <c r="L7">
        <v>10</v>
      </c>
      <c r="N7" t="s">
        <v>388</v>
      </c>
      <c r="O7" t="s">
        <v>388</v>
      </c>
      <c r="P7" s="38">
        <v>11</v>
      </c>
      <c r="R7" s="38" t="s">
        <v>230</v>
      </c>
      <c r="S7" s="38" t="s">
        <v>326</v>
      </c>
      <c r="T7" s="38" t="str">
        <f t="shared" si="7"/>
        <v>Colonial CastPerforated Aluminium</v>
      </c>
      <c r="U7" s="38" t="s">
        <v>234</v>
      </c>
      <c r="V7" s="38" t="s">
        <v>312</v>
      </c>
      <c r="W7" s="38" t="s">
        <v>306</v>
      </c>
      <c r="AB7" t="s">
        <v>179</v>
      </c>
      <c r="AC7" t="s">
        <v>279</v>
      </c>
      <c r="AD7" t="str">
        <f t="shared" si="10"/>
        <v>SlidingSingle Lock</v>
      </c>
      <c r="AE7" s="38" t="s">
        <v>654</v>
      </c>
      <c r="AM7" t="s">
        <v>304</v>
      </c>
      <c r="AN7" s="38" t="s">
        <v>289</v>
      </c>
      <c r="AO7" s="38" t="str">
        <f t="shared" si="8"/>
        <v>Medium 225mm x 305mmRight</v>
      </c>
      <c r="AP7" s="38" t="s">
        <v>322</v>
      </c>
      <c r="AQ7" s="38" t="s">
        <v>295</v>
      </c>
      <c r="AR7" s="38">
        <v>680</v>
      </c>
      <c r="BL7" s="38" t="s">
        <v>227</v>
      </c>
      <c r="BM7" s="38" t="s">
        <v>220</v>
      </c>
      <c r="BN7" s="38" t="s">
        <v>275</v>
      </c>
      <c r="BO7" s="38" t="s">
        <v>147</v>
      </c>
      <c r="BP7" s="38" t="s">
        <v>306</v>
      </c>
      <c r="BQ7" s="38" t="str">
        <f t="shared" si="9"/>
        <v>SD</v>
      </c>
      <c r="BR7" s="38" t="str">
        <f t="shared" si="1"/>
        <v>ST</v>
      </c>
      <c r="BS7" s="38" t="str">
        <f t="shared" si="2"/>
        <v>T</v>
      </c>
      <c r="BT7" s="38" t="str">
        <f t="shared" si="3"/>
        <v>N</v>
      </c>
      <c r="BU7" s="38" t="str">
        <f t="shared" si="4"/>
        <v>Y</v>
      </c>
      <c r="BV7" s="38" t="str">
        <f t="shared" si="5"/>
        <v>StackerStandard DiamondTriple LockNoYes</v>
      </c>
      <c r="BW7" s="38" t="str">
        <f t="shared" si="6"/>
        <v>SDSTTNY</v>
      </c>
      <c r="BY7" s="38" t="s">
        <v>232</v>
      </c>
      <c r="CE7"/>
      <c r="CF7"/>
      <c r="CI7" t="s">
        <v>173</v>
      </c>
      <c r="CJ7" s="38">
        <v>0</v>
      </c>
      <c r="CK7" t="s">
        <v>199</v>
      </c>
      <c r="CL7" s="38">
        <v>5</v>
      </c>
      <c r="CM7" t="s">
        <v>199</v>
      </c>
      <c r="CN7" s="38">
        <v>5</v>
      </c>
      <c r="CQ7" s="38" t="s">
        <v>410</v>
      </c>
      <c r="CR7" s="38">
        <v>0</v>
      </c>
    </row>
    <row r="8" spans="3:96" ht="14.4">
      <c r="C8" t="s">
        <v>201</v>
      </c>
      <c r="D8" s="38">
        <v>2</v>
      </c>
      <c r="E8" s="38">
        <v>0</v>
      </c>
      <c r="F8" s="38" t="s">
        <v>216</v>
      </c>
      <c r="G8" s="38" t="s">
        <v>179</v>
      </c>
      <c r="H8" t="s">
        <v>170</v>
      </c>
      <c r="I8"/>
      <c r="J8" t="str">
        <f t="shared" si="0"/>
        <v>DoubleSlidingSteel</v>
      </c>
      <c r="K8" s="38">
        <v>4</v>
      </c>
      <c r="L8">
        <v>10</v>
      </c>
      <c r="N8" t="s">
        <v>387</v>
      </c>
      <c r="O8" t="s">
        <v>387</v>
      </c>
      <c r="P8" s="38">
        <v>11</v>
      </c>
      <c r="R8" s="38" t="s">
        <v>230</v>
      </c>
      <c r="S8" s="38" t="s">
        <v>340</v>
      </c>
      <c r="T8" s="38" t="str">
        <f t="shared" si="7"/>
        <v>Colonial CastDVA Mesh</v>
      </c>
      <c r="U8" s="38" t="s">
        <v>234</v>
      </c>
      <c r="V8" s="38" t="s">
        <v>312</v>
      </c>
      <c r="W8" s="38" t="s">
        <v>306</v>
      </c>
      <c r="AB8" t="s">
        <v>179</v>
      </c>
      <c r="AC8" t="s">
        <v>660</v>
      </c>
      <c r="AD8" t="str">
        <f t="shared" si="11" ref="AD8">CONCATENATE(AB8,AC8,)</f>
        <v>SlidingPush 2 Go Single Lock</v>
      </c>
      <c r="AE8" s="38" t="s">
        <v>654</v>
      </c>
      <c r="AM8" t="s">
        <v>304</v>
      </c>
      <c r="AN8" s="38" t="s">
        <v>287</v>
      </c>
      <c r="AO8" s="38" t="str">
        <f t="shared" si="8"/>
        <v>Medium 225mm x 305mmCentre</v>
      </c>
      <c r="AP8" s="38" t="s">
        <v>321</v>
      </c>
      <c r="AQ8" s="38" t="s">
        <v>316</v>
      </c>
      <c r="AR8" s="38">
        <v>1090</v>
      </c>
      <c r="BL8" s="38" t="s">
        <v>227</v>
      </c>
      <c r="BM8" s="38" t="s">
        <v>178</v>
      </c>
      <c r="BN8" s="38" t="s">
        <v>410</v>
      </c>
      <c r="BO8" s="38" t="s">
        <v>147</v>
      </c>
      <c r="BP8" s="38" t="s">
        <v>306</v>
      </c>
      <c r="BQ8" s="38" t="str">
        <f t="shared" si="9"/>
        <v>SD</v>
      </c>
      <c r="BR8" s="38" t="str">
        <f t="shared" si="1"/>
        <v>H</v>
      </c>
      <c r="BS8" s="38" t="str">
        <f t="shared" si="2"/>
        <v>N</v>
      </c>
      <c r="BT8" s="38" t="str">
        <f t="shared" si="3"/>
        <v>N</v>
      </c>
      <c r="BU8" s="38" t="str">
        <f t="shared" si="4"/>
        <v>Y</v>
      </c>
      <c r="BV8" s="38" t="str">
        <f t="shared" si="5"/>
        <v>HingedStandard DiamondNot RequiredNoYes</v>
      </c>
      <c r="BW8" s="38" t="str">
        <f t="shared" si="6"/>
        <v>SDHNNY</v>
      </c>
      <c r="BY8" s="38" t="s">
        <v>233</v>
      </c>
      <c r="CF8"/>
      <c r="CI8"/>
      <c r="CK8" t="s">
        <v>200</v>
      </c>
      <c r="CL8" s="38">
        <v>5</v>
      </c>
      <c r="CM8" t="s">
        <v>200</v>
      </c>
      <c r="CN8" s="38">
        <v>5</v>
      </c>
      <c r="CQ8" s="38" t="s">
        <v>383</v>
      </c>
      <c r="CR8" s="38">
        <v>30</v>
      </c>
    </row>
    <row r="9" spans="3:96" ht="14.4">
      <c r="C9" t="s">
        <v>202</v>
      </c>
      <c r="D9" s="38">
        <v>5</v>
      </c>
      <c r="E9" s="38">
        <v>0</v>
      </c>
      <c r="F9" s="38" t="s">
        <v>216</v>
      </c>
      <c r="G9" s="38" t="s">
        <v>179</v>
      </c>
      <c r="H9" t="s">
        <v>171</v>
      </c>
      <c r="I9"/>
      <c r="J9" t="str">
        <f t="shared" si="0"/>
        <v>DoubleSlidingAluminium</v>
      </c>
      <c r="K9" s="38">
        <v>4</v>
      </c>
      <c r="L9">
        <v>10</v>
      </c>
      <c r="N9" t="s">
        <v>372</v>
      </c>
      <c r="O9" t="s">
        <v>372</v>
      </c>
      <c r="P9" s="38">
        <v>31</v>
      </c>
      <c r="R9" s="38" t="s">
        <v>229</v>
      </c>
      <c r="S9" s="38" t="s">
        <v>329</v>
      </c>
      <c r="T9" s="38" t="str">
        <f t="shared" si="7"/>
        <v>Decorative DiamondFibreglass Mesh</v>
      </c>
      <c r="U9" s="38" t="s">
        <v>234</v>
      </c>
      <c r="V9" s="38" t="s">
        <v>312</v>
      </c>
      <c r="W9" s="38" t="s">
        <v>312</v>
      </c>
      <c r="AB9" t="s">
        <v>179</v>
      </c>
      <c r="AC9" t="s">
        <v>275</v>
      </c>
      <c r="AD9" t="str">
        <f t="shared" si="10"/>
        <v>SlidingTriple Lock</v>
      </c>
      <c r="AE9" s="38" t="s">
        <v>656</v>
      </c>
      <c r="AF9" s="38">
        <v>993</v>
      </c>
      <c r="AG9" s="38">
        <v>578</v>
      </c>
      <c r="AH9" s="38">
        <v>578</v>
      </c>
      <c r="AI9" s="38">
        <v>993</v>
      </c>
      <c r="AJ9" s="38">
        <v>993</v>
      </c>
      <c r="AK9" s="38">
        <v>407</v>
      </c>
      <c r="AM9" t="s">
        <v>304</v>
      </c>
      <c r="AN9" s="38" t="s">
        <v>290</v>
      </c>
      <c r="AO9" s="38" t="str">
        <f t="shared" si="8"/>
        <v>Medium 225mm x 305mmOther - Attach Diagram</v>
      </c>
      <c r="AP9" s="38" t="s">
        <v>321</v>
      </c>
      <c r="AQ9" s="38" t="s">
        <v>316</v>
      </c>
      <c r="AR9" s="38">
        <v>1090</v>
      </c>
      <c r="BL9" s="38" t="s">
        <v>227</v>
      </c>
      <c r="BM9" s="38" t="s">
        <v>179</v>
      </c>
      <c r="BN9" s="38" t="s">
        <v>410</v>
      </c>
      <c r="BO9" s="38" t="s">
        <v>147</v>
      </c>
      <c r="BP9" s="38" t="s">
        <v>306</v>
      </c>
      <c r="BQ9" s="38" t="str">
        <f t="shared" si="9"/>
        <v>SD</v>
      </c>
      <c r="BR9" s="38" t="str">
        <f t="shared" si="1"/>
        <v>S</v>
      </c>
      <c r="BS9" s="38" t="str">
        <f t="shared" si="2"/>
        <v>N</v>
      </c>
      <c r="BT9" s="38" t="str">
        <f t="shared" si="3"/>
        <v>N</v>
      </c>
      <c r="BU9" s="38" t="str">
        <f t="shared" si="4"/>
        <v>Y</v>
      </c>
      <c r="BV9" s="38" t="str">
        <f t="shared" si="5"/>
        <v>SlidingStandard DiamondNot RequiredNoYes</v>
      </c>
      <c r="BW9" s="38" t="str">
        <f t="shared" si="6"/>
        <v>SDSNNY</v>
      </c>
      <c r="BY9" s="38" t="s">
        <v>417</v>
      </c>
      <c r="CF9"/>
      <c r="CI9"/>
      <c r="CK9" t="s">
        <v>201</v>
      </c>
      <c r="CL9" s="38">
        <v>5</v>
      </c>
      <c r="CM9" t="s">
        <v>201</v>
      </c>
      <c r="CN9" s="38">
        <v>5</v>
      </c>
      <c r="CQ9" s="38" t="s">
        <v>284</v>
      </c>
      <c r="CR9" s="38">
        <v>3</v>
      </c>
    </row>
    <row r="10" spans="3:92" ht="14.4">
      <c r="C10" t="s">
        <v>203</v>
      </c>
      <c r="D10" s="38">
        <v>10</v>
      </c>
      <c r="E10" s="38">
        <v>0</v>
      </c>
      <c r="F10" s="38" t="s">
        <v>216</v>
      </c>
      <c r="G10" s="38" t="s">
        <v>179</v>
      </c>
      <c r="H10" t="s">
        <v>172</v>
      </c>
      <c r="I10"/>
      <c r="J10" t="str">
        <f t="shared" si="0"/>
        <v>DoubleSlidingBrick</v>
      </c>
      <c r="K10" s="38">
        <v>4</v>
      </c>
      <c r="L10">
        <v>10</v>
      </c>
      <c r="N10" t="s">
        <v>389</v>
      </c>
      <c r="O10" t="s">
        <v>372</v>
      </c>
      <c r="P10" s="38">
        <v>40</v>
      </c>
      <c r="R10" s="38" t="s">
        <v>229</v>
      </c>
      <c r="S10" s="38" t="s">
        <v>330</v>
      </c>
      <c r="T10" s="38" t="str">
        <f t="shared" si="7"/>
        <v>Decorative DiamondPet Mesh</v>
      </c>
      <c r="U10" s="38" t="s">
        <v>234</v>
      </c>
      <c r="V10" s="38" t="s">
        <v>312</v>
      </c>
      <c r="W10" s="38" t="s">
        <v>312</v>
      </c>
      <c r="AB10" t="s">
        <v>179</v>
      </c>
      <c r="AC10" t="s">
        <v>661</v>
      </c>
      <c r="AD10" t="str">
        <f t="shared" si="12" ref="AD10">CONCATENATE(AB10,AC10,)</f>
        <v>SlidingPush 2 Go Triple Lock</v>
      </c>
      <c r="AE10" s="38" t="s">
        <v>656</v>
      </c>
      <c r="AF10" s="38">
        <v>993</v>
      </c>
      <c r="AG10" s="38">
        <v>578</v>
      </c>
      <c r="AH10" s="38">
        <v>578</v>
      </c>
      <c r="AI10" s="38">
        <v>993</v>
      </c>
      <c r="AJ10" s="38">
        <v>993</v>
      </c>
      <c r="AK10" s="38">
        <v>407</v>
      </c>
      <c r="AM10" t="s">
        <v>305</v>
      </c>
      <c r="AN10" s="38" t="s">
        <v>286</v>
      </c>
      <c r="AO10" s="38" t="str">
        <f t="shared" si="8"/>
        <v>Large 260mm x 400mmLeft</v>
      </c>
      <c r="AP10" s="38" t="s">
        <v>319</v>
      </c>
      <c r="AQ10" s="38" t="s">
        <v>298</v>
      </c>
      <c r="AR10" s="38">
        <v>810</v>
      </c>
      <c r="BL10" s="38" t="s">
        <v>227</v>
      </c>
      <c r="BM10" s="38" t="s">
        <v>220</v>
      </c>
      <c r="BN10" s="38" t="s">
        <v>410</v>
      </c>
      <c r="BO10" s="38" t="s">
        <v>147</v>
      </c>
      <c r="BP10" s="38" t="s">
        <v>306</v>
      </c>
      <c r="BQ10" s="38" t="str">
        <f t="shared" si="9"/>
        <v>SD</v>
      </c>
      <c r="BR10" s="38" t="str">
        <f t="shared" si="1"/>
        <v>ST</v>
      </c>
      <c r="BS10" s="38" t="str">
        <f t="shared" si="2"/>
        <v>N</v>
      </c>
      <c r="BT10" s="38" t="str">
        <f t="shared" si="3"/>
        <v>N</v>
      </c>
      <c r="BU10" s="38" t="str">
        <f t="shared" si="4"/>
        <v>Y</v>
      </c>
      <c r="BV10" s="38" t="str">
        <f t="shared" si="5"/>
        <v>StackerStandard DiamondNot RequiredNoYes</v>
      </c>
      <c r="BW10" s="38" t="str">
        <f t="shared" si="6"/>
        <v>SDSTNNY</v>
      </c>
      <c r="CI10"/>
      <c r="CK10" t="s">
        <v>202</v>
      </c>
      <c r="CL10" s="38">
        <v>5</v>
      </c>
      <c r="CM10" t="s">
        <v>202</v>
      </c>
      <c r="CN10" s="38">
        <v>5</v>
      </c>
    </row>
    <row r="11" spans="3:92" ht="14.4">
      <c r="C11" t="s">
        <v>204</v>
      </c>
      <c r="D11" s="38">
        <v>15</v>
      </c>
      <c r="E11" s="38">
        <v>0</v>
      </c>
      <c r="F11" s="38" t="s">
        <v>216</v>
      </c>
      <c r="G11" s="38" t="s">
        <v>179</v>
      </c>
      <c r="H11" t="s">
        <v>173</v>
      </c>
      <c r="I11"/>
      <c r="J11" t="str">
        <f t="shared" si="0"/>
        <v>DoubleSlidingPlaster</v>
      </c>
      <c r="K11" s="38">
        <v>4</v>
      </c>
      <c r="L11">
        <v>10</v>
      </c>
      <c r="N11" t="s">
        <v>147</v>
      </c>
      <c r="O11"/>
      <c r="P11" s="38">
        <v>0</v>
      </c>
      <c r="R11" s="38" t="s">
        <v>229</v>
      </c>
      <c r="S11" s="38" t="s">
        <v>331</v>
      </c>
      <c r="T11" s="38" t="str">
        <f t="shared" si="7"/>
        <v>Decorative DiamondPrivacy Plus</v>
      </c>
      <c r="U11" s="38" t="s">
        <v>234</v>
      </c>
      <c r="V11" s="38" t="s">
        <v>312</v>
      </c>
      <c r="W11" s="38" t="s">
        <v>306</v>
      </c>
      <c r="AB11" t="s">
        <v>179</v>
      </c>
      <c r="AC11" t="s">
        <v>284</v>
      </c>
      <c r="AD11" t="str">
        <f t="shared" si="10"/>
        <v>SlidingBass Latch</v>
      </c>
      <c r="AE11" t="s">
        <v>285</v>
      </c>
      <c r="AF11"/>
      <c r="AG11"/>
      <c r="AH11"/>
      <c r="AI11"/>
      <c r="AJ11"/>
      <c r="AK11"/>
      <c r="AM11" t="s">
        <v>305</v>
      </c>
      <c r="AN11" s="38" t="s">
        <v>289</v>
      </c>
      <c r="AO11" s="38" t="str">
        <f t="shared" si="8"/>
        <v>Large 260mm x 400mmRight</v>
      </c>
      <c r="AP11" s="38" t="s">
        <v>320</v>
      </c>
      <c r="AQ11" s="38" t="s">
        <v>297</v>
      </c>
      <c r="AR11" s="38">
        <v>810</v>
      </c>
      <c r="BL11" s="38" t="s">
        <v>227</v>
      </c>
      <c r="BM11" s="38" t="s">
        <v>178</v>
      </c>
      <c r="BN11" s="38" t="s">
        <v>383</v>
      </c>
      <c r="BO11" s="38" t="s">
        <v>147</v>
      </c>
      <c r="BP11" s="38" t="s">
        <v>306</v>
      </c>
      <c r="BQ11" s="38" t="str">
        <f t="shared" si="9"/>
        <v>SD</v>
      </c>
      <c r="BR11" s="38" t="str">
        <f t="shared" si="1"/>
        <v>H</v>
      </c>
      <c r="BS11" s="38" t="str">
        <f t="shared" si="2"/>
        <v>D</v>
      </c>
      <c r="BT11" s="38" t="str">
        <f t="shared" si="3"/>
        <v>N</v>
      </c>
      <c r="BU11" s="38" t="str">
        <f t="shared" si="4"/>
        <v>Y</v>
      </c>
      <c r="BV11" s="38" t="str">
        <f t="shared" si="5"/>
        <v>HingedStandard DiamondUltra Secua Digital Triple LockNoYes</v>
      </c>
      <c r="BW11" s="38" t="str">
        <f t="shared" si="6"/>
        <v>SDHDNY</v>
      </c>
      <c r="CK11" t="s">
        <v>203</v>
      </c>
      <c r="CL11" s="38">
        <v>5</v>
      </c>
      <c r="CM11" t="s">
        <v>203</v>
      </c>
      <c r="CN11" s="38">
        <v>5</v>
      </c>
    </row>
    <row r="12" spans="3:92" ht="14.4">
      <c r="C12" t="s">
        <v>205</v>
      </c>
      <c r="D12" s="38">
        <v>20</v>
      </c>
      <c r="E12" s="38">
        <v>0</v>
      </c>
      <c r="F12" s="38" t="s">
        <v>216</v>
      </c>
      <c r="G12" s="38" t="s">
        <v>220</v>
      </c>
      <c r="H12" t="s">
        <v>166</v>
      </c>
      <c r="I12"/>
      <c r="J12" t="str">
        <f t="shared" si="0"/>
        <v>DoubleStackerTimber</v>
      </c>
      <c r="K12" s="38">
        <v>4</v>
      </c>
      <c r="L12">
        <v>10</v>
      </c>
      <c r="N12"/>
      <c r="O12"/>
      <c r="R12" s="38" t="s">
        <v>229</v>
      </c>
      <c r="S12" s="38" t="s">
        <v>223</v>
      </c>
      <c r="T12" s="38" t="str">
        <f t="shared" si="7"/>
        <v>Decorative DiamondWoven Stainless Steel</v>
      </c>
      <c r="U12" s="38" t="s">
        <v>234</v>
      </c>
      <c r="V12" s="38" t="s">
        <v>312</v>
      </c>
      <c r="W12" s="38" t="s">
        <v>306</v>
      </c>
      <c r="AB12" t="s">
        <v>220</v>
      </c>
      <c r="AC12" t="s">
        <v>279</v>
      </c>
      <c r="AD12" t="str">
        <f t="shared" si="13" ref="AD12:AD16">CONCATENATE(AB12,AC12,)</f>
        <v>StackerSingle Lock</v>
      </c>
      <c r="AE12" s="38" t="s">
        <v>654</v>
      </c>
      <c r="AM12" t="s">
        <v>305</v>
      </c>
      <c r="AN12" s="38" t="s">
        <v>287</v>
      </c>
      <c r="AO12" s="38" t="str">
        <f t="shared" si="8"/>
        <v>Large 260mm x 400mmCentre</v>
      </c>
      <c r="AP12" s="38" t="s">
        <v>318</v>
      </c>
      <c r="AQ12" s="38" t="s">
        <v>317</v>
      </c>
      <c r="AR12" s="38">
        <v>1315</v>
      </c>
      <c r="BL12" s="38" t="s">
        <v>227</v>
      </c>
      <c r="BM12" s="38" t="s">
        <v>179</v>
      </c>
      <c r="BN12" s="38" t="s">
        <v>383</v>
      </c>
      <c r="BO12" s="38" t="s">
        <v>147</v>
      </c>
      <c r="BP12" s="38" t="s">
        <v>306</v>
      </c>
      <c r="BQ12" s="38" t="str">
        <f t="shared" si="9"/>
        <v>SD</v>
      </c>
      <c r="BR12" s="38" t="str">
        <f t="shared" si="1"/>
        <v>S</v>
      </c>
      <c r="BS12" s="38" t="str">
        <f t="shared" si="2"/>
        <v>D</v>
      </c>
      <c r="BT12" s="38" t="str">
        <f t="shared" si="3"/>
        <v>N</v>
      </c>
      <c r="BU12" s="38" t="str">
        <f t="shared" si="4"/>
        <v>Y</v>
      </c>
      <c r="BV12" s="38" t="str">
        <f t="shared" si="5"/>
        <v>SlidingStandard DiamondUltra Secua Digital Triple LockNoYes</v>
      </c>
      <c r="BW12" s="38" t="str">
        <f t="shared" si="6"/>
        <v>SDSDNY</v>
      </c>
      <c r="CK12" t="s">
        <v>204</v>
      </c>
      <c r="CL12" s="38">
        <v>5</v>
      </c>
      <c r="CM12" t="s">
        <v>204</v>
      </c>
      <c r="CN12" s="38">
        <v>5</v>
      </c>
    </row>
    <row r="13" spans="3:92" ht="14.4">
      <c r="C13" t="s">
        <v>206</v>
      </c>
      <c r="D13" s="38">
        <v>0</v>
      </c>
      <c r="E13" s="38">
        <v>2</v>
      </c>
      <c r="F13" s="38" t="s">
        <v>216</v>
      </c>
      <c r="G13" s="38" t="s">
        <v>220</v>
      </c>
      <c r="H13" t="s">
        <v>170</v>
      </c>
      <c r="I13"/>
      <c r="J13" t="str">
        <f t="shared" si="0"/>
        <v>DoubleStackerSteel</v>
      </c>
      <c r="K13" s="38">
        <v>4</v>
      </c>
      <c r="L13">
        <v>10</v>
      </c>
      <c r="N13"/>
      <c r="O13"/>
      <c r="R13" s="38" t="s">
        <v>229</v>
      </c>
      <c r="S13" s="38" t="s">
        <v>326</v>
      </c>
      <c r="T13" s="38" t="str">
        <f t="shared" si="7"/>
        <v>Decorative DiamondPerforated Aluminium</v>
      </c>
      <c r="U13" s="38" t="s">
        <v>234</v>
      </c>
      <c r="V13" s="38" t="s">
        <v>312</v>
      </c>
      <c r="W13" s="38" t="s">
        <v>306</v>
      </c>
      <c r="AB13" t="s">
        <v>220</v>
      </c>
      <c r="AC13" t="s">
        <v>660</v>
      </c>
      <c r="AD13" t="str">
        <f t="shared" si="13"/>
        <v>StackerPush 2 Go Single Lock</v>
      </c>
      <c r="AE13" s="38" t="s">
        <v>654</v>
      </c>
      <c r="AM13" t="s">
        <v>305</v>
      </c>
      <c r="AN13" s="38" t="s">
        <v>290</v>
      </c>
      <c r="AO13" s="38" t="str">
        <f t="shared" si="8"/>
        <v>Large 260mm x 400mmOther - Attach Diagram</v>
      </c>
      <c r="AP13" s="38" t="s">
        <v>318</v>
      </c>
      <c r="AQ13" s="38" t="s">
        <v>317</v>
      </c>
      <c r="AR13" s="38">
        <v>1315</v>
      </c>
      <c r="BL13" s="38" t="s">
        <v>227</v>
      </c>
      <c r="BM13" s="38" t="s">
        <v>220</v>
      </c>
      <c r="BN13" s="38" t="s">
        <v>383</v>
      </c>
      <c r="BO13" s="38" t="s">
        <v>147</v>
      </c>
      <c r="BP13" s="38" t="s">
        <v>306</v>
      </c>
      <c r="BQ13" s="38" t="str">
        <f t="shared" si="9"/>
        <v>SD</v>
      </c>
      <c r="BR13" s="38" t="str">
        <f t="shared" si="1"/>
        <v>ST</v>
      </c>
      <c r="BS13" s="38" t="str">
        <f t="shared" si="2"/>
        <v>D</v>
      </c>
      <c r="BT13" s="38" t="str">
        <f t="shared" si="3"/>
        <v>N</v>
      </c>
      <c r="BU13" s="38" t="str">
        <f t="shared" si="4"/>
        <v>Y</v>
      </c>
      <c r="BV13" s="38" t="str">
        <f t="shared" si="5"/>
        <v>StackerStandard DiamondUltra Secua Digital Triple LockNoYes</v>
      </c>
      <c r="BW13" s="38" t="str">
        <f t="shared" si="6"/>
        <v>SDSTDNY</v>
      </c>
      <c r="CK13" t="s">
        <v>205</v>
      </c>
      <c r="CL13" s="38">
        <v>5</v>
      </c>
      <c r="CM13" t="s">
        <v>205</v>
      </c>
      <c r="CN13" s="38">
        <v>5</v>
      </c>
    </row>
    <row r="14" spans="3:92" ht="14.4">
      <c r="C14" t="s">
        <v>394</v>
      </c>
      <c r="D14" s="38">
        <v>0</v>
      </c>
      <c r="E14" s="38">
        <v>3</v>
      </c>
      <c r="F14" s="38" t="s">
        <v>216</v>
      </c>
      <c r="G14" s="38" t="s">
        <v>220</v>
      </c>
      <c r="H14" t="s">
        <v>171</v>
      </c>
      <c r="I14"/>
      <c r="J14" t="str">
        <f t="shared" si="0"/>
        <v>DoubleStackerAluminium</v>
      </c>
      <c r="K14" s="38">
        <v>4</v>
      </c>
      <c r="L14">
        <v>10</v>
      </c>
      <c r="N14"/>
      <c r="O14"/>
      <c r="R14" s="38" t="s">
        <v>229</v>
      </c>
      <c r="S14" s="38" t="s">
        <v>340</v>
      </c>
      <c r="T14" s="38" t="str">
        <f t="shared" si="7"/>
        <v>Decorative DiamondDVA Mesh</v>
      </c>
      <c r="U14" s="38" t="s">
        <v>234</v>
      </c>
      <c r="V14" s="38" t="s">
        <v>312</v>
      </c>
      <c r="W14" s="38" t="s">
        <v>306</v>
      </c>
      <c r="AB14" t="s">
        <v>220</v>
      </c>
      <c r="AC14" t="s">
        <v>275</v>
      </c>
      <c r="AD14" t="str">
        <f t="shared" si="13"/>
        <v>StackerTriple Lock</v>
      </c>
      <c r="AE14" s="38" t="s">
        <v>656</v>
      </c>
      <c r="AF14" s="38">
        <v>993</v>
      </c>
      <c r="AG14" s="38">
        <v>578</v>
      </c>
      <c r="AH14" s="38">
        <v>578</v>
      </c>
      <c r="AI14" s="38">
        <v>993</v>
      </c>
      <c r="AJ14" s="38">
        <v>993</v>
      </c>
      <c r="AK14" s="38">
        <v>407</v>
      </c>
      <c r="BL14" s="38" t="s">
        <v>227</v>
      </c>
      <c r="BM14" s="38" t="s">
        <v>178</v>
      </c>
      <c r="BN14" s="38" t="s">
        <v>284</v>
      </c>
      <c r="BO14" s="38" t="s">
        <v>147</v>
      </c>
      <c r="BP14" s="38" t="s">
        <v>306</v>
      </c>
      <c r="BQ14" s="38" t="str">
        <f t="shared" si="9"/>
        <v>SD</v>
      </c>
      <c r="BR14" s="38" t="str">
        <f t="shared" si="1"/>
        <v>H</v>
      </c>
      <c r="BS14" s="38" t="str">
        <f t="shared" si="2"/>
        <v>B</v>
      </c>
      <c r="BT14" s="38" t="str">
        <f t="shared" si="3"/>
        <v>N</v>
      </c>
      <c r="BU14" s="38" t="str">
        <f t="shared" si="4"/>
        <v>Y</v>
      </c>
      <c r="BV14" s="38" t="str">
        <f t="shared" si="5"/>
        <v>HingedStandard DiamondBass LatchNoYes</v>
      </c>
      <c r="BW14" s="38" t="str">
        <f t="shared" si="6"/>
        <v>SDHBNY</v>
      </c>
      <c r="CK14" t="s">
        <v>206</v>
      </c>
      <c r="CL14" s="38">
        <v>5</v>
      </c>
      <c r="CM14" t="s">
        <v>206</v>
      </c>
      <c r="CN14" s="38">
        <v>5</v>
      </c>
    </row>
    <row r="15" spans="3:92" ht="14.4">
      <c r="C15" t="s">
        <v>207</v>
      </c>
      <c r="D15" s="38">
        <v>0</v>
      </c>
      <c r="E15" s="38">
        <v>5</v>
      </c>
      <c r="F15" s="38" t="s">
        <v>216</v>
      </c>
      <c r="G15" s="38" t="s">
        <v>220</v>
      </c>
      <c r="H15" t="s">
        <v>172</v>
      </c>
      <c r="I15"/>
      <c r="J15" t="str">
        <f t="shared" si="0"/>
        <v>DoubleStackerBrick</v>
      </c>
      <c r="K15" s="38">
        <v>4</v>
      </c>
      <c r="L15">
        <v>10</v>
      </c>
      <c r="N15"/>
      <c r="O15"/>
      <c r="R15" s="38" t="s">
        <v>329</v>
      </c>
      <c r="T15" s="38" t="str">
        <f t="shared" si="7"/>
        <v>Fibreglass Mesh</v>
      </c>
      <c r="U15" s="38" t="s">
        <v>234</v>
      </c>
      <c r="V15" s="38" t="s">
        <v>312</v>
      </c>
      <c r="W15" s="38" t="s">
        <v>312</v>
      </c>
      <c r="AB15" t="s">
        <v>220</v>
      </c>
      <c r="AC15" t="s">
        <v>661</v>
      </c>
      <c r="AD15" t="str">
        <f t="shared" si="13"/>
        <v>StackerPush 2 Go Triple Lock</v>
      </c>
      <c r="AE15" s="38" t="s">
        <v>656</v>
      </c>
      <c r="AF15" s="38">
        <v>993</v>
      </c>
      <c r="AG15" s="38">
        <v>578</v>
      </c>
      <c r="AH15" s="38">
        <v>578</v>
      </c>
      <c r="AI15" s="38">
        <v>993</v>
      </c>
      <c r="AJ15" s="38">
        <v>993</v>
      </c>
      <c r="AK15" s="38">
        <v>407</v>
      </c>
      <c r="BL15" s="38" t="s">
        <v>227</v>
      </c>
      <c r="BM15" s="38" t="s">
        <v>179</v>
      </c>
      <c r="BN15" s="38" t="s">
        <v>284</v>
      </c>
      <c r="BO15" s="38" t="s">
        <v>147</v>
      </c>
      <c r="BP15" s="38" t="s">
        <v>306</v>
      </c>
      <c r="BQ15" s="38" t="str">
        <f t="shared" si="9"/>
        <v>SD</v>
      </c>
      <c r="BR15" s="38" t="str">
        <f t="shared" si="1"/>
        <v>S</v>
      </c>
      <c r="BS15" s="38" t="str">
        <f t="shared" si="2"/>
        <v>B</v>
      </c>
      <c r="BT15" s="38" t="str">
        <f t="shared" si="3"/>
        <v>N</v>
      </c>
      <c r="BU15" s="38" t="str">
        <f t="shared" si="4"/>
        <v>Y</v>
      </c>
      <c r="BV15" s="38" t="str">
        <f t="shared" si="5"/>
        <v>SlidingStandard DiamondBass LatchNoYes</v>
      </c>
      <c r="BW15" s="38" t="str">
        <f t="shared" si="6"/>
        <v>SDSBNY</v>
      </c>
      <c r="CK15" t="s">
        <v>394</v>
      </c>
      <c r="CL15" s="38">
        <v>5</v>
      </c>
      <c r="CM15" t="s">
        <v>394</v>
      </c>
      <c r="CN15" s="38">
        <v>5</v>
      </c>
    </row>
    <row r="16" spans="3:92" ht="14.4">
      <c r="C16" t="s">
        <v>196</v>
      </c>
      <c r="D16" s="38">
        <v>0</v>
      </c>
      <c r="E16" s="38">
        <v>10</v>
      </c>
      <c r="F16" s="38" t="s">
        <v>216</v>
      </c>
      <c r="G16" s="38" t="s">
        <v>220</v>
      </c>
      <c r="H16" t="s">
        <v>173</v>
      </c>
      <c r="I16"/>
      <c r="J16" t="str">
        <f t="shared" si="0"/>
        <v>DoubleStackerPlaster</v>
      </c>
      <c r="K16" s="38">
        <v>4</v>
      </c>
      <c r="L16">
        <v>10</v>
      </c>
      <c r="N16"/>
      <c r="O16"/>
      <c r="R16" s="38" t="s">
        <v>377</v>
      </c>
      <c r="T16" s="38" t="str">
        <f t="shared" si="7"/>
        <v>Alu-Screen</v>
      </c>
      <c r="U16" s="38" t="s">
        <v>234</v>
      </c>
      <c r="V16" s="38" t="s">
        <v>312</v>
      </c>
      <c r="W16" s="38" t="s">
        <v>312</v>
      </c>
      <c r="AB16" t="s">
        <v>220</v>
      </c>
      <c r="AC16" t="s">
        <v>284</v>
      </c>
      <c r="AD16" t="str">
        <f t="shared" si="13"/>
        <v>StackerBass Latch</v>
      </c>
      <c r="AE16" t="s">
        <v>285</v>
      </c>
      <c r="AF16"/>
      <c r="AG16"/>
      <c r="AH16"/>
      <c r="AI16"/>
      <c r="AJ16"/>
      <c r="AK16"/>
      <c r="BL16" s="38" t="s">
        <v>227</v>
      </c>
      <c r="BM16" s="38" t="s">
        <v>220</v>
      </c>
      <c r="BN16" s="38" t="s">
        <v>284</v>
      </c>
      <c r="BO16" s="38" t="s">
        <v>147</v>
      </c>
      <c r="BP16" s="38" t="s">
        <v>306</v>
      </c>
      <c r="BQ16" s="38" t="str">
        <f t="shared" si="9"/>
        <v>SD</v>
      </c>
      <c r="BR16" s="38" t="str">
        <f t="shared" si="1"/>
        <v>ST</v>
      </c>
      <c r="BS16" s="38" t="str">
        <f t="shared" si="2"/>
        <v>B</v>
      </c>
      <c r="BT16" s="38" t="str">
        <f t="shared" si="3"/>
        <v>N</v>
      </c>
      <c r="BU16" s="38" t="str">
        <f t="shared" si="4"/>
        <v>Y</v>
      </c>
      <c r="BV16" s="38" t="str">
        <f t="shared" si="5"/>
        <v>StackerStandard DiamondBass LatchNoYes</v>
      </c>
      <c r="BW16" s="38" t="str">
        <f t="shared" si="6"/>
        <v>SDSTBNY</v>
      </c>
      <c r="CK16" t="s">
        <v>207</v>
      </c>
      <c r="CL16" s="38">
        <v>5</v>
      </c>
      <c r="CM16" t="s">
        <v>207</v>
      </c>
      <c r="CN16" s="38">
        <v>5</v>
      </c>
    </row>
    <row r="17" spans="3:92" ht="14.4">
      <c r="C17" t="s">
        <v>208</v>
      </c>
      <c r="D17" s="38">
        <v>0</v>
      </c>
      <c r="E17" s="38">
        <v>15</v>
      </c>
      <c r="F17" s="38" t="s">
        <v>216</v>
      </c>
      <c r="G17" s="38" t="s">
        <v>178</v>
      </c>
      <c r="H17" t="s">
        <v>166</v>
      </c>
      <c r="I17" t="s">
        <v>195</v>
      </c>
      <c r="J17" t="str">
        <f t="shared" si="0"/>
        <v>DoubleHingedTimberLong Leg Left, Right and Top</v>
      </c>
      <c r="K17" s="38">
        <v>8</v>
      </c>
      <c r="L17">
        <v>12</v>
      </c>
      <c r="N17"/>
      <c r="O17"/>
      <c r="R17" s="38" t="s">
        <v>330</v>
      </c>
      <c r="T17" s="38" t="str">
        <f t="shared" si="7"/>
        <v>Pet Mesh</v>
      </c>
      <c r="U17" s="38" t="s">
        <v>234</v>
      </c>
      <c r="V17" s="38" t="s">
        <v>312</v>
      </c>
      <c r="W17" s="38" t="s">
        <v>312</v>
      </c>
      <c r="BL17" s="38" t="s">
        <v>227</v>
      </c>
      <c r="BM17" s="38" t="s">
        <v>178</v>
      </c>
      <c r="BN17" s="38" t="s">
        <v>279</v>
      </c>
      <c r="BO17" s="38" t="s">
        <v>411</v>
      </c>
      <c r="BP17" s="38" t="s">
        <v>306</v>
      </c>
      <c r="BQ17" s="38" t="str">
        <f t="shared" si="9"/>
        <v>SD</v>
      </c>
      <c r="BR17" s="38" t="str">
        <f t="shared" si="1"/>
        <v>H</v>
      </c>
      <c r="BS17" s="38" t="str">
        <f t="shared" si="2"/>
        <v>S</v>
      </c>
      <c r="BT17" s="38" t="str">
        <f t="shared" si="3"/>
        <v>Y</v>
      </c>
      <c r="BU17" s="38" t="str">
        <f t="shared" si="4"/>
        <v>Y</v>
      </c>
      <c r="BV17" s="38" t="str">
        <f t="shared" si="5"/>
        <v>HingedStandard DiamondSingle LockYes - CentreYes</v>
      </c>
      <c r="BW17" s="38" t="str">
        <f t="shared" si="6"/>
        <v>SDHSYY</v>
      </c>
      <c r="CK17" t="s">
        <v>196</v>
      </c>
      <c r="CL17" s="38">
        <v>5</v>
      </c>
      <c r="CM17" t="s">
        <v>196</v>
      </c>
      <c r="CN17" s="38">
        <v>5</v>
      </c>
    </row>
    <row r="18" spans="3:92" ht="14.4">
      <c r="C18" t="s">
        <v>209</v>
      </c>
      <c r="D18" s="38">
        <v>0</v>
      </c>
      <c r="E18" s="38">
        <v>20</v>
      </c>
      <c r="F18" s="38" t="s">
        <v>216</v>
      </c>
      <c r="G18" s="38" t="s">
        <v>178</v>
      </c>
      <c r="H18" t="s">
        <v>170</v>
      </c>
      <c r="I18" t="s">
        <v>195</v>
      </c>
      <c r="J18" t="str">
        <f t="shared" si="0"/>
        <v>DoubleHingedSteelLong Leg Left, Right and Top</v>
      </c>
      <c r="K18" s="38">
        <v>8</v>
      </c>
      <c r="L18">
        <v>12</v>
      </c>
      <c r="N18"/>
      <c r="O18"/>
      <c r="R18" s="38" t="s">
        <v>378</v>
      </c>
      <c r="T18" s="38" t="str">
        <f t="shared" si="7"/>
        <v>Stainless Steel Mesh</v>
      </c>
      <c r="U18" s="38" t="s">
        <v>234</v>
      </c>
      <c r="V18" s="38" t="s">
        <v>312</v>
      </c>
      <c r="W18" s="38" t="s">
        <v>312</v>
      </c>
      <c r="BL18" s="38" t="s">
        <v>227</v>
      </c>
      <c r="BM18" s="38" t="s">
        <v>179</v>
      </c>
      <c r="BN18" s="38" t="s">
        <v>279</v>
      </c>
      <c r="BO18" s="38" t="s">
        <v>411</v>
      </c>
      <c r="BP18" s="38" t="s">
        <v>306</v>
      </c>
      <c r="BQ18" s="38" t="str">
        <f t="shared" si="9"/>
        <v>SD</v>
      </c>
      <c r="BR18" s="38" t="str">
        <f t="shared" si="1"/>
        <v>S</v>
      </c>
      <c r="BS18" s="38" t="str">
        <f t="shared" si="2"/>
        <v>S</v>
      </c>
      <c r="BT18" s="38" t="str">
        <f t="shared" si="3"/>
        <v>Y</v>
      </c>
      <c r="BU18" s="38" t="str">
        <f t="shared" si="4"/>
        <v>Y</v>
      </c>
      <c r="BV18" s="38" t="str">
        <f t="shared" si="5"/>
        <v>SlidingStandard DiamondSingle LockYes - CentreYes</v>
      </c>
      <c r="BW18" s="38" t="str">
        <f t="shared" si="6"/>
        <v>SDSSYY</v>
      </c>
      <c r="CK18" t="s">
        <v>208</v>
      </c>
      <c r="CL18" s="38">
        <v>5</v>
      </c>
      <c r="CM18" t="s">
        <v>208</v>
      </c>
      <c r="CN18" s="38">
        <v>5</v>
      </c>
    </row>
    <row r="19" spans="3:92" ht="14.4">
      <c r="C19" t="s">
        <v>217</v>
      </c>
      <c r="D19" s="38">
        <v>0</v>
      </c>
      <c r="E19" s="38">
        <v>13</v>
      </c>
      <c r="F19" s="38" t="s">
        <v>216</v>
      </c>
      <c r="G19" s="38" t="s">
        <v>178</v>
      </c>
      <c r="H19" t="s">
        <v>171</v>
      </c>
      <c r="I19" t="s">
        <v>195</v>
      </c>
      <c r="J19" t="str">
        <f t="shared" si="0"/>
        <v>DoubleHingedAluminiumLong Leg Left, Right and Top</v>
      </c>
      <c r="K19" s="38">
        <v>8</v>
      </c>
      <c r="L19">
        <v>12</v>
      </c>
      <c r="N19"/>
      <c r="O19"/>
      <c r="R19" s="38" t="s">
        <v>233</v>
      </c>
      <c r="T19" s="38" t="str">
        <f t="shared" si="7"/>
        <v>Invisi-Gard Woven Stainless Steel</v>
      </c>
      <c r="U19" s="38" t="s">
        <v>235</v>
      </c>
      <c r="V19" s="38" t="s">
        <v>312</v>
      </c>
      <c r="W19" s="38" t="s">
        <v>311</v>
      </c>
      <c r="BL19" s="38" t="s">
        <v>227</v>
      </c>
      <c r="BM19" s="38" t="s">
        <v>220</v>
      </c>
      <c r="BN19" s="38" t="s">
        <v>279</v>
      </c>
      <c r="BO19" s="38" t="s">
        <v>411</v>
      </c>
      <c r="BP19" s="38" t="s">
        <v>306</v>
      </c>
      <c r="BQ19" s="38" t="str">
        <f t="shared" si="9"/>
        <v>SD</v>
      </c>
      <c r="BR19" s="38" t="str">
        <f t="shared" si="1"/>
        <v>ST</v>
      </c>
      <c r="BS19" s="38" t="str">
        <f t="shared" si="2"/>
        <v>S</v>
      </c>
      <c r="BT19" s="38" t="str">
        <f t="shared" si="3"/>
        <v>Y</v>
      </c>
      <c r="BU19" s="38" t="str">
        <f t="shared" si="4"/>
        <v>Y</v>
      </c>
      <c r="BV19" s="38" t="str">
        <f t="shared" si="5"/>
        <v>StackerStandard DiamondSingle LockYes - CentreYes</v>
      </c>
      <c r="BW19" s="38" t="str">
        <f t="shared" si="6"/>
        <v>SDSTSYY</v>
      </c>
      <c r="CK19" t="s">
        <v>209</v>
      </c>
      <c r="CL19" s="38">
        <v>5</v>
      </c>
      <c r="CM19" t="s">
        <v>209</v>
      </c>
      <c r="CN19" s="38">
        <v>5</v>
      </c>
    </row>
    <row r="20" spans="3:92" ht="14.4">
      <c r="C20" t="s">
        <v>218</v>
      </c>
      <c r="D20" s="38">
        <v>0</v>
      </c>
      <c r="E20" s="38">
        <v>2</v>
      </c>
      <c r="F20" s="38" t="s">
        <v>216</v>
      </c>
      <c r="G20" s="38" t="s">
        <v>178</v>
      </c>
      <c r="H20" t="s">
        <v>172</v>
      </c>
      <c r="I20" t="s">
        <v>195</v>
      </c>
      <c r="J20" t="str">
        <f t="shared" si="0"/>
        <v>DoubleHingedBrickLong Leg Left, Right and Top</v>
      </c>
      <c r="K20" s="38">
        <v>8</v>
      </c>
      <c r="L20">
        <v>12</v>
      </c>
      <c r="N20"/>
      <c r="O20"/>
      <c r="R20" s="38" t="s">
        <v>231</v>
      </c>
      <c r="T20" s="38" t="str">
        <f t="shared" si="7"/>
        <v>Privacy-Gard</v>
      </c>
      <c r="U20" s="38" t="s">
        <v>234</v>
      </c>
      <c r="V20" s="38" t="s">
        <v>339</v>
      </c>
      <c r="W20" s="38" t="s">
        <v>306</v>
      </c>
      <c r="BL20" s="38" t="s">
        <v>227</v>
      </c>
      <c r="BM20" s="38" t="s">
        <v>178</v>
      </c>
      <c r="BN20" s="38" t="s">
        <v>275</v>
      </c>
      <c r="BO20" s="38" t="s">
        <v>411</v>
      </c>
      <c r="BP20" s="38" t="s">
        <v>306</v>
      </c>
      <c r="BQ20" s="38" t="str">
        <f t="shared" si="9"/>
        <v>SD</v>
      </c>
      <c r="BR20" s="38" t="str">
        <f t="shared" si="1"/>
        <v>H</v>
      </c>
      <c r="BS20" s="38" t="str">
        <f t="shared" si="2"/>
        <v>T</v>
      </c>
      <c r="BT20" s="38" t="str">
        <f t="shared" si="3"/>
        <v>Y</v>
      </c>
      <c r="BU20" s="38" t="str">
        <f t="shared" si="4"/>
        <v>Y</v>
      </c>
      <c r="BV20" s="38" t="str">
        <f t="shared" si="5"/>
        <v>HingedStandard DiamondTriple LockYes - CentreYes</v>
      </c>
      <c r="BW20" s="38" t="str">
        <f t="shared" si="6"/>
        <v>SDHTYY</v>
      </c>
      <c r="CK20" t="s">
        <v>217</v>
      </c>
      <c r="CL20" s="38">
        <v>10</v>
      </c>
      <c r="CM20" t="s">
        <v>217</v>
      </c>
      <c r="CN20" s="38">
        <v>10</v>
      </c>
    </row>
    <row r="21" spans="3:92" ht="14.4">
      <c r="C21" t="s">
        <v>219</v>
      </c>
      <c r="D21" s="38">
        <v>0</v>
      </c>
      <c r="E21" s="38">
        <v>11</v>
      </c>
      <c r="F21" s="38" t="s">
        <v>216</v>
      </c>
      <c r="G21" s="38" t="s">
        <v>178</v>
      </c>
      <c r="H21" t="s">
        <v>173</v>
      </c>
      <c r="I21" t="s">
        <v>195</v>
      </c>
      <c r="J21" t="str">
        <f t="shared" si="0"/>
        <v>DoubleHingedPlasterLong Leg Left, Right and Top</v>
      </c>
      <c r="K21" s="38">
        <v>8</v>
      </c>
      <c r="L21">
        <v>12</v>
      </c>
      <c r="N21"/>
      <c r="O21"/>
      <c r="R21" s="38" t="s">
        <v>227</v>
      </c>
      <c r="S21" s="38" t="s">
        <v>329</v>
      </c>
      <c r="T21" s="38" t="str">
        <f t="shared" si="7"/>
        <v>Standard DiamondFibreglass Mesh</v>
      </c>
      <c r="U21" s="38" t="s">
        <v>234</v>
      </c>
      <c r="V21" s="38" t="s">
        <v>312</v>
      </c>
      <c r="W21" s="38" t="s">
        <v>312</v>
      </c>
      <c r="BL21" s="38" t="s">
        <v>227</v>
      </c>
      <c r="BM21" s="38" t="s">
        <v>179</v>
      </c>
      <c r="BN21" s="38" t="s">
        <v>275</v>
      </c>
      <c r="BO21" s="38" t="s">
        <v>411</v>
      </c>
      <c r="BP21" s="38" t="s">
        <v>306</v>
      </c>
      <c r="BQ21" s="38" t="str">
        <f t="shared" si="9"/>
        <v>SD</v>
      </c>
      <c r="BR21" s="38" t="str">
        <f t="shared" si="1"/>
        <v>S</v>
      </c>
      <c r="BS21" s="38" t="str">
        <f t="shared" si="2"/>
        <v>T</v>
      </c>
      <c r="BT21" s="38" t="str">
        <f t="shared" si="3"/>
        <v>Y</v>
      </c>
      <c r="BU21" s="38" t="str">
        <f t="shared" si="4"/>
        <v>Y</v>
      </c>
      <c r="BV21" s="38" t="str">
        <f t="shared" si="5"/>
        <v>SlidingStandard DiamondTriple LockYes - CentreYes</v>
      </c>
      <c r="BW21" s="38" t="str">
        <f t="shared" si="6"/>
        <v>SDSTYY</v>
      </c>
      <c r="CK21" t="s">
        <v>218</v>
      </c>
      <c r="CL21" s="38">
        <v>5</v>
      </c>
      <c r="CM21" t="s">
        <v>218</v>
      </c>
      <c r="CN21" s="38">
        <v>5</v>
      </c>
    </row>
    <row r="22" spans="3:92" ht="14.4">
      <c r="C22" t="s">
        <v>460</v>
      </c>
      <c r="D22" s="38">
        <v>0</v>
      </c>
      <c r="E22" s="38">
        <v>22</v>
      </c>
      <c r="F22" s="38" t="s">
        <v>216</v>
      </c>
      <c r="G22" s="38" t="s">
        <v>178</v>
      </c>
      <c r="H22" t="s">
        <v>166</v>
      </c>
      <c r="I22" t="s">
        <v>193</v>
      </c>
      <c r="J22" t="str">
        <f t="shared" si="0"/>
        <v>DoubleHingedTimberShort Leg Left, Right and Top</v>
      </c>
      <c r="K22" s="38">
        <v>8</v>
      </c>
      <c r="L22">
        <v>12</v>
      </c>
      <c r="R22" s="38" t="s">
        <v>227</v>
      </c>
      <c r="S22" s="38" t="s">
        <v>330</v>
      </c>
      <c r="T22" s="38" t="str">
        <f t="shared" si="7"/>
        <v>Standard DiamondPet Mesh</v>
      </c>
      <c r="U22" s="38" t="s">
        <v>234</v>
      </c>
      <c r="V22" s="38" t="s">
        <v>312</v>
      </c>
      <c r="W22" s="38" t="s">
        <v>312</v>
      </c>
      <c r="BL22" s="38" t="s">
        <v>227</v>
      </c>
      <c r="BM22" s="38" t="s">
        <v>220</v>
      </c>
      <c r="BN22" s="38" t="s">
        <v>275</v>
      </c>
      <c r="BO22" s="38" t="s">
        <v>411</v>
      </c>
      <c r="BP22" s="38" t="s">
        <v>306</v>
      </c>
      <c r="BQ22" s="38" t="str">
        <f t="shared" si="9"/>
        <v>SD</v>
      </c>
      <c r="BR22" s="38" t="str">
        <f t="shared" si="1"/>
        <v>ST</v>
      </c>
      <c r="BS22" s="38" t="str">
        <f t="shared" si="2"/>
        <v>T</v>
      </c>
      <c r="BT22" s="38" t="str">
        <f t="shared" si="3"/>
        <v>Y</v>
      </c>
      <c r="BU22" s="38" t="str">
        <f t="shared" si="4"/>
        <v>Y</v>
      </c>
      <c r="BV22" s="38" t="str">
        <f t="shared" si="5"/>
        <v>StackerStandard DiamondTriple LockYes - CentreYes</v>
      </c>
      <c r="BW22" s="38" t="str">
        <f t="shared" si="6"/>
        <v>SDSTTYY</v>
      </c>
      <c r="CK22" t="s">
        <v>219</v>
      </c>
      <c r="CL22" s="38">
        <v>5</v>
      </c>
      <c r="CM22" t="s">
        <v>219</v>
      </c>
      <c r="CN22" s="38">
        <v>5</v>
      </c>
    </row>
    <row r="23" spans="3:92" ht="14.4">
      <c r="C23" t="s">
        <v>195</v>
      </c>
      <c r="D23" s="38">
        <v>4</v>
      </c>
      <c r="E23" s="38">
        <v>2</v>
      </c>
      <c r="F23" s="38" t="s">
        <v>216</v>
      </c>
      <c r="G23" s="38" t="s">
        <v>178</v>
      </c>
      <c r="H23" t="s">
        <v>170</v>
      </c>
      <c r="I23" t="s">
        <v>193</v>
      </c>
      <c r="J23" t="str">
        <f t="shared" si="0"/>
        <v>DoubleHingedSteelShort Leg Left, Right and Top</v>
      </c>
      <c r="K23" s="38">
        <v>8</v>
      </c>
      <c r="L23">
        <v>12</v>
      </c>
      <c r="R23" s="38" t="s">
        <v>227</v>
      </c>
      <c r="S23" s="38" t="s">
        <v>331</v>
      </c>
      <c r="T23" s="38" t="str">
        <f t="shared" si="7"/>
        <v>Standard DiamondPrivacy Plus</v>
      </c>
      <c r="U23" s="38" t="s">
        <v>234</v>
      </c>
      <c r="V23" s="38" t="s">
        <v>312</v>
      </c>
      <c r="W23" s="38" t="s">
        <v>306</v>
      </c>
      <c r="BL23" s="38" t="s">
        <v>227</v>
      </c>
      <c r="BM23" s="38" t="s">
        <v>178</v>
      </c>
      <c r="BN23" s="38" t="s">
        <v>410</v>
      </c>
      <c r="BO23" s="38" t="s">
        <v>411</v>
      </c>
      <c r="BP23" s="38" t="s">
        <v>306</v>
      </c>
      <c r="BQ23" s="38" t="str">
        <f t="shared" si="9"/>
        <v>SD</v>
      </c>
      <c r="BR23" s="38" t="str">
        <f t="shared" si="1"/>
        <v>H</v>
      </c>
      <c r="BS23" s="38" t="str">
        <f t="shared" si="2"/>
        <v>N</v>
      </c>
      <c r="BT23" s="38" t="str">
        <f t="shared" si="3"/>
        <v>Y</v>
      </c>
      <c r="BU23" s="38" t="str">
        <f t="shared" si="4"/>
        <v>Y</v>
      </c>
      <c r="BV23" s="38" t="str">
        <f t="shared" si="5"/>
        <v>HingedStandard DiamondNot RequiredYes - CentreYes</v>
      </c>
      <c r="BW23" s="38" t="str">
        <f t="shared" si="6"/>
        <v>SDHNYY</v>
      </c>
      <c r="CK23" t="s">
        <v>460</v>
      </c>
      <c r="CL23" s="38">
        <v>5</v>
      </c>
      <c r="CM23" t="s">
        <v>460</v>
      </c>
      <c r="CN23" s="38">
        <v>5</v>
      </c>
    </row>
    <row r="24" spans="3:92" ht="14.4">
      <c r="C24" t="s">
        <v>347</v>
      </c>
      <c r="D24" s="38">
        <v>2</v>
      </c>
      <c r="E24" s="38">
        <v>0</v>
      </c>
      <c r="F24" s="38" t="s">
        <v>216</v>
      </c>
      <c r="G24" s="38" t="s">
        <v>178</v>
      </c>
      <c r="H24" t="s">
        <v>171</v>
      </c>
      <c r="I24" t="s">
        <v>193</v>
      </c>
      <c r="J24" t="str">
        <f t="shared" si="0"/>
        <v>DoubleHingedAluminiumShort Leg Left, Right and Top</v>
      </c>
      <c r="K24" s="38">
        <v>8</v>
      </c>
      <c r="L24">
        <v>12</v>
      </c>
      <c r="R24" s="38" t="s">
        <v>227</v>
      </c>
      <c r="S24" s="38" t="s">
        <v>223</v>
      </c>
      <c r="T24" s="38" t="str">
        <f t="shared" si="7"/>
        <v>Standard DiamondWoven Stainless Steel</v>
      </c>
      <c r="U24" s="38" t="s">
        <v>234</v>
      </c>
      <c r="V24" s="38" t="s">
        <v>312</v>
      </c>
      <c r="W24" s="38" t="s">
        <v>306</v>
      </c>
      <c r="BL24" s="38" t="s">
        <v>227</v>
      </c>
      <c r="BM24" s="38" t="s">
        <v>179</v>
      </c>
      <c r="BN24" s="38" t="s">
        <v>410</v>
      </c>
      <c r="BO24" s="38" t="s">
        <v>411</v>
      </c>
      <c r="BP24" s="38" t="s">
        <v>306</v>
      </c>
      <c r="BQ24" s="38" t="str">
        <f t="shared" si="9"/>
        <v>SD</v>
      </c>
      <c r="BR24" s="38" t="str">
        <f t="shared" si="1"/>
        <v>S</v>
      </c>
      <c r="BS24" s="38" t="str">
        <f t="shared" si="2"/>
        <v>N</v>
      </c>
      <c r="BT24" s="38" t="str">
        <f t="shared" si="3"/>
        <v>Y</v>
      </c>
      <c r="BU24" s="38" t="str">
        <f t="shared" si="4"/>
        <v>Y</v>
      </c>
      <c r="BV24" s="38" t="str">
        <f t="shared" si="5"/>
        <v>SlidingStandard DiamondNot RequiredYes - CentreYes</v>
      </c>
      <c r="BW24" s="38" t="str">
        <f t="shared" si="6"/>
        <v>SDSNYY</v>
      </c>
      <c r="CK24" t="s">
        <v>374</v>
      </c>
      <c r="CL24" s="38">
        <v>0</v>
      </c>
      <c r="CM24" t="s">
        <v>374</v>
      </c>
      <c r="CN24" s="38">
        <v>0</v>
      </c>
    </row>
    <row r="25" spans="3:92" ht="14.4">
      <c r="C25" t="s">
        <v>193</v>
      </c>
      <c r="D25" s="38">
        <v>4</v>
      </c>
      <c r="E25" s="38">
        <v>2</v>
      </c>
      <c r="F25" s="38" t="s">
        <v>216</v>
      </c>
      <c r="G25" s="38" t="s">
        <v>178</v>
      </c>
      <c r="H25" t="s">
        <v>172</v>
      </c>
      <c r="I25" t="s">
        <v>193</v>
      </c>
      <c r="J25" t="str">
        <f t="shared" si="0"/>
        <v>DoubleHingedBrickShort Leg Left, Right and Top</v>
      </c>
      <c r="K25" s="38">
        <v>8</v>
      </c>
      <c r="L25">
        <v>12</v>
      </c>
      <c r="R25" s="38" t="s">
        <v>227</v>
      </c>
      <c r="S25" s="38" t="s">
        <v>326</v>
      </c>
      <c r="T25" s="38" t="str">
        <f t="shared" si="7"/>
        <v>Standard DiamondPerforated Aluminium</v>
      </c>
      <c r="U25" s="38" t="s">
        <v>234</v>
      </c>
      <c r="V25" s="38" t="s">
        <v>312</v>
      </c>
      <c r="W25" s="38" t="s">
        <v>306</v>
      </c>
      <c r="BL25" s="38" t="s">
        <v>227</v>
      </c>
      <c r="BM25" s="38" t="s">
        <v>220</v>
      </c>
      <c r="BN25" s="38" t="s">
        <v>410</v>
      </c>
      <c r="BO25" s="38" t="s">
        <v>411</v>
      </c>
      <c r="BP25" s="38" t="s">
        <v>306</v>
      </c>
      <c r="BQ25" s="38" t="str">
        <f t="shared" si="9"/>
        <v>SD</v>
      </c>
      <c r="BR25" s="38" t="str">
        <f t="shared" si="1"/>
        <v>ST</v>
      </c>
      <c r="BS25" s="38" t="str">
        <f t="shared" si="2"/>
        <v>N</v>
      </c>
      <c r="BT25" s="38" t="str">
        <f t="shared" si="3"/>
        <v>Y</v>
      </c>
      <c r="BU25" s="38" t="str">
        <f t="shared" si="4"/>
        <v>Y</v>
      </c>
      <c r="BV25" s="38" t="str">
        <f t="shared" si="5"/>
        <v>StackerStandard DiamondNot RequiredYes - CentreYes</v>
      </c>
      <c r="BW25" s="38" t="str">
        <f t="shared" si="6"/>
        <v>SDSTNYY</v>
      </c>
      <c r="CK25" t="s">
        <v>375</v>
      </c>
      <c r="CL25" s="38">
        <v>0</v>
      </c>
      <c r="CM25" t="s">
        <v>375</v>
      </c>
      <c r="CN25" s="38">
        <v>0</v>
      </c>
    </row>
    <row r="26" spans="3:89" ht="14.4">
      <c r="C26" t="s">
        <v>194</v>
      </c>
      <c r="D26" s="38">
        <v>2</v>
      </c>
      <c r="E26" s="38">
        <v>0</v>
      </c>
      <c r="F26" s="38" t="s">
        <v>216</v>
      </c>
      <c r="G26" s="38" t="s">
        <v>178</v>
      </c>
      <c r="H26" t="s">
        <v>173</v>
      </c>
      <c r="I26" t="s">
        <v>193</v>
      </c>
      <c r="J26" t="str">
        <f t="shared" si="0"/>
        <v>DoubleHingedPlasterShort Leg Left, Right and Top</v>
      </c>
      <c r="K26" s="38">
        <v>8</v>
      </c>
      <c r="L26">
        <v>12</v>
      </c>
      <c r="R26" s="38" t="s">
        <v>227</v>
      </c>
      <c r="S26" s="38" t="s">
        <v>340</v>
      </c>
      <c r="T26" s="38" t="str">
        <f t="shared" si="7"/>
        <v>Standard DiamondDVA Mesh</v>
      </c>
      <c r="U26" s="38" t="s">
        <v>234</v>
      </c>
      <c r="V26" s="38" t="s">
        <v>312</v>
      </c>
      <c r="W26" s="38" t="s">
        <v>306</v>
      </c>
      <c r="BL26" s="38" t="s">
        <v>227</v>
      </c>
      <c r="BM26" s="38" t="s">
        <v>178</v>
      </c>
      <c r="BN26" s="38" t="s">
        <v>383</v>
      </c>
      <c r="BO26" s="38" t="s">
        <v>411</v>
      </c>
      <c r="BP26" s="38" t="s">
        <v>306</v>
      </c>
      <c r="BQ26" s="38" t="str">
        <f t="shared" si="9"/>
        <v>SD</v>
      </c>
      <c r="BR26" s="38" t="str">
        <f t="shared" si="1"/>
        <v>H</v>
      </c>
      <c r="BS26" s="38" t="str">
        <f t="shared" si="2"/>
        <v>D</v>
      </c>
      <c r="BT26" s="38" t="str">
        <f t="shared" si="3"/>
        <v>Y</v>
      </c>
      <c r="BU26" s="38" t="str">
        <f t="shared" si="4"/>
        <v>Y</v>
      </c>
      <c r="BV26" s="38" t="str">
        <f t="shared" si="5"/>
        <v>HingedStandard DiamondUltra Secua Digital Triple LockYes - CentreYes</v>
      </c>
      <c r="BW26" s="38" t="str">
        <f t="shared" si="6"/>
        <v>SDHDYY</v>
      </c>
      <c r="CK26"/>
    </row>
    <row r="27" spans="3:89" ht="14.4">
      <c r="C27" s="38" t="s">
        <v>674</v>
      </c>
      <c r="D27" s="38">
        <v>0</v>
      </c>
      <c r="E27" s="38">
        <v>8</v>
      </c>
      <c r="F27" s="38" t="s">
        <v>216</v>
      </c>
      <c r="G27" s="38" t="s">
        <v>178</v>
      </c>
      <c r="H27" s="38" t="s">
        <v>166</v>
      </c>
      <c r="I27" s="38" t="s">
        <v>194</v>
      </c>
      <c r="J27" t="str">
        <f t="shared" si="0"/>
        <v>DoubleHingedTimberShort Leg 1 Side</v>
      </c>
      <c r="K27" s="38">
        <v>8</v>
      </c>
      <c r="L27" s="38">
        <v>10</v>
      </c>
      <c r="R27" s="38" t="s">
        <v>228</v>
      </c>
      <c r="T27" s="38" t="str">
        <f t="shared" si="7"/>
        <v>Woven Galvanised Steel</v>
      </c>
      <c r="U27" s="38" t="s">
        <v>234</v>
      </c>
      <c r="V27" s="38" t="s">
        <v>309</v>
      </c>
      <c r="W27" s="38" t="s">
        <v>306</v>
      </c>
      <c r="AD27" s="38" t="s">
        <v>383</v>
      </c>
      <c r="BL27" s="38" t="s">
        <v>227</v>
      </c>
      <c r="BM27" s="38" t="s">
        <v>179</v>
      </c>
      <c r="BN27" s="38" t="s">
        <v>383</v>
      </c>
      <c r="BO27" s="38" t="s">
        <v>411</v>
      </c>
      <c r="BP27" s="38" t="s">
        <v>306</v>
      </c>
      <c r="BQ27" s="38" t="str">
        <f t="shared" si="9"/>
        <v>SD</v>
      </c>
      <c r="BR27" s="38" t="str">
        <f t="shared" si="1"/>
        <v>S</v>
      </c>
      <c r="BS27" s="38" t="str">
        <f t="shared" si="2"/>
        <v>D</v>
      </c>
      <c r="BT27" s="38" t="str">
        <f t="shared" si="3"/>
        <v>Y</v>
      </c>
      <c r="BU27" s="38" t="str">
        <f t="shared" si="4"/>
        <v>Y</v>
      </c>
      <c r="BV27" s="38" t="str">
        <f t="shared" si="5"/>
        <v>SlidingStandard DiamondUltra Secua Digital Triple LockYes - CentreYes</v>
      </c>
      <c r="BW27" s="38" t="str">
        <f t="shared" si="6"/>
        <v>SDSDYY</v>
      </c>
      <c r="CK27"/>
    </row>
    <row r="28" spans="5:89" ht="14.4">
      <c r="E28" s="38">
        <v>0</v>
      </c>
      <c r="F28" s="38" t="s">
        <v>216</v>
      </c>
      <c r="G28" s="38" t="s">
        <v>178</v>
      </c>
      <c r="H28" s="38" t="s">
        <v>170</v>
      </c>
      <c r="I28" s="38" t="s">
        <v>194</v>
      </c>
      <c r="J28" t="str">
        <f t="shared" si="0"/>
        <v>DoubleHingedSteelShort Leg 1 Side</v>
      </c>
      <c r="K28" s="38">
        <v>8</v>
      </c>
      <c r="L28" s="38">
        <v>10</v>
      </c>
      <c r="R28" s="38" t="s">
        <v>223</v>
      </c>
      <c r="T28" s="38" t="str">
        <f t="shared" si="7"/>
        <v>Woven Stainless Steel</v>
      </c>
      <c r="U28" s="38" t="s">
        <v>234</v>
      </c>
      <c r="V28" s="38" t="s">
        <v>309</v>
      </c>
      <c r="W28" s="38" t="s">
        <v>306</v>
      </c>
      <c r="BL28" s="38" t="s">
        <v>227</v>
      </c>
      <c r="BM28" s="38" t="s">
        <v>220</v>
      </c>
      <c r="BN28" s="38" t="s">
        <v>383</v>
      </c>
      <c r="BO28" s="38" t="s">
        <v>411</v>
      </c>
      <c r="BP28" s="38" t="s">
        <v>306</v>
      </c>
      <c r="BQ28" s="38" t="str">
        <f t="shared" si="9"/>
        <v>SD</v>
      </c>
      <c r="BR28" s="38" t="str">
        <f t="shared" si="1"/>
        <v>ST</v>
      </c>
      <c r="BS28" s="38" t="str">
        <f t="shared" si="2"/>
        <v>D</v>
      </c>
      <c r="BT28" s="38" t="str">
        <f t="shared" si="3"/>
        <v>Y</v>
      </c>
      <c r="BU28" s="38" t="str">
        <f t="shared" si="4"/>
        <v>Y</v>
      </c>
      <c r="BV28" s="38" t="str">
        <f t="shared" si="5"/>
        <v>StackerStandard DiamondUltra Secua Digital Triple LockYes - CentreYes</v>
      </c>
      <c r="BW28" s="38" t="str">
        <f t="shared" si="6"/>
        <v>SDSTDYY</v>
      </c>
      <c r="CK28"/>
    </row>
    <row r="29" spans="6:89" ht="14.4">
      <c r="F29" s="38" t="s">
        <v>216</v>
      </c>
      <c r="G29" s="38" t="s">
        <v>178</v>
      </c>
      <c r="H29" s="38" t="s">
        <v>171</v>
      </c>
      <c r="I29" s="38" t="s">
        <v>194</v>
      </c>
      <c r="J29" t="str">
        <f t="shared" si="0"/>
        <v>DoubleHingedAluminiumShort Leg 1 Side</v>
      </c>
      <c r="K29" s="38">
        <v>8</v>
      </c>
      <c r="L29" s="38">
        <v>10</v>
      </c>
      <c r="R29" s="38" t="s">
        <v>416</v>
      </c>
      <c r="S29" s="38" t="s">
        <v>329</v>
      </c>
      <c r="T29" s="38" t="str">
        <f t="shared" si="7"/>
        <v>FlyscreenFibreglass Mesh</v>
      </c>
      <c r="U29" s="38" t="s">
        <v>234</v>
      </c>
      <c r="V29" s="38" t="s">
        <v>312</v>
      </c>
      <c r="W29" s="38" t="s">
        <v>312</v>
      </c>
      <c r="AL29"/>
      <c r="AM29"/>
      <c r="BL29" s="38" t="s">
        <v>227</v>
      </c>
      <c r="BM29" s="38" t="s">
        <v>178</v>
      </c>
      <c r="BN29" s="38" t="s">
        <v>284</v>
      </c>
      <c r="BO29" s="38" t="s">
        <v>411</v>
      </c>
      <c r="BP29" s="38" t="s">
        <v>306</v>
      </c>
      <c r="BQ29" s="38" t="str">
        <f t="shared" si="9"/>
        <v>SD</v>
      </c>
      <c r="BR29" s="38" t="str">
        <f t="shared" si="1"/>
        <v>H</v>
      </c>
      <c r="BS29" s="38" t="str">
        <f t="shared" si="2"/>
        <v>B</v>
      </c>
      <c r="BT29" s="38" t="str">
        <f t="shared" si="3"/>
        <v>Y</v>
      </c>
      <c r="BU29" s="38" t="str">
        <f t="shared" si="4"/>
        <v>Y</v>
      </c>
      <c r="BV29" s="38" t="str">
        <f t="shared" si="5"/>
        <v>HingedStandard DiamondBass LatchYes - CentreYes</v>
      </c>
      <c r="BW29" s="38" t="str">
        <f t="shared" si="6"/>
        <v>SDHBYY</v>
      </c>
      <c r="CK29"/>
    </row>
    <row r="30" spans="6:91" ht="14.4">
      <c r="F30" s="38" t="s">
        <v>216</v>
      </c>
      <c r="G30" s="38" t="s">
        <v>178</v>
      </c>
      <c r="H30" s="38" t="s">
        <v>172</v>
      </c>
      <c r="I30" s="38" t="s">
        <v>194</v>
      </c>
      <c r="J30" t="str">
        <f t="shared" si="0"/>
        <v>DoubleHingedBrickShort Leg 1 Side</v>
      </c>
      <c r="K30" s="38">
        <v>8</v>
      </c>
      <c r="L30" s="38">
        <v>10</v>
      </c>
      <c r="BL30" s="38" t="s">
        <v>227</v>
      </c>
      <c r="BM30" s="38" t="s">
        <v>179</v>
      </c>
      <c r="BN30" s="38" t="s">
        <v>284</v>
      </c>
      <c r="BO30" s="38" t="s">
        <v>411</v>
      </c>
      <c r="BP30" s="38" t="s">
        <v>306</v>
      </c>
      <c r="BQ30" s="38" t="str">
        <f t="shared" si="9"/>
        <v>SD</v>
      </c>
      <c r="BR30" s="38" t="str">
        <f t="shared" si="1"/>
        <v>S</v>
      </c>
      <c r="BS30" s="38" t="str">
        <f t="shared" si="2"/>
        <v>B</v>
      </c>
      <c r="BT30" s="38" t="str">
        <f t="shared" si="3"/>
        <v>Y</v>
      </c>
      <c r="BU30" s="38" t="str">
        <f t="shared" si="4"/>
        <v>Y</v>
      </c>
      <c r="BV30" s="38" t="str">
        <f t="shared" si="5"/>
        <v>SlidingStandard DiamondBass LatchYes - CentreYes</v>
      </c>
      <c r="BW30" s="38" t="str">
        <f t="shared" si="6"/>
        <v>SDSBYY</v>
      </c>
      <c r="CM30"/>
    </row>
    <row r="31" spans="6:91" ht="14.4">
      <c r="F31" s="38" t="s">
        <v>216</v>
      </c>
      <c r="G31" s="38" t="s">
        <v>178</v>
      </c>
      <c r="H31" s="38" t="s">
        <v>173</v>
      </c>
      <c r="I31" s="38" t="s">
        <v>194</v>
      </c>
      <c r="J31" t="str">
        <f t="shared" si="0"/>
        <v>DoubleHingedPlasterShort Leg 1 Side</v>
      </c>
      <c r="K31" s="38">
        <v>8</v>
      </c>
      <c r="L31" s="38">
        <v>10</v>
      </c>
      <c r="BL31" s="38" t="s">
        <v>227</v>
      </c>
      <c r="BM31" s="38" t="s">
        <v>220</v>
      </c>
      <c r="BN31" s="38" t="s">
        <v>284</v>
      </c>
      <c r="BO31" s="38" t="s">
        <v>411</v>
      </c>
      <c r="BP31" s="38" t="s">
        <v>306</v>
      </c>
      <c r="BQ31" s="38" t="str">
        <f t="shared" si="9"/>
        <v>SD</v>
      </c>
      <c r="BR31" s="38" t="str">
        <f t="shared" si="1"/>
        <v>ST</v>
      </c>
      <c r="BS31" s="38" t="str">
        <f t="shared" si="2"/>
        <v>B</v>
      </c>
      <c r="BT31" s="38" t="str">
        <f t="shared" si="3"/>
        <v>Y</v>
      </c>
      <c r="BU31" s="38" t="str">
        <f t="shared" si="4"/>
        <v>Y</v>
      </c>
      <c r="BV31" s="38" t="str">
        <f t="shared" si="5"/>
        <v>StackerStandard DiamondBass LatchYes - CentreYes</v>
      </c>
      <c r="BW31" s="38" t="str">
        <f t="shared" si="6"/>
        <v>SDSTBYY</v>
      </c>
      <c r="CM31"/>
    </row>
    <row r="32" spans="6:91" ht="14.4">
      <c r="F32" s="38" t="s">
        <v>216</v>
      </c>
      <c r="G32" s="38" t="s">
        <v>178</v>
      </c>
      <c r="H32" s="38" t="s">
        <v>166</v>
      </c>
      <c r="I32" s="38" t="s">
        <v>347</v>
      </c>
      <c r="J32" t="str">
        <f t="shared" si="0"/>
        <v>DoubleHingedTimberLong Leg 1 Side</v>
      </c>
      <c r="K32" s="38">
        <v>8</v>
      </c>
      <c r="L32" s="38">
        <v>10</v>
      </c>
      <c r="BL32" s="38" t="s">
        <v>227</v>
      </c>
      <c r="BM32" s="38" t="s">
        <v>178</v>
      </c>
      <c r="BN32" s="38" t="s">
        <v>279</v>
      </c>
      <c r="BO32" s="38" t="s">
        <v>306</v>
      </c>
      <c r="BP32" s="38" t="s">
        <v>306</v>
      </c>
      <c r="BQ32" s="38" t="str">
        <f t="shared" si="9"/>
        <v>SD</v>
      </c>
      <c r="BR32" s="38" t="str">
        <f t="shared" si="1"/>
        <v>H</v>
      </c>
      <c r="BS32" s="38" t="str">
        <f t="shared" si="2"/>
        <v>S</v>
      </c>
      <c r="BT32" s="38" t="str">
        <f t="shared" si="3"/>
        <v>Y</v>
      </c>
      <c r="BU32" s="38" t="str">
        <f t="shared" si="4"/>
        <v>Y</v>
      </c>
      <c r="BV32" s="38" t="str">
        <f t="shared" si="5"/>
        <v>HingedStandard DiamondSingle LockYesYes</v>
      </c>
      <c r="BW32" s="38" t="str">
        <f t="shared" si="6"/>
        <v>SDHSYY</v>
      </c>
      <c r="CM32"/>
    </row>
    <row r="33" spans="6:91" ht="14.4">
      <c r="F33" s="38" t="s">
        <v>216</v>
      </c>
      <c r="G33" s="38" t="s">
        <v>178</v>
      </c>
      <c r="H33" s="38" t="s">
        <v>170</v>
      </c>
      <c r="I33" s="38" t="s">
        <v>347</v>
      </c>
      <c r="J33" t="str">
        <f t="shared" si="0"/>
        <v>DoubleHingedSteelLong Leg 1 Side</v>
      </c>
      <c r="K33" s="38">
        <v>8</v>
      </c>
      <c r="L33" s="38">
        <v>10</v>
      </c>
      <c r="BL33" s="38" t="s">
        <v>227</v>
      </c>
      <c r="BM33" s="38" t="s">
        <v>179</v>
      </c>
      <c r="BN33" s="38" t="s">
        <v>279</v>
      </c>
      <c r="BO33" s="38" t="s">
        <v>306</v>
      </c>
      <c r="BP33" s="38" t="s">
        <v>306</v>
      </c>
      <c r="BQ33" s="38" t="str">
        <f t="shared" si="9"/>
        <v>SD</v>
      </c>
      <c r="BR33" s="38" t="str">
        <f t="shared" si="1"/>
        <v>S</v>
      </c>
      <c r="BS33" s="38" t="str">
        <f t="shared" si="2"/>
        <v>S</v>
      </c>
      <c r="BT33" s="38" t="str">
        <f t="shared" si="3"/>
        <v>Y</v>
      </c>
      <c r="BU33" s="38" t="str">
        <f t="shared" si="4"/>
        <v>Y</v>
      </c>
      <c r="BV33" s="38" t="str">
        <f t="shared" si="5"/>
        <v>SlidingStandard DiamondSingle LockYesYes</v>
      </c>
      <c r="BW33" s="38" t="str">
        <f t="shared" si="6"/>
        <v>SDSSYY</v>
      </c>
      <c r="CM33"/>
    </row>
    <row r="34" spans="6:91" ht="14.4">
      <c r="F34" s="38" t="s">
        <v>216</v>
      </c>
      <c r="G34" s="38" t="s">
        <v>178</v>
      </c>
      <c r="H34" s="38" t="s">
        <v>171</v>
      </c>
      <c r="I34" s="38" t="s">
        <v>347</v>
      </c>
      <c r="J34" t="str">
        <f t="shared" si="14" ref="J34:J65">CONCATENATE(F34,G34,H34,I34)</f>
        <v>DoubleHingedAluminiumLong Leg 1 Side</v>
      </c>
      <c r="K34" s="38">
        <v>8</v>
      </c>
      <c r="L34" s="38">
        <v>10</v>
      </c>
      <c r="BL34" s="38" t="s">
        <v>227</v>
      </c>
      <c r="BM34" s="38" t="s">
        <v>220</v>
      </c>
      <c r="BN34" s="38" t="s">
        <v>279</v>
      </c>
      <c r="BO34" s="38" t="s">
        <v>306</v>
      </c>
      <c r="BP34" s="38" t="s">
        <v>306</v>
      </c>
      <c r="BQ34" s="38" t="str">
        <f t="shared" si="9"/>
        <v>SD</v>
      </c>
      <c r="BR34" s="38" t="str">
        <f t="shared" si="1"/>
        <v>ST</v>
      </c>
      <c r="BS34" s="38" t="str">
        <f t="shared" si="2"/>
        <v>S</v>
      </c>
      <c r="BT34" s="38" t="str">
        <f t="shared" si="3"/>
        <v>Y</v>
      </c>
      <c r="BU34" s="38" t="str">
        <f t="shared" si="4"/>
        <v>Y</v>
      </c>
      <c r="BV34" s="38" t="str">
        <f t="shared" si="5"/>
        <v>StackerStandard DiamondSingle LockYesYes</v>
      </c>
      <c r="BW34" s="38" t="str">
        <f t="shared" si="6"/>
        <v>SDSTSYY</v>
      </c>
      <c r="CM34"/>
    </row>
    <row r="35" spans="6:91" ht="14.4">
      <c r="F35" s="38" t="s">
        <v>216</v>
      </c>
      <c r="G35" s="38" t="s">
        <v>178</v>
      </c>
      <c r="H35" s="38" t="s">
        <v>172</v>
      </c>
      <c r="I35" s="38" t="s">
        <v>347</v>
      </c>
      <c r="J35" t="str">
        <f t="shared" si="14"/>
        <v>DoubleHingedBrickLong Leg 1 Side</v>
      </c>
      <c r="K35" s="38">
        <v>8</v>
      </c>
      <c r="L35" s="38">
        <v>10</v>
      </c>
      <c r="BL35" s="38" t="s">
        <v>227</v>
      </c>
      <c r="BM35" s="38" t="s">
        <v>178</v>
      </c>
      <c r="BN35" s="38" t="s">
        <v>275</v>
      </c>
      <c r="BO35" s="38" t="s">
        <v>306</v>
      </c>
      <c r="BP35" s="38" t="s">
        <v>306</v>
      </c>
      <c r="BQ35" s="38" t="str">
        <f t="shared" si="9"/>
        <v>SD</v>
      </c>
      <c r="BR35" s="38" t="str">
        <f t="shared" si="1"/>
        <v>H</v>
      </c>
      <c r="BS35" s="38" t="str">
        <f t="shared" si="2"/>
        <v>T</v>
      </c>
      <c r="BT35" s="38" t="str">
        <f t="shared" si="3"/>
        <v>Y</v>
      </c>
      <c r="BU35" s="38" t="str">
        <f t="shared" si="4"/>
        <v>Y</v>
      </c>
      <c r="BV35" s="38" t="str">
        <f t="shared" si="5"/>
        <v>HingedStandard DiamondTriple LockYesYes</v>
      </c>
      <c r="BW35" s="38" t="str">
        <f t="shared" si="6"/>
        <v>SDHTYY</v>
      </c>
      <c r="CM35"/>
    </row>
    <row r="36" spans="6:91" ht="14.4">
      <c r="F36" s="38" t="s">
        <v>216</v>
      </c>
      <c r="G36" s="38" t="s">
        <v>178</v>
      </c>
      <c r="H36" s="38" t="s">
        <v>173</v>
      </c>
      <c r="I36" s="38" t="s">
        <v>347</v>
      </c>
      <c r="J36" t="str">
        <f t="shared" si="14"/>
        <v>DoubleHingedPlasterLong Leg 1 Side</v>
      </c>
      <c r="K36" s="38">
        <v>8</v>
      </c>
      <c r="L36" s="38">
        <v>10</v>
      </c>
      <c r="BL36" s="38" t="s">
        <v>227</v>
      </c>
      <c r="BM36" s="38" t="s">
        <v>179</v>
      </c>
      <c r="BN36" s="38" t="s">
        <v>275</v>
      </c>
      <c r="BO36" s="38" t="s">
        <v>306</v>
      </c>
      <c r="BP36" s="38" t="s">
        <v>306</v>
      </c>
      <c r="BQ36" s="38" t="str">
        <f t="shared" si="9"/>
        <v>SD</v>
      </c>
      <c r="BR36" s="38" t="str">
        <f t="shared" si="1"/>
        <v>S</v>
      </c>
      <c r="BS36" s="38" t="str">
        <f t="shared" si="2"/>
        <v>T</v>
      </c>
      <c r="BT36" s="38" t="str">
        <f t="shared" si="3"/>
        <v>Y</v>
      </c>
      <c r="BU36" s="38" t="str">
        <f t="shared" si="4"/>
        <v>Y</v>
      </c>
      <c r="BV36" s="38" t="str">
        <f t="shared" si="5"/>
        <v>SlidingStandard DiamondTriple LockYesYes</v>
      </c>
      <c r="BW36" s="38" t="str">
        <f t="shared" si="6"/>
        <v>SDSTYY</v>
      </c>
      <c r="CM36"/>
    </row>
    <row r="37" spans="6:91" ht="14.4">
      <c r="F37" s="38" t="s">
        <v>214</v>
      </c>
      <c r="G37" s="38" t="s">
        <v>178</v>
      </c>
      <c r="H37" t="s">
        <v>166</v>
      </c>
      <c r="I37"/>
      <c r="J37" t="str">
        <f t="shared" si="14"/>
        <v>SingleHingedTimber</v>
      </c>
      <c r="K37" s="38">
        <v>7</v>
      </c>
      <c r="L37">
        <v>10</v>
      </c>
      <c r="BL37" s="38" t="s">
        <v>227</v>
      </c>
      <c r="BM37" s="38" t="s">
        <v>220</v>
      </c>
      <c r="BN37" s="38" t="s">
        <v>275</v>
      </c>
      <c r="BO37" s="38" t="s">
        <v>306</v>
      </c>
      <c r="BP37" s="38" t="s">
        <v>306</v>
      </c>
      <c r="BQ37" s="38" t="str">
        <f t="shared" si="9"/>
        <v>SD</v>
      </c>
      <c r="BR37" s="38" t="str">
        <f t="shared" si="1"/>
        <v>ST</v>
      </c>
      <c r="BS37" s="38" t="str">
        <f t="shared" si="2"/>
        <v>T</v>
      </c>
      <c r="BT37" s="38" t="str">
        <f t="shared" si="3"/>
        <v>Y</v>
      </c>
      <c r="BU37" s="38" t="str">
        <f t="shared" si="4"/>
        <v>Y</v>
      </c>
      <c r="BV37" s="38" t="str">
        <f t="shared" si="5"/>
        <v>StackerStandard DiamondTriple LockYesYes</v>
      </c>
      <c r="BW37" s="38" t="str">
        <f t="shared" si="6"/>
        <v>SDSTTYY</v>
      </c>
      <c r="CM37"/>
    </row>
    <row r="38" spans="6:91" ht="14.4">
      <c r="F38" s="38" t="s">
        <v>214</v>
      </c>
      <c r="G38" s="38" t="s">
        <v>178</v>
      </c>
      <c r="H38" t="s">
        <v>170</v>
      </c>
      <c r="I38"/>
      <c r="J38" t="str">
        <f t="shared" si="14"/>
        <v>SingleHingedSteel</v>
      </c>
      <c r="K38" s="38">
        <v>9</v>
      </c>
      <c r="L38">
        <v>10</v>
      </c>
      <c r="BL38" s="38" t="s">
        <v>227</v>
      </c>
      <c r="BM38" s="38" t="s">
        <v>178</v>
      </c>
      <c r="BN38" s="38" t="s">
        <v>410</v>
      </c>
      <c r="BO38" s="38" t="s">
        <v>306</v>
      </c>
      <c r="BP38" s="38" t="s">
        <v>306</v>
      </c>
      <c r="BQ38" s="38" t="str">
        <f t="shared" si="9"/>
        <v>SD</v>
      </c>
      <c r="BR38" s="38" t="str">
        <f t="shared" si="1"/>
        <v>H</v>
      </c>
      <c r="BS38" s="38" t="str">
        <f t="shared" si="2"/>
        <v>N</v>
      </c>
      <c r="BT38" s="38" t="str">
        <f t="shared" si="3"/>
        <v>Y</v>
      </c>
      <c r="BU38" s="38" t="str">
        <f t="shared" si="4"/>
        <v>Y</v>
      </c>
      <c r="BV38" s="38" t="str">
        <f t="shared" si="5"/>
        <v>HingedStandard DiamondNot RequiredYesYes</v>
      </c>
      <c r="BW38" s="38" t="str">
        <f t="shared" si="6"/>
        <v>SDHNYY</v>
      </c>
      <c r="CM38"/>
    </row>
    <row r="39" spans="6:91" ht="14.4">
      <c r="F39" s="38" t="s">
        <v>214</v>
      </c>
      <c r="G39" s="38" t="s">
        <v>178</v>
      </c>
      <c r="H39" t="s">
        <v>171</v>
      </c>
      <c r="I39"/>
      <c r="J39" t="str">
        <f t="shared" si="14"/>
        <v>SingleHingedAluminium</v>
      </c>
      <c r="K39" s="38">
        <v>9</v>
      </c>
      <c r="L39">
        <v>10</v>
      </c>
      <c r="BL39" s="38" t="s">
        <v>227</v>
      </c>
      <c r="BM39" s="38" t="s">
        <v>179</v>
      </c>
      <c r="BN39" s="38" t="s">
        <v>410</v>
      </c>
      <c r="BO39" s="38" t="s">
        <v>306</v>
      </c>
      <c r="BP39" s="38" t="s">
        <v>306</v>
      </c>
      <c r="BQ39" s="38" t="str">
        <f t="shared" si="9"/>
        <v>SD</v>
      </c>
      <c r="BR39" s="38" t="str">
        <f t="shared" si="1"/>
        <v>S</v>
      </c>
      <c r="BS39" s="38" t="str">
        <f t="shared" si="2"/>
        <v>N</v>
      </c>
      <c r="BT39" s="38" t="str">
        <f t="shared" si="3"/>
        <v>Y</v>
      </c>
      <c r="BU39" s="38" t="str">
        <f t="shared" si="4"/>
        <v>Y</v>
      </c>
      <c r="BV39" s="38" t="str">
        <f t="shared" si="5"/>
        <v>SlidingStandard DiamondNot RequiredYesYes</v>
      </c>
      <c r="BW39" s="38" t="str">
        <f t="shared" si="6"/>
        <v>SDSNYY</v>
      </c>
      <c r="CM39"/>
    </row>
    <row r="40" spans="6:91" ht="14.4">
      <c r="F40" s="38" t="s">
        <v>214</v>
      </c>
      <c r="G40" s="38" t="s">
        <v>178</v>
      </c>
      <c r="H40" t="s">
        <v>172</v>
      </c>
      <c r="I40"/>
      <c r="J40" t="str">
        <f t="shared" si="14"/>
        <v>SingleHingedBrick</v>
      </c>
      <c r="K40" s="38">
        <v>9</v>
      </c>
      <c r="L40">
        <v>10</v>
      </c>
      <c r="BL40" s="38" t="s">
        <v>227</v>
      </c>
      <c r="BM40" s="38" t="s">
        <v>220</v>
      </c>
      <c r="BN40" s="38" t="s">
        <v>410</v>
      </c>
      <c r="BO40" s="38" t="s">
        <v>306</v>
      </c>
      <c r="BP40" s="38" t="s">
        <v>306</v>
      </c>
      <c r="BQ40" s="38" t="str">
        <f t="shared" si="9"/>
        <v>SD</v>
      </c>
      <c r="BR40" s="38" t="str">
        <f t="shared" si="1"/>
        <v>ST</v>
      </c>
      <c r="BS40" s="38" t="str">
        <f t="shared" si="2"/>
        <v>N</v>
      </c>
      <c r="BT40" s="38" t="str">
        <f t="shared" si="3"/>
        <v>Y</v>
      </c>
      <c r="BU40" s="38" t="str">
        <f t="shared" si="4"/>
        <v>Y</v>
      </c>
      <c r="BV40" s="38" t="str">
        <f t="shared" si="5"/>
        <v>StackerStandard DiamondNot RequiredYesYes</v>
      </c>
      <c r="BW40" s="38" t="str">
        <f t="shared" si="6"/>
        <v>SDSTNYY</v>
      </c>
      <c r="CM40"/>
    </row>
    <row r="41" spans="6:91" ht="14.4">
      <c r="F41" s="38" t="s">
        <v>214</v>
      </c>
      <c r="G41" s="38" t="s">
        <v>178</v>
      </c>
      <c r="H41" t="s">
        <v>173</v>
      </c>
      <c r="I41"/>
      <c r="J41" t="str">
        <f t="shared" si="14"/>
        <v>SingleHingedPlaster</v>
      </c>
      <c r="K41" s="38">
        <v>7</v>
      </c>
      <c r="L41">
        <v>10</v>
      </c>
      <c r="BL41" s="38" t="s">
        <v>227</v>
      </c>
      <c r="BM41" s="38" t="s">
        <v>178</v>
      </c>
      <c r="BN41" s="38" t="s">
        <v>383</v>
      </c>
      <c r="BO41" s="38" t="s">
        <v>306</v>
      </c>
      <c r="BP41" s="38" t="s">
        <v>306</v>
      </c>
      <c r="BQ41" s="38" t="str">
        <f t="shared" si="9"/>
        <v>SD</v>
      </c>
      <c r="BR41" s="38" t="str">
        <f t="shared" si="1"/>
        <v>H</v>
      </c>
      <c r="BS41" s="38" t="str">
        <f t="shared" si="2"/>
        <v>D</v>
      </c>
      <c r="BT41" s="38" t="str">
        <f t="shared" si="3"/>
        <v>Y</v>
      </c>
      <c r="BU41" s="38" t="str">
        <f t="shared" si="4"/>
        <v>Y</v>
      </c>
      <c r="BV41" s="38" t="str">
        <f t="shared" si="5"/>
        <v>HingedStandard DiamondUltra Secua Digital Triple LockYesYes</v>
      </c>
      <c r="BW41" s="38" t="str">
        <f t="shared" si="6"/>
        <v>SDHDYY</v>
      </c>
      <c r="CM41"/>
    </row>
    <row r="42" spans="6:91" ht="14.4">
      <c r="F42" s="38" t="s">
        <v>214</v>
      </c>
      <c r="G42" s="38" t="s">
        <v>179</v>
      </c>
      <c r="H42" t="s">
        <v>166</v>
      </c>
      <c r="I42"/>
      <c r="J42" t="str">
        <f t="shared" si="14"/>
        <v>SingleSlidingTimber</v>
      </c>
      <c r="K42" s="38">
        <v>4</v>
      </c>
      <c r="L42">
        <v>10</v>
      </c>
      <c r="BL42" s="38" t="s">
        <v>227</v>
      </c>
      <c r="BM42" s="38" t="s">
        <v>179</v>
      </c>
      <c r="BN42" s="38" t="s">
        <v>383</v>
      </c>
      <c r="BO42" s="38" t="s">
        <v>306</v>
      </c>
      <c r="BP42" s="38" t="s">
        <v>306</v>
      </c>
      <c r="BQ42" s="38" t="str">
        <f t="shared" si="9"/>
        <v>SD</v>
      </c>
      <c r="BR42" s="38" t="str">
        <f t="shared" si="1"/>
        <v>S</v>
      </c>
      <c r="BS42" s="38" t="str">
        <f t="shared" si="2"/>
        <v>D</v>
      </c>
      <c r="BT42" s="38" t="str">
        <f t="shared" si="3"/>
        <v>Y</v>
      </c>
      <c r="BU42" s="38" t="str">
        <f t="shared" si="4"/>
        <v>Y</v>
      </c>
      <c r="BV42" s="38" t="str">
        <f t="shared" si="5"/>
        <v>SlidingStandard DiamondUltra Secua Digital Triple LockYesYes</v>
      </c>
      <c r="BW42" s="38" t="str">
        <f t="shared" si="6"/>
        <v>SDSDYY</v>
      </c>
      <c r="CM42"/>
    </row>
    <row r="43" spans="6:91" ht="14.4">
      <c r="F43" s="38" t="s">
        <v>214</v>
      </c>
      <c r="G43" s="38" t="s">
        <v>179</v>
      </c>
      <c r="H43" t="s">
        <v>170</v>
      </c>
      <c r="I43"/>
      <c r="J43" t="str">
        <f t="shared" si="14"/>
        <v>SingleSlidingSteel</v>
      </c>
      <c r="K43" s="38">
        <v>4</v>
      </c>
      <c r="L43">
        <v>10</v>
      </c>
      <c r="BL43" s="38" t="s">
        <v>227</v>
      </c>
      <c r="BM43" s="38" t="s">
        <v>220</v>
      </c>
      <c r="BN43" s="38" t="s">
        <v>383</v>
      </c>
      <c r="BO43" s="38" t="s">
        <v>306</v>
      </c>
      <c r="BP43" s="38" t="s">
        <v>306</v>
      </c>
      <c r="BQ43" s="38" t="str">
        <f t="shared" si="9"/>
        <v>SD</v>
      </c>
      <c r="BR43" s="38" t="str">
        <f t="shared" si="1"/>
        <v>ST</v>
      </c>
      <c r="BS43" s="38" t="str">
        <f t="shared" si="2"/>
        <v>D</v>
      </c>
      <c r="BT43" s="38" t="str">
        <f t="shared" si="3"/>
        <v>Y</v>
      </c>
      <c r="BU43" s="38" t="str">
        <f t="shared" si="4"/>
        <v>Y</v>
      </c>
      <c r="BV43" s="38" t="str">
        <f t="shared" si="5"/>
        <v>StackerStandard DiamondUltra Secua Digital Triple LockYesYes</v>
      </c>
      <c r="BW43" s="38" t="str">
        <f t="shared" si="6"/>
        <v>SDSTDYY</v>
      </c>
      <c r="CM43"/>
    </row>
    <row r="44" spans="6:75" ht="14.4">
      <c r="F44" s="38" t="s">
        <v>214</v>
      </c>
      <c r="G44" s="38" t="s">
        <v>179</v>
      </c>
      <c r="H44" t="s">
        <v>171</v>
      </c>
      <c r="I44"/>
      <c r="J44" t="str">
        <f t="shared" si="14"/>
        <v>SingleSlidingAluminium</v>
      </c>
      <c r="K44" s="38">
        <v>4</v>
      </c>
      <c r="L44">
        <v>10</v>
      </c>
      <c r="BL44" s="38" t="s">
        <v>227</v>
      </c>
      <c r="BM44" s="38" t="s">
        <v>178</v>
      </c>
      <c r="BN44" s="38" t="s">
        <v>284</v>
      </c>
      <c r="BO44" s="38" t="s">
        <v>306</v>
      </c>
      <c r="BP44" s="38" t="s">
        <v>306</v>
      </c>
      <c r="BQ44" s="38" t="str">
        <f t="shared" si="9"/>
        <v>SD</v>
      </c>
      <c r="BR44" s="38" t="str">
        <f t="shared" si="1"/>
        <v>H</v>
      </c>
      <c r="BS44" s="38" t="str">
        <f t="shared" si="2"/>
        <v>B</v>
      </c>
      <c r="BT44" s="38" t="str">
        <f t="shared" si="3"/>
        <v>Y</v>
      </c>
      <c r="BU44" s="38" t="str">
        <f t="shared" si="4"/>
        <v>Y</v>
      </c>
      <c r="BV44" s="38" t="str">
        <f t="shared" si="5"/>
        <v>HingedStandard DiamondBass LatchYesYes</v>
      </c>
      <c r="BW44" s="38" t="str">
        <f t="shared" si="6"/>
        <v>SDHBYY</v>
      </c>
    </row>
    <row r="45" spans="6:75" ht="14.4">
      <c r="F45" s="38" t="s">
        <v>214</v>
      </c>
      <c r="G45" s="38" t="s">
        <v>179</v>
      </c>
      <c r="H45" t="s">
        <v>172</v>
      </c>
      <c r="I45"/>
      <c r="J45" t="str">
        <f t="shared" si="14"/>
        <v>SingleSlidingBrick</v>
      </c>
      <c r="K45" s="38">
        <v>4</v>
      </c>
      <c r="L45">
        <v>10</v>
      </c>
      <c r="BL45" s="38" t="s">
        <v>227</v>
      </c>
      <c r="BM45" s="38" t="s">
        <v>179</v>
      </c>
      <c r="BN45" s="38" t="s">
        <v>284</v>
      </c>
      <c r="BO45" s="38" t="s">
        <v>306</v>
      </c>
      <c r="BP45" s="38" t="s">
        <v>306</v>
      </c>
      <c r="BQ45" s="38" t="str">
        <f t="shared" si="9"/>
        <v>SD</v>
      </c>
      <c r="BR45" s="38" t="str">
        <f t="shared" si="1"/>
        <v>S</v>
      </c>
      <c r="BS45" s="38" t="str">
        <f t="shared" si="2"/>
        <v>B</v>
      </c>
      <c r="BT45" s="38" t="str">
        <f t="shared" si="3"/>
        <v>Y</v>
      </c>
      <c r="BU45" s="38" t="str">
        <f t="shared" si="4"/>
        <v>Y</v>
      </c>
      <c r="BV45" s="38" t="str">
        <f t="shared" si="5"/>
        <v>SlidingStandard DiamondBass LatchYesYes</v>
      </c>
      <c r="BW45" s="38" t="str">
        <f t="shared" si="6"/>
        <v>SDSBYY</v>
      </c>
    </row>
    <row r="46" spans="6:75" ht="14.4">
      <c r="F46" s="38" t="s">
        <v>214</v>
      </c>
      <c r="G46" s="38" t="s">
        <v>179</v>
      </c>
      <c r="H46" t="s">
        <v>173</v>
      </c>
      <c r="I46"/>
      <c r="J46" t="str">
        <f t="shared" si="14"/>
        <v>SingleSlidingPlaster</v>
      </c>
      <c r="K46" s="38">
        <v>4</v>
      </c>
      <c r="L46">
        <v>10</v>
      </c>
      <c r="BL46" s="38" t="s">
        <v>227</v>
      </c>
      <c r="BM46" s="38" t="s">
        <v>220</v>
      </c>
      <c r="BN46" s="38" t="s">
        <v>284</v>
      </c>
      <c r="BO46" s="38" t="s">
        <v>306</v>
      </c>
      <c r="BP46" s="38" t="s">
        <v>306</v>
      </c>
      <c r="BQ46" s="38" t="str">
        <f t="shared" si="9"/>
        <v>SD</v>
      </c>
      <c r="BR46" s="38" t="str">
        <f t="shared" si="1"/>
        <v>ST</v>
      </c>
      <c r="BS46" s="38" t="str">
        <f t="shared" si="2"/>
        <v>B</v>
      </c>
      <c r="BT46" s="38" t="str">
        <f t="shared" si="3"/>
        <v>Y</v>
      </c>
      <c r="BU46" s="38" t="str">
        <f t="shared" si="4"/>
        <v>Y</v>
      </c>
      <c r="BV46" s="38" t="str">
        <f t="shared" si="5"/>
        <v>StackerStandard DiamondBass LatchYesYes</v>
      </c>
      <c r="BW46" s="38" t="str">
        <f t="shared" si="6"/>
        <v>SDSTBYY</v>
      </c>
    </row>
    <row r="47" spans="6:75" ht="14.4">
      <c r="F47" s="38" t="s">
        <v>214</v>
      </c>
      <c r="G47" s="38" t="s">
        <v>220</v>
      </c>
      <c r="H47" t="s">
        <v>166</v>
      </c>
      <c r="I47"/>
      <c r="J47" t="str">
        <f t="shared" si="14"/>
        <v>SingleStackerTimber</v>
      </c>
      <c r="K47" s="38">
        <v>4</v>
      </c>
      <c r="L47">
        <v>10</v>
      </c>
      <c r="BL47" s="38" t="s">
        <v>227</v>
      </c>
      <c r="BM47" s="38" t="s">
        <v>178</v>
      </c>
      <c r="BN47" s="38" t="s">
        <v>279</v>
      </c>
      <c r="BO47" s="38" t="s">
        <v>147</v>
      </c>
      <c r="BQ47" s="38" t="str">
        <f t="shared" si="9"/>
        <v>SD</v>
      </c>
      <c r="BR47" s="38" t="str">
        <f t="shared" si="1"/>
        <v>H</v>
      </c>
      <c r="BS47" s="38" t="str">
        <f t="shared" si="2"/>
        <v>S</v>
      </c>
      <c r="BT47" s="38" t="str">
        <f t="shared" si="3"/>
        <v>N</v>
      </c>
      <c r="BU47" s="38" t="str">
        <f t="shared" si="4"/>
        <v>N</v>
      </c>
      <c r="BV47" s="38" t="str">
        <f t="shared" si="5"/>
        <v>HingedStandard DiamondSingle LockNo</v>
      </c>
      <c r="BW47" s="38" t="str">
        <f t="shared" si="6"/>
        <v>SDHSNN</v>
      </c>
    </row>
    <row r="48" spans="6:75" ht="14.4">
      <c r="F48" s="38" t="s">
        <v>214</v>
      </c>
      <c r="G48" s="38" t="s">
        <v>220</v>
      </c>
      <c r="H48" t="s">
        <v>170</v>
      </c>
      <c r="I48"/>
      <c r="J48" t="str">
        <f t="shared" si="14"/>
        <v>SingleStackerSteel</v>
      </c>
      <c r="K48" s="38">
        <v>4</v>
      </c>
      <c r="L48">
        <v>10</v>
      </c>
      <c r="BL48" s="38" t="s">
        <v>227</v>
      </c>
      <c r="BM48" s="38" t="s">
        <v>179</v>
      </c>
      <c r="BN48" s="38" t="s">
        <v>279</v>
      </c>
      <c r="BO48" s="38" t="s">
        <v>147</v>
      </c>
      <c r="BQ48" s="38" t="str">
        <f t="shared" si="9"/>
        <v>SD</v>
      </c>
      <c r="BR48" s="38" t="str">
        <f t="shared" si="1"/>
        <v>S</v>
      </c>
      <c r="BS48" s="38" t="str">
        <f t="shared" si="2"/>
        <v>S</v>
      </c>
      <c r="BT48" s="38" t="str">
        <f t="shared" si="3"/>
        <v>N</v>
      </c>
      <c r="BU48" s="38" t="str">
        <f t="shared" si="4"/>
        <v>N</v>
      </c>
      <c r="BV48" s="38" t="str">
        <f t="shared" si="5"/>
        <v>SlidingStandard DiamondSingle LockNo</v>
      </c>
      <c r="BW48" s="38" t="str">
        <f t="shared" si="6"/>
        <v>SDSSNN</v>
      </c>
    </row>
    <row r="49" spans="6:75" ht="14.4">
      <c r="F49" s="38" t="s">
        <v>214</v>
      </c>
      <c r="G49" s="38" t="s">
        <v>220</v>
      </c>
      <c r="H49" t="s">
        <v>171</v>
      </c>
      <c r="I49"/>
      <c r="J49" t="str">
        <f t="shared" si="14"/>
        <v>SingleStackerAluminium</v>
      </c>
      <c r="K49" s="38">
        <v>4</v>
      </c>
      <c r="L49">
        <v>10</v>
      </c>
      <c r="BL49" s="38" t="s">
        <v>227</v>
      </c>
      <c r="BM49" s="38" t="s">
        <v>220</v>
      </c>
      <c r="BN49" s="38" t="s">
        <v>279</v>
      </c>
      <c r="BO49" s="38" t="s">
        <v>147</v>
      </c>
      <c r="BQ49" s="38" t="str">
        <f t="shared" si="9"/>
        <v>SD</v>
      </c>
      <c r="BR49" s="38" t="str">
        <f t="shared" si="1"/>
        <v>ST</v>
      </c>
      <c r="BS49" s="38" t="str">
        <f t="shared" si="2"/>
        <v>S</v>
      </c>
      <c r="BT49" s="38" t="str">
        <f t="shared" si="3"/>
        <v>N</v>
      </c>
      <c r="BU49" s="38" t="str">
        <f t="shared" si="4"/>
        <v>N</v>
      </c>
      <c r="BV49" s="38" t="str">
        <f t="shared" si="5"/>
        <v>StackerStandard DiamondSingle LockNo</v>
      </c>
      <c r="BW49" s="38" t="str">
        <f t="shared" si="6"/>
        <v>SDSTSNN</v>
      </c>
    </row>
    <row r="50" spans="6:75" ht="14.4">
      <c r="F50" s="38" t="s">
        <v>214</v>
      </c>
      <c r="G50" s="38" t="s">
        <v>220</v>
      </c>
      <c r="H50" t="s">
        <v>172</v>
      </c>
      <c r="I50"/>
      <c r="J50" t="str">
        <f t="shared" si="14"/>
        <v>SingleStackerBrick</v>
      </c>
      <c r="K50" s="38">
        <v>4</v>
      </c>
      <c r="L50">
        <v>10</v>
      </c>
      <c r="BL50" s="38" t="s">
        <v>227</v>
      </c>
      <c r="BM50" s="38" t="s">
        <v>178</v>
      </c>
      <c r="BN50" s="38" t="s">
        <v>275</v>
      </c>
      <c r="BO50" s="38" t="s">
        <v>147</v>
      </c>
      <c r="BQ50" s="38" t="str">
        <f t="shared" si="9"/>
        <v>SD</v>
      </c>
      <c r="BR50" s="38" t="str">
        <f t="shared" si="1"/>
        <v>H</v>
      </c>
      <c r="BS50" s="38" t="str">
        <f t="shared" si="2"/>
        <v>T</v>
      </c>
      <c r="BT50" s="38" t="str">
        <f t="shared" si="3"/>
        <v>N</v>
      </c>
      <c r="BU50" s="38" t="str">
        <f t="shared" si="4"/>
        <v>N</v>
      </c>
      <c r="BV50" s="38" t="str">
        <f t="shared" si="5"/>
        <v>HingedStandard DiamondTriple LockNo</v>
      </c>
      <c r="BW50" s="38" t="str">
        <f t="shared" si="6"/>
        <v>SDHTNN</v>
      </c>
    </row>
    <row r="51" spans="6:75" ht="14.4">
      <c r="F51" s="38" t="s">
        <v>214</v>
      </c>
      <c r="G51" s="38" t="s">
        <v>220</v>
      </c>
      <c r="H51" t="s">
        <v>173</v>
      </c>
      <c r="I51"/>
      <c r="J51" t="str">
        <f t="shared" si="14"/>
        <v>SingleStackerPlaster</v>
      </c>
      <c r="K51" s="38">
        <v>4</v>
      </c>
      <c r="L51">
        <v>10</v>
      </c>
      <c r="BL51" s="38" t="s">
        <v>227</v>
      </c>
      <c r="BM51" s="38" t="s">
        <v>179</v>
      </c>
      <c r="BN51" s="38" t="s">
        <v>275</v>
      </c>
      <c r="BO51" s="38" t="s">
        <v>147</v>
      </c>
      <c r="BQ51" s="38" t="str">
        <f t="shared" si="9"/>
        <v>SD</v>
      </c>
      <c r="BR51" s="38" t="str">
        <f t="shared" si="1"/>
        <v>S</v>
      </c>
      <c r="BS51" s="38" t="str">
        <f t="shared" si="2"/>
        <v>T</v>
      </c>
      <c r="BT51" s="38" t="str">
        <f t="shared" si="3"/>
        <v>N</v>
      </c>
      <c r="BU51" s="38" t="str">
        <f t="shared" si="4"/>
        <v>N</v>
      </c>
      <c r="BV51" s="38" t="str">
        <f t="shared" si="5"/>
        <v>SlidingStandard DiamondTriple LockNo</v>
      </c>
      <c r="BW51" s="38" t="str">
        <f t="shared" si="6"/>
        <v>SDSTNN</v>
      </c>
    </row>
    <row r="52" spans="6:75" ht="14.4">
      <c r="F52" s="38" t="s">
        <v>214</v>
      </c>
      <c r="G52" s="38" t="s">
        <v>178</v>
      </c>
      <c r="H52" t="s">
        <v>166</v>
      </c>
      <c r="I52" t="s">
        <v>195</v>
      </c>
      <c r="J52" t="str">
        <f t="shared" si="14"/>
        <v>SingleHingedTimberLong Leg Left, Right and Top</v>
      </c>
      <c r="K52" s="38">
        <v>9</v>
      </c>
      <c r="L52">
        <v>12</v>
      </c>
      <c r="BL52" s="38" t="s">
        <v>227</v>
      </c>
      <c r="BM52" s="38" t="s">
        <v>220</v>
      </c>
      <c r="BN52" s="38" t="s">
        <v>275</v>
      </c>
      <c r="BO52" s="38" t="s">
        <v>147</v>
      </c>
      <c r="BQ52" s="38" t="str">
        <f t="shared" si="9"/>
        <v>SD</v>
      </c>
      <c r="BR52" s="38" t="str">
        <f t="shared" si="1"/>
        <v>ST</v>
      </c>
      <c r="BS52" s="38" t="str">
        <f t="shared" si="2"/>
        <v>T</v>
      </c>
      <c r="BT52" s="38" t="str">
        <f t="shared" si="3"/>
        <v>N</v>
      </c>
      <c r="BU52" s="38" t="str">
        <f t="shared" si="4"/>
        <v>N</v>
      </c>
      <c r="BV52" s="38" t="str">
        <f t="shared" si="5"/>
        <v>StackerStandard DiamondTriple LockNo</v>
      </c>
      <c r="BW52" s="38" t="str">
        <f t="shared" si="6"/>
        <v>SDSTTNN</v>
      </c>
    </row>
    <row r="53" spans="6:75" ht="14.4">
      <c r="F53" s="38" t="s">
        <v>214</v>
      </c>
      <c r="G53" s="38" t="s">
        <v>178</v>
      </c>
      <c r="H53" t="s">
        <v>170</v>
      </c>
      <c r="I53" t="s">
        <v>195</v>
      </c>
      <c r="J53" t="str">
        <f t="shared" si="14"/>
        <v>SingleHingedSteelLong Leg Left, Right and Top</v>
      </c>
      <c r="K53" s="38">
        <v>9</v>
      </c>
      <c r="L53">
        <v>12</v>
      </c>
      <c r="BL53" s="38" t="s">
        <v>227</v>
      </c>
      <c r="BM53" s="38" t="s">
        <v>178</v>
      </c>
      <c r="BN53" s="38" t="s">
        <v>410</v>
      </c>
      <c r="BO53" s="38" t="s">
        <v>147</v>
      </c>
      <c r="BQ53" s="38" t="str">
        <f t="shared" si="9"/>
        <v>SD</v>
      </c>
      <c r="BR53" s="38" t="str">
        <f t="shared" si="1"/>
        <v>H</v>
      </c>
      <c r="BS53" s="38" t="str">
        <f t="shared" si="2"/>
        <v>N</v>
      </c>
      <c r="BT53" s="38" t="str">
        <f t="shared" si="3"/>
        <v>N</v>
      </c>
      <c r="BU53" s="38" t="str">
        <f t="shared" si="4"/>
        <v>N</v>
      </c>
      <c r="BV53" s="38" t="str">
        <f t="shared" si="5"/>
        <v>HingedStandard DiamondNot RequiredNo</v>
      </c>
      <c r="BW53" s="38" t="str">
        <f t="shared" si="6"/>
        <v>SDHNNN</v>
      </c>
    </row>
    <row r="54" spans="6:75" ht="14.4">
      <c r="F54" s="38" t="s">
        <v>214</v>
      </c>
      <c r="G54" s="38" t="s">
        <v>178</v>
      </c>
      <c r="H54" t="s">
        <v>171</v>
      </c>
      <c r="I54" t="s">
        <v>195</v>
      </c>
      <c r="J54" t="str">
        <f t="shared" si="14"/>
        <v>SingleHingedAluminiumLong Leg Left, Right and Top</v>
      </c>
      <c r="K54" s="38">
        <v>9</v>
      </c>
      <c r="L54">
        <v>12</v>
      </c>
      <c r="BL54" s="38" t="s">
        <v>227</v>
      </c>
      <c r="BM54" s="38" t="s">
        <v>179</v>
      </c>
      <c r="BN54" s="38" t="s">
        <v>410</v>
      </c>
      <c r="BO54" s="38" t="s">
        <v>147</v>
      </c>
      <c r="BQ54" s="38" t="str">
        <f t="shared" si="9"/>
        <v>SD</v>
      </c>
      <c r="BR54" s="38" t="str">
        <f t="shared" si="1"/>
        <v>S</v>
      </c>
      <c r="BS54" s="38" t="str">
        <f t="shared" si="2"/>
        <v>N</v>
      </c>
      <c r="BT54" s="38" t="str">
        <f t="shared" si="3"/>
        <v>N</v>
      </c>
      <c r="BU54" s="38" t="str">
        <f t="shared" si="4"/>
        <v>N</v>
      </c>
      <c r="BV54" s="38" t="str">
        <f t="shared" si="5"/>
        <v>SlidingStandard DiamondNot RequiredNo</v>
      </c>
      <c r="BW54" s="38" t="str">
        <f t="shared" si="6"/>
        <v>SDSNNN</v>
      </c>
    </row>
    <row r="55" spans="6:75" ht="14.4">
      <c r="F55" s="38" t="s">
        <v>214</v>
      </c>
      <c r="G55" s="38" t="s">
        <v>178</v>
      </c>
      <c r="H55" t="s">
        <v>172</v>
      </c>
      <c r="I55" t="s">
        <v>195</v>
      </c>
      <c r="J55" t="str">
        <f t="shared" si="14"/>
        <v>SingleHingedBrickLong Leg Left, Right and Top</v>
      </c>
      <c r="K55" s="38">
        <v>9</v>
      </c>
      <c r="L55">
        <v>12</v>
      </c>
      <c r="BL55" s="38" t="s">
        <v>227</v>
      </c>
      <c r="BM55" s="38" t="s">
        <v>220</v>
      </c>
      <c r="BN55" s="38" t="s">
        <v>410</v>
      </c>
      <c r="BO55" s="38" t="s">
        <v>147</v>
      </c>
      <c r="BQ55" s="38" t="str">
        <f t="shared" si="9"/>
        <v>SD</v>
      </c>
      <c r="BR55" s="38" t="str">
        <f t="shared" si="1"/>
        <v>ST</v>
      </c>
      <c r="BS55" s="38" t="str">
        <f t="shared" si="2"/>
        <v>N</v>
      </c>
      <c r="BT55" s="38" t="str">
        <f t="shared" si="3"/>
        <v>N</v>
      </c>
      <c r="BU55" s="38" t="str">
        <f t="shared" si="4"/>
        <v>N</v>
      </c>
      <c r="BV55" s="38" t="str">
        <f t="shared" si="5"/>
        <v>StackerStandard DiamondNot RequiredNo</v>
      </c>
      <c r="BW55" s="38" t="str">
        <f t="shared" si="6"/>
        <v>SDSTNNN</v>
      </c>
    </row>
    <row r="56" spans="6:75" ht="14.4">
      <c r="F56" s="38" t="s">
        <v>214</v>
      </c>
      <c r="G56" s="38" t="s">
        <v>178</v>
      </c>
      <c r="H56" t="s">
        <v>173</v>
      </c>
      <c r="I56" t="s">
        <v>195</v>
      </c>
      <c r="J56" t="str">
        <f t="shared" si="14"/>
        <v>SingleHingedPlasterLong Leg Left, Right and Top</v>
      </c>
      <c r="K56" s="38">
        <v>9</v>
      </c>
      <c r="L56">
        <v>12</v>
      </c>
      <c r="BL56" s="38" t="s">
        <v>227</v>
      </c>
      <c r="BM56" s="38" t="s">
        <v>178</v>
      </c>
      <c r="BN56" s="38" t="s">
        <v>383</v>
      </c>
      <c r="BO56" s="38" t="s">
        <v>147</v>
      </c>
      <c r="BQ56" s="38" t="str">
        <f t="shared" si="9"/>
        <v>SD</v>
      </c>
      <c r="BR56" s="38" t="str">
        <f t="shared" si="1"/>
        <v>H</v>
      </c>
      <c r="BS56" s="38" t="str">
        <f t="shared" si="2"/>
        <v>D</v>
      </c>
      <c r="BT56" s="38" t="str">
        <f t="shared" si="3"/>
        <v>N</v>
      </c>
      <c r="BU56" s="38" t="str">
        <f t="shared" si="4"/>
        <v>N</v>
      </c>
      <c r="BV56" s="38" t="str">
        <f t="shared" si="5"/>
        <v>HingedStandard DiamondUltra Secua Digital Triple LockNo</v>
      </c>
      <c r="BW56" s="38" t="str">
        <f t="shared" si="6"/>
        <v>SDHDNN</v>
      </c>
    </row>
    <row r="57" spans="6:75" ht="14.4">
      <c r="F57" s="38" t="s">
        <v>214</v>
      </c>
      <c r="G57" s="38" t="s">
        <v>178</v>
      </c>
      <c r="H57" t="s">
        <v>166</v>
      </c>
      <c r="I57" t="s">
        <v>193</v>
      </c>
      <c r="J57" t="str">
        <f t="shared" si="14"/>
        <v>SingleHingedTimberShort Leg Left, Right and Top</v>
      </c>
      <c r="K57" s="38">
        <v>9</v>
      </c>
      <c r="L57">
        <v>12</v>
      </c>
      <c r="BL57" s="38" t="s">
        <v>227</v>
      </c>
      <c r="BM57" s="38" t="s">
        <v>179</v>
      </c>
      <c r="BN57" s="38" t="s">
        <v>383</v>
      </c>
      <c r="BO57" s="38" t="s">
        <v>147</v>
      </c>
      <c r="BQ57" s="38" t="str">
        <f t="shared" si="9"/>
        <v>SD</v>
      </c>
      <c r="BR57" s="38" t="str">
        <f t="shared" si="1"/>
        <v>S</v>
      </c>
      <c r="BS57" s="38" t="str">
        <f t="shared" si="2"/>
        <v>D</v>
      </c>
      <c r="BT57" s="38" t="str">
        <f t="shared" si="3"/>
        <v>N</v>
      </c>
      <c r="BU57" s="38" t="str">
        <f t="shared" si="4"/>
        <v>N</v>
      </c>
      <c r="BV57" s="38" t="str">
        <f t="shared" si="5"/>
        <v>SlidingStandard DiamondUltra Secua Digital Triple LockNo</v>
      </c>
      <c r="BW57" s="38" t="str">
        <f t="shared" si="6"/>
        <v>SDSDNN</v>
      </c>
    </row>
    <row r="58" spans="6:75" ht="14.4">
      <c r="F58" s="38" t="s">
        <v>214</v>
      </c>
      <c r="G58" s="38" t="s">
        <v>178</v>
      </c>
      <c r="H58" t="s">
        <v>170</v>
      </c>
      <c r="I58" t="s">
        <v>193</v>
      </c>
      <c r="J58" t="str">
        <f t="shared" si="14"/>
        <v>SingleHingedSteelShort Leg Left, Right and Top</v>
      </c>
      <c r="K58" s="38">
        <v>9</v>
      </c>
      <c r="L58">
        <v>12</v>
      </c>
      <c r="BL58" s="38" t="s">
        <v>227</v>
      </c>
      <c r="BM58" s="38" t="s">
        <v>220</v>
      </c>
      <c r="BN58" s="38" t="s">
        <v>383</v>
      </c>
      <c r="BO58" s="38" t="s">
        <v>147</v>
      </c>
      <c r="BQ58" s="38" t="str">
        <f t="shared" si="9"/>
        <v>SD</v>
      </c>
      <c r="BR58" s="38" t="str">
        <f t="shared" si="1"/>
        <v>ST</v>
      </c>
      <c r="BS58" s="38" t="str">
        <f t="shared" si="2"/>
        <v>D</v>
      </c>
      <c r="BT58" s="38" t="str">
        <f t="shared" si="3"/>
        <v>N</v>
      </c>
      <c r="BU58" s="38" t="str">
        <f t="shared" si="4"/>
        <v>N</v>
      </c>
      <c r="BV58" s="38" t="str">
        <f t="shared" si="5"/>
        <v>StackerStandard DiamondUltra Secua Digital Triple LockNo</v>
      </c>
      <c r="BW58" s="38" t="str">
        <f t="shared" si="6"/>
        <v>SDSTDNN</v>
      </c>
    </row>
    <row r="59" spans="6:75" ht="14.4">
      <c r="F59" s="38" t="s">
        <v>214</v>
      </c>
      <c r="G59" s="38" t="s">
        <v>178</v>
      </c>
      <c r="H59" t="s">
        <v>171</v>
      </c>
      <c r="I59" t="s">
        <v>193</v>
      </c>
      <c r="J59" t="str">
        <f t="shared" si="14"/>
        <v>SingleHingedAluminiumShort Leg Left, Right and Top</v>
      </c>
      <c r="K59" s="38">
        <v>9</v>
      </c>
      <c r="L59">
        <v>12</v>
      </c>
      <c r="BL59" s="38" t="s">
        <v>227</v>
      </c>
      <c r="BM59" s="38" t="s">
        <v>178</v>
      </c>
      <c r="BN59" s="38" t="s">
        <v>284</v>
      </c>
      <c r="BO59" s="38" t="s">
        <v>147</v>
      </c>
      <c r="BQ59" s="38" t="str">
        <f t="shared" si="9"/>
        <v>SD</v>
      </c>
      <c r="BR59" s="38" t="str">
        <f t="shared" si="1"/>
        <v>H</v>
      </c>
      <c r="BS59" s="38" t="str">
        <f t="shared" si="2"/>
        <v>B</v>
      </c>
      <c r="BT59" s="38" t="str">
        <f t="shared" si="3"/>
        <v>N</v>
      </c>
      <c r="BU59" s="38" t="str">
        <f t="shared" si="4"/>
        <v>N</v>
      </c>
      <c r="BV59" s="38" t="str">
        <f t="shared" si="5"/>
        <v>HingedStandard DiamondBass LatchNo</v>
      </c>
      <c r="BW59" s="38" t="str">
        <f t="shared" si="6"/>
        <v>SDHBNN</v>
      </c>
    </row>
    <row r="60" spans="6:75" ht="14.4">
      <c r="F60" s="38" t="s">
        <v>214</v>
      </c>
      <c r="G60" s="38" t="s">
        <v>178</v>
      </c>
      <c r="H60" t="s">
        <v>172</v>
      </c>
      <c r="I60" t="s">
        <v>193</v>
      </c>
      <c r="J60" t="str">
        <f t="shared" si="14"/>
        <v>SingleHingedBrickShort Leg Left, Right and Top</v>
      </c>
      <c r="K60" s="38">
        <v>9</v>
      </c>
      <c r="L60">
        <v>12</v>
      </c>
      <c r="BL60" s="38" t="s">
        <v>227</v>
      </c>
      <c r="BM60" s="38" t="s">
        <v>179</v>
      </c>
      <c r="BN60" s="38" t="s">
        <v>284</v>
      </c>
      <c r="BO60" s="38" t="s">
        <v>147</v>
      </c>
      <c r="BQ60" s="38" t="str">
        <f t="shared" si="9"/>
        <v>SD</v>
      </c>
      <c r="BR60" s="38" t="str">
        <f t="shared" si="1"/>
        <v>S</v>
      </c>
      <c r="BS60" s="38" t="str">
        <f t="shared" si="2"/>
        <v>B</v>
      </c>
      <c r="BT60" s="38" t="str">
        <f t="shared" si="3"/>
        <v>N</v>
      </c>
      <c r="BU60" s="38" t="str">
        <f t="shared" si="4"/>
        <v>N</v>
      </c>
      <c r="BV60" s="38" t="str">
        <f t="shared" si="5"/>
        <v>SlidingStandard DiamondBass LatchNo</v>
      </c>
      <c r="BW60" s="38" t="str">
        <f t="shared" si="6"/>
        <v>SDSBNN</v>
      </c>
    </row>
    <row r="61" spans="6:75" ht="14.4">
      <c r="F61" s="38" t="s">
        <v>214</v>
      </c>
      <c r="G61" s="38" t="s">
        <v>178</v>
      </c>
      <c r="H61" t="s">
        <v>173</v>
      </c>
      <c r="I61" t="s">
        <v>193</v>
      </c>
      <c r="J61" t="str">
        <f t="shared" si="14"/>
        <v>SingleHingedPlasterShort Leg Left, Right and Top</v>
      </c>
      <c r="K61" s="38">
        <v>9</v>
      </c>
      <c r="L61">
        <v>12</v>
      </c>
      <c r="BL61" s="38" t="s">
        <v>227</v>
      </c>
      <c r="BM61" s="38" t="s">
        <v>220</v>
      </c>
      <c r="BN61" s="38" t="s">
        <v>284</v>
      </c>
      <c r="BO61" s="38" t="s">
        <v>147</v>
      </c>
      <c r="BQ61" s="38" t="str">
        <f t="shared" si="9"/>
        <v>SD</v>
      </c>
      <c r="BR61" s="38" t="str">
        <f t="shared" si="1"/>
        <v>ST</v>
      </c>
      <c r="BS61" s="38" t="str">
        <f t="shared" si="2"/>
        <v>B</v>
      </c>
      <c r="BT61" s="38" t="str">
        <f t="shared" si="3"/>
        <v>N</v>
      </c>
      <c r="BU61" s="38" t="str">
        <f t="shared" si="4"/>
        <v>N</v>
      </c>
      <c r="BV61" s="38" t="str">
        <f t="shared" si="5"/>
        <v>StackerStandard DiamondBass LatchNo</v>
      </c>
      <c r="BW61" s="38" t="str">
        <f t="shared" si="6"/>
        <v>SDSTBNN</v>
      </c>
    </row>
    <row r="62" spans="6:75" ht="14.4">
      <c r="F62" s="38" t="s">
        <v>214</v>
      </c>
      <c r="G62" s="38" t="s">
        <v>178</v>
      </c>
      <c r="H62" s="38" t="s">
        <v>166</v>
      </c>
      <c r="I62" s="38" t="s">
        <v>194</v>
      </c>
      <c r="J62" t="str">
        <f t="shared" si="14"/>
        <v>SingleHingedTimberShort Leg 1 Side</v>
      </c>
      <c r="K62" s="38">
        <v>8</v>
      </c>
      <c r="L62" s="38">
        <v>10</v>
      </c>
      <c r="BL62" s="38" t="s">
        <v>227</v>
      </c>
      <c r="BM62" s="38" t="s">
        <v>178</v>
      </c>
      <c r="BN62" s="38" t="s">
        <v>279</v>
      </c>
      <c r="BO62" s="38" t="s">
        <v>411</v>
      </c>
      <c r="BQ62" s="38" t="str">
        <f t="shared" si="9"/>
        <v>SD</v>
      </c>
      <c r="BR62" s="38" t="str">
        <f t="shared" si="1"/>
        <v>H</v>
      </c>
      <c r="BS62" s="38" t="str">
        <f t="shared" si="2"/>
        <v>S</v>
      </c>
      <c r="BT62" s="38" t="str">
        <f t="shared" si="3"/>
        <v>Y</v>
      </c>
      <c r="BU62" s="38" t="str">
        <f t="shared" si="4"/>
        <v>N</v>
      </c>
      <c r="BV62" s="38" t="str">
        <f t="shared" si="5"/>
        <v>HingedStandard DiamondSingle LockYes - Centre</v>
      </c>
      <c r="BW62" s="38" t="str">
        <f t="shared" si="6"/>
        <v>SDHSYN</v>
      </c>
    </row>
    <row r="63" spans="6:75" ht="14.4">
      <c r="F63" s="38" t="s">
        <v>214</v>
      </c>
      <c r="G63" s="38" t="s">
        <v>178</v>
      </c>
      <c r="H63" s="38" t="s">
        <v>170</v>
      </c>
      <c r="I63" s="38" t="s">
        <v>194</v>
      </c>
      <c r="J63" t="str">
        <f t="shared" si="14"/>
        <v>SingleHingedSteelShort Leg 1 Side</v>
      </c>
      <c r="K63" s="38">
        <v>8</v>
      </c>
      <c r="L63" s="38">
        <v>10</v>
      </c>
      <c r="BL63" s="38" t="s">
        <v>227</v>
      </c>
      <c r="BM63" s="38" t="s">
        <v>179</v>
      </c>
      <c r="BN63" s="38" t="s">
        <v>279</v>
      </c>
      <c r="BO63" s="38" t="s">
        <v>411</v>
      </c>
      <c r="BQ63" s="38" t="str">
        <f t="shared" si="9"/>
        <v>SD</v>
      </c>
      <c r="BR63" s="38" t="str">
        <f t="shared" si="1"/>
        <v>S</v>
      </c>
      <c r="BS63" s="38" t="str">
        <f t="shared" si="2"/>
        <v>S</v>
      </c>
      <c r="BT63" s="38" t="str">
        <f t="shared" si="3"/>
        <v>Y</v>
      </c>
      <c r="BU63" s="38" t="str">
        <f t="shared" si="4"/>
        <v>N</v>
      </c>
      <c r="BV63" s="38" t="str">
        <f t="shared" si="5"/>
        <v>SlidingStandard DiamondSingle LockYes - Centre</v>
      </c>
      <c r="BW63" s="38" t="str">
        <f t="shared" si="6"/>
        <v>SDSSYN</v>
      </c>
    </row>
    <row r="64" spans="6:75" ht="14.4">
      <c r="F64" s="38" t="s">
        <v>214</v>
      </c>
      <c r="G64" s="38" t="s">
        <v>178</v>
      </c>
      <c r="H64" s="38" t="s">
        <v>171</v>
      </c>
      <c r="I64" s="38" t="s">
        <v>194</v>
      </c>
      <c r="J64" t="str">
        <f t="shared" si="14"/>
        <v>SingleHingedAluminiumShort Leg 1 Side</v>
      </c>
      <c r="K64" s="38">
        <v>8</v>
      </c>
      <c r="L64" s="38">
        <v>10</v>
      </c>
      <c r="BL64" s="38" t="s">
        <v>227</v>
      </c>
      <c r="BM64" s="38" t="s">
        <v>220</v>
      </c>
      <c r="BN64" s="38" t="s">
        <v>279</v>
      </c>
      <c r="BO64" s="38" t="s">
        <v>411</v>
      </c>
      <c r="BQ64" s="38" t="str">
        <f t="shared" si="9"/>
        <v>SD</v>
      </c>
      <c r="BR64" s="38" t="str">
        <f t="shared" si="1"/>
        <v>ST</v>
      </c>
      <c r="BS64" s="38" t="str">
        <f t="shared" si="2"/>
        <v>S</v>
      </c>
      <c r="BT64" s="38" t="str">
        <f t="shared" si="3"/>
        <v>Y</v>
      </c>
      <c r="BU64" s="38" t="str">
        <f t="shared" si="4"/>
        <v>N</v>
      </c>
      <c r="BV64" s="38" t="str">
        <f t="shared" si="5"/>
        <v>StackerStandard DiamondSingle LockYes - Centre</v>
      </c>
      <c r="BW64" s="38" t="str">
        <f t="shared" si="6"/>
        <v>SDSTSYN</v>
      </c>
    </row>
    <row r="65" spans="6:75" ht="14.4">
      <c r="F65" s="38" t="s">
        <v>214</v>
      </c>
      <c r="G65" s="38" t="s">
        <v>178</v>
      </c>
      <c r="H65" s="38" t="s">
        <v>172</v>
      </c>
      <c r="I65" s="38" t="s">
        <v>194</v>
      </c>
      <c r="J65" t="str">
        <f t="shared" si="14"/>
        <v>SingleHingedBrickShort Leg 1 Side</v>
      </c>
      <c r="K65" s="38">
        <v>8</v>
      </c>
      <c r="L65" s="38">
        <v>10</v>
      </c>
      <c r="BL65" s="38" t="s">
        <v>227</v>
      </c>
      <c r="BM65" s="38" t="s">
        <v>178</v>
      </c>
      <c r="BN65" s="38" t="s">
        <v>275</v>
      </c>
      <c r="BO65" s="38" t="s">
        <v>411</v>
      </c>
      <c r="BQ65" s="38" t="str">
        <f t="shared" si="9"/>
        <v>SD</v>
      </c>
      <c r="BR65" s="38" t="str">
        <f t="shared" si="1"/>
        <v>H</v>
      </c>
      <c r="BS65" s="38" t="str">
        <f t="shared" si="2"/>
        <v>T</v>
      </c>
      <c r="BT65" s="38" t="str">
        <f t="shared" si="3"/>
        <v>Y</v>
      </c>
      <c r="BU65" s="38" t="str">
        <f t="shared" si="4"/>
        <v>N</v>
      </c>
      <c r="BV65" s="38" t="str">
        <f t="shared" si="5"/>
        <v>HingedStandard DiamondTriple LockYes - Centre</v>
      </c>
      <c r="BW65" s="38" t="str">
        <f t="shared" si="6"/>
        <v>SDHTYN</v>
      </c>
    </row>
    <row r="66" spans="6:75" ht="14.4">
      <c r="F66" s="38" t="s">
        <v>214</v>
      </c>
      <c r="G66" s="38" t="s">
        <v>178</v>
      </c>
      <c r="H66" s="38" t="s">
        <v>173</v>
      </c>
      <c r="I66" s="38" t="s">
        <v>194</v>
      </c>
      <c r="J66" t="str">
        <f t="shared" si="15" ref="J66:J71">CONCATENATE(F66,G66,H66,I66)</f>
        <v>SingleHingedPlasterShort Leg 1 Side</v>
      </c>
      <c r="K66" s="38">
        <v>8</v>
      </c>
      <c r="L66" s="38">
        <v>10</v>
      </c>
      <c r="BL66" s="38" t="s">
        <v>227</v>
      </c>
      <c r="BM66" s="38" t="s">
        <v>179</v>
      </c>
      <c r="BN66" s="38" t="s">
        <v>275</v>
      </c>
      <c r="BO66" s="38" t="s">
        <v>411</v>
      </c>
      <c r="BQ66" s="38" t="str">
        <f t="shared" si="9"/>
        <v>SD</v>
      </c>
      <c r="BR66" s="38" t="str">
        <f t="shared" si="16" ref="BR66:BR129">IF(BM66="Hinged","H",IF(BM66="Sliding","S",IF(BM66="Stacker","ST")))</f>
        <v>S</v>
      </c>
      <c r="BS66" s="38" t="str">
        <f t="shared" si="17" ref="BS66:BS129">IF(BN66="Single Lock","S",IF(BN66="Triple Lock","T",IF(BN66="Not Required","N",IF(BN66="Ultra Secua Digital Triple Lock","D",IF(BN66="Bass Latch","B")))))</f>
        <v>T</v>
      </c>
      <c r="BT66" s="38" t="str">
        <f t="shared" si="18" ref="BT66:BT129">IF(BO66="No","N",IF(BO66="Yes","Y",IF(BO66="Not Required","N",IF(BO66="Yes - Centre","Y"))))</f>
        <v>Y</v>
      </c>
      <c r="BU66" s="38" t="str">
        <f t="shared" si="19" ref="BU66:BU129">IF(BP66="","N",IF(BP66="Yes","Y"))</f>
        <v>N</v>
      </c>
      <c r="BV66" s="38" t="str">
        <f t="shared" si="20" ref="BV66:BV129">CONCATENATE(BM66,BL66,BN66,BO66,BP66,)</f>
        <v>SlidingStandard DiamondTriple LockYes - Centre</v>
      </c>
      <c r="BW66" s="38" t="str">
        <f t="shared" si="21" ref="BW66:BW129">CONCATENATE(BQ66,BR66,BS66,BT66,BU66)</f>
        <v>SDSTYN</v>
      </c>
    </row>
    <row r="67" spans="6:75" ht="14.4">
      <c r="F67" s="38" t="s">
        <v>214</v>
      </c>
      <c r="G67" s="38" t="s">
        <v>178</v>
      </c>
      <c r="H67" s="38" t="s">
        <v>166</v>
      </c>
      <c r="I67" s="38" t="s">
        <v>347</v>
      </c>
      <c r="J67" t="str">
        <f t="shared" si="15"/>
        <v>SingleHingedTimberLong Leg 1 Side</v>
      </c>
      <c r="K67" s="38">
        <v>8</v>
      </c>
      <c r="L67" s="38">
        <v>10</v>
      </c>
      <c r="BL67" s="38" t="s">
        <v>227</v>
      </c>
      <c r="BM67" s="38" t="s">
        <v>220</v>
      </c>
      <c r="BN67" s="38" t="s">
        <v>275</v>
      </c>
      <c r="BO67" s="38" t="s">
        <v>411</v>
      </c>
      <c r="BQ67" s="38" t="str">
        <f t="shared" si="22" ref="BQ67:BQ130">IF(BL67="Standard Diamond","SD",IF(BL67="Decorative Diamond","DD",IF(BL67="Privacy-Gard","PG",IF(BL67="Flyscreen","FW",IF(BL67="Woven Stainless Steel","SS",IF(BL67="Alu-Gard Perforated Aluminium","PA",IF(BL67="Invisi-Gard Woven Stainless Steel","IG")))))))</f>
        <v>SD</v>
      </c>
      <c r="BR67" s="38" t="str">
        <f t="shared" si="16"/>
        <v>ST</v>
      </c>
      <c r="BS67" s="38" t="str">
        <f t="shared" si="17"/>
        <v>T</v>
      </c>
      <c r="BT67" s="38" t="str">
        <f t="shared" si="18"/>
        <v>Y</v>
      </c>
      <c r="BU67" s="38" t="str">
        <f t="shared" si="19"/>
        <v>N</v>
      </c>
      <c r="BV67" s="38" t="str">
        <f t="shared" si="20"/>
        <v>StackerStandard DiamondTriple LockYes - Centre</v>
      </c>
      <c r="BW67" s="38" t="str">
        <f t="shared" si="21"/>
        <v>SDSTTYN</v>
      </c>
    </row>
    <row r="68" spans="6:75" ht="14.4">
      <c r="F68" s="38" t="s">
        <v>214</v>
      </c>
      <c r="G68" s="38" t="s">
        <v>178</v>
      </c>
      <c r="H68" s="38" t="s">
        <v>170</v>
      </c>
      <c r="I68" s="38" t="s">
        <v>347</v>
      </c>
      <c r="J68" t="str">
        <f t="shared" si="15"/>
        <v>SingleHingedSteelLong Leg 1 Side</v>
      </c>
      <c r="K68" s="38">
        <v>8</v>
      </c>
      <c r="L68" s="38">
        <v>10</v>
      </c>
      <c r="BL68" s="38" t="s">
        <v>227</v>
      </c>
      <c r="BM68" s="38" t="s">
        <v>178</v>
      </c>
      <c r="BN68" s="38" t="s">
        <v>410</v>
      </c>
      <c r="BO68" s="38" t="s">
        <v>411</v>
      </c>
      <c r="BQ68" s="38" t="str">
        <f t="shared" si="22"/>
        <v>SD</v>
      </c>
      <c r="BR68" s="38" t="str">
        <f t="shared" si="16"/>
        <v>H</v>
      </c>
      <c r="BS68" s="38" t="str">
        <f t="shared" si="17"/>
        <v>N</v>
      </c>
      <c r="BT68" s="38" t="str">
        <f t="shared" si="18"/>
        <v>Y</v>
      </c>
      <c r="BU68" s="38" t="str">
        <f t="shared" si="19"/>
        <v>N</v>
      </c>
      <c r="BV68" s="38" t="str">
        <f t="shared" si="20"/>
        <v>HingedStandard DiamondNot RequiredYes - Centre</v>
      </c>
      <c r="BW68" s="38" t="str">
        <f t="shared" si="21"/>
        <v>SDHNYN</v>
      </c>
    </row>
    <row r="69" spans="6:75" ht="14.4">
      <c r="F69" s="38" t="s">
        <v>214</v>
      </c>
      <c r="G69" s="38" t="s">
        <v>178</v>
      </c>
      <c r="H69" s="38" t="s">
        <v>171</v>
      </c>
      <c r="I69" s="38" t="s">
        <v>347</v>
      </c>
      <c r="J69" t="str">
        <f t="shared" si="15"/>
        <v>SingleHingedAluminiumLong Leg 1 Side</v>
      </c>
      <c r="K69" s="38">
        <v>8</v>
      </c>
      <c r="L69" s="38">
        <v>10</v>
      </c>
      <c r="BL69" s="38" t="s">
        <v>227</v>
      </c>
      <c r="BM69" s="38" t="s">
        <v>179</v>
      </c>
      <c r="BN69" s="38" t="s">
        <v>410</v>
      </c>
      <c r="BO69" s="38" t="s">
        <v>411</v>
      </c>
      <c r="BQ69" s="38" t="str">
        <f t="shared" si="22"/>
        <v>SD</v>
      </c>
      <c r="BR69" s="38" t="str">
        <f t="shared" si="16"/>
        <v>S</v>
      </c>
      <c r="BS69" s="38" t="str">
        <f t="shared" si="17"/>
        <v>N</v>
      </c>
      <c r="BT69" s="38" t="str">
        <f t="shared" si="18"/>
        <v>Y</v>
      </c>
      <c r="BU69" s="38" t="str">
        <f t="shared" si="19"/>
        <v>N</v>
      </c>
      <c r="BV69" s="38" t="str">
        <f t="shared" si="20"/>
        <v>SlidingStandard DiamondNot RequiredYes - Centre</v>
      </c>
      <c r="BW69" s="38" t="str">
        <f t="shared" si="21"/>
        <v>SDSNYN</v>
      </c>
    </row>
    <row r="70" spans="6:75" ht="14.4">
      <c r="F70" s="38" t="s">
        <v>214</v>
      </c>
      <c r="G70" s="38" t="s">
        <v>178</v>
      </c>
      <c r="H70" s="38" t="s">
        <v>172</v>
      </c>
      <c r="I70" s="38" t="s">
        <v>347</v>
      </c>
      <c r="J70" t="str">
        <f t="shared" si="15"/>
        <v>SingleHingedBrickLong Leg 1 Side</v>
      </c>
      <c r="K70" s="38">
        <v>8</v>
      </c>
      <c r="L70" s="38">
        <v>10</v>
      </c>
      <c r="BL70" s="38" t="s">
        <v>227</v>
      </c>
      <c r="BM70" s="38" t="s">
        <v>220</v>
      </c>
      <c r="BN70" s="38" t="s">
        <v>410</v>
      </c>
      <c r="BO70" s="38" t="s">
        <v>411</v>
      </c>
      <c r="BQ70" s="38" t="str">
        <f t="shared" si="22"/>
        <v>SD</v>
      </c>
      <c r="BR70" s="38" t="str">
        <f t="shared" si="16"/>
        <v>ST</v>
      </c>
      <c r="BS70" s="38" t="str">
        <f t="shared" si="17"/>
        <v>N</v>
      </c>
      <c r="BT70" s="38" t="str">
        <f t="shared" si="18"/>
        <v>Y</v>
      </c>
      <c r="BU70" s="38" t="str">
        <f t="shared" si="19"/>
        <v>N</v>
      </c>
      <c r="BV70" s="38" t="str">
        <f t="shared" si="20"/>
        <v>StackerStandard DiamondNot RequiredYes - Centre</v>
      </c>
      <c r="BW70" s="38" t="str">
        <f t="shared" si="21"/>
        <v>SDSTNYN</v>
      </c>
    </row>
    <row r="71" spans="6:75" ht="14.4">
      <c r="F71" s="38" t="s">
        <v>214</v>
      </c>
      <c r="G71" s="38" t="s">
        <v>178</v>
      </c>
      <c r="H71" s="38" t="s">
        <v>173</v>
      </c>
      <c r="I71" s="38" t="s">
        <v>347</v>
      </c>
      <c r="J71" t="str">
        <f t="shared" si="15"/>
        <v>SingleHingedPlasterLong Leg 1 Side</v>
      </c>
      <c r="K71" s="38">
        <v>8</v>
      </c>
      <c r="L71" s="38">
        <v>10</v>
      </c>
      <c r="BL71" s="38" t="s">
        <v>227</v>
      </c>
      <c r="BM71" s="38" t="s">
        <v>178</v>
      </c>
      <c r="BN71" s="38" t="s">
        <v>383</v>
      </c>
      <c r="BO71" s="38" t="s">
        <v>411</v>
      </c>
      <c r="BQ71" s="38" t="str">
        <f t="shared" si="22"/>
        <v>SD</v>
      </c>
      <c r="BR71" s="38" t="str">
        <f t="shared" si="16"/>
        <v>H</v>
      </c>
      <c r="BS71" s="38" t="str">
        <f t="shared" si="17"/>
        <v>D</v>
      </c>
      <c r="BT71" s="38" t="str">
        <f t="shared" si="18"/>
        <v>Y</v>
      </c>
      <c r="BU71" s="38" t="str">
        <f t="shared" si="19"/>
        <v>N</v>
      </c>
      <c r="BV71" s="38" t="str">
        <f t="shared" si="20"/>
        <v>HingedStandard DiamondUltra Secua Digital Triple LockYes - Centre</v>
      </c>
      <c r="BW71" s="38" t="str">
        <f t="shared" si="21"/>
        <v>SDHDYN</v>
      </c>
    </row>
    <row r="72" spans="10:75" ht="14.4">
      <c r="J72"/>
      <c r="L72"/>
      <c r="BL72" s="38" t="s">
        <v>227</v>
      </c>
      <c r="BM72" s="38" t="s">
        <v>179</v>
      </c>
      <c r="BN72" s="38" t="s">
        <v>383</v>
      </c>
      <c r="BO72" s="38" t="s">
        <v>411</v>
      </c>
      <c r="BQ72" s="38" t="str">
        <f t="shared" si="22"/>
        <v>SD</v>
      </c>
      <c r="BR72" s="38" t="str">
        <f t="shared" si="16"/>
        <v>S</v>
      </c>
      <c r="BS72" s="38" t="str">
        <f t="shared" si="17"/>
        <v>D</v>
      </c>
      <c r="BT72" s="38" t="str">
        <f t="shared" si="18"/>
        <v>Y</v>
      </c>
      <c r="BU72" s="38" t="str">
        <f t="shared" si="19"/>
        <v>N</v>
      </c>
      <c r="BV72" s="38" t="str">
        <f t="shared" si="20"/>
        <v>SlidingStandard DiamondUltra Secua Digital Triple LockYes - Centre</v>
      </c>
      <c r="BW72" s="38" t="str">
        <f t="shared" si="21"/>
        <v>SDSDYN</v>
      </c>
    </row>
    <row r="73" spans="10:75" ht="14.4">
      <c r="J73"/>
      <c r="L73"/>
      <c r="BL73" s="38" t="s">
        <v>227</v>
      </c>
      <c r="BM73" s="38" t="s">
        <v>220</v>
      </c>
      <c r="BN73" s="38" t="s">
        <v>383</v>
      </c>
      <c r="BO73" s="38" t="s">
        <v>411</v>
      </c>
      <c r="BQ73" s="38" t="str">
        <f t="shared" si="22"/>
        <v>SD</v>
      </c>
      <c r="BR73" s="38" t="str">
        <f t="shared" si="16"/>
        <v>ST</v>
      </c>
      <c r="BS73" s="38" t="str">
        <f t="shared" si="17"/>
        <v>D</v>
      </c>
      <c r="BT73" s="38" t="str">
        <f t="shared" si="18"/>
        <v>Y</v>
      </c>
      <c r="BU73" s="38" t="str">
        <f t="shared" si="19"/>
        <v>N</v>
      </c>
      <c r="BV73" s="38" t="str">
        <f t="shared" si="20"/>
        <v>StackerStandard DiamondUltra Secua Digital Triple LockYes - Centre</v>
      </c>
      <c r="BW73" s="38" t="str">
        <f t="shared" si="21"/>
        <v>SDSTDYN</v>
      </c>
    </row>
    <row r="74" spans="10:75" ht="14.4">
      <c r="J74"/>
      <c r="L74"/>
      <c r="BL74" s="38" t="s">
        <v>227</v>
      </c>
      <c r="BM74" s="38" t="s">
        <v>178</v>
      </c>
      <c r="BN74" s="38" t="s">
        <v>284</v>
      </c>
      <c r="BO74" s="38" t="s">
        <v>411</v>
      </c>
      <c r="BQ74" s="38" t="str">
        <f t="shared" si="22"/>
        <v>SD</v>
      </c>
      <c r="BR74" s="38" t="str">
        <f t="shared" si="16"/>
        <v>H</v>
      </c>
      <c r="BS74" s="38" t="str">
        <f t="shared" si="17"/>
        <v>B</v>
      </c>
      <c r="BT74" s="38" t="str">
        <f t="shared" si="18"/>
        <v>Y</v>
      </c>
      <c r="BU74" s="38" t="str">
        <f t="shared" si="19"/>
        <v>N</v>
      </c>
      <c r="BV74" s="38" t="str">
        <f t="shared" si="20"/>
        <v>HingedStandard DiamondBass LatchYes - Centre</v>
      </c>
      <c r="BW74" s="38" t="str">
        <f t="shared" si="21"/>
        <v>SDHBYN</v>
      </c>
    </row>
    <row r="75" spans="10:75" ht="14.4">
      <c r="J75"/>
      <c r="L75"/>
      <c r="BL75" s="38" t="s">
        <v>227</v>
      </c>
      <c r="BM75" s="38" t="s">
        <v>179</v>
      </c>
      <c r="BN75" s="38" t="s">
        <v>284</v>
      </c>
      <c r="BO75" s="38" t="s">
        <v>411</v>
      </c>
      <c r="BQ75" s="38" t="str">
        <f t="shared" si="22"/>
        <v>SD</v>
      </c>
      <c r="BR75" s="38" t="str">
        <f t="shared" si="16"/>
        <v>S</v>
      </c>
      <c r="BS75" s="38" t="str">
        <f t="shared" si="17"/>
        <v>B</v>
      </c>
      <c r="BT75" s="38" t="str">
        <f t="shared" si="18"/>
        <v>Y</v>
      </c>
      <c r="BU75" s="38" t="str">
        <f t="shared" si="19"/>
        <v>N</v>
      </c>
      <c r="BV75" s="38" t="str">
        <f t="shared" si="20"/>
        <v>SlidingStandard DiamondBass LatchYes - Centre</v>
      </c>
      <c r="BW75" s="38" t="str">
        <f t="shared" si="21"/>
        <v>SDSBYN</v>
      </c>
    </row>
    <row r="76" spans="10:75" ht="14.4">
      <c r="J76"/>
      <c r="L76"/>
      <c r="BL76" s="38" t="s">
        <v>227</v>
      </c>
      <c r="BM76" s="38" t="s">
        <v>220</v>
      </c>
      <c r="BN76" s="38" t="s">
        <v>284</v>
      </c>
      <c r="BO76" s="38" t="s">
        <v>411</v>
      </c>
      <c r="BQ76" s="38" t="str">
        <f t="shared" si="22"/>
        <v>SD</v>
      </c>
      <c r="BR76" s="38" t="str">
        <f t="shared" si="16"/>
        <v>ST</v>
      </c>
      <c r="BS76" s="38" t="str">
        <f t="shared" si="17"/>
        <v>B</v>
      </c>
      <c r="BT76" s="38" t="str">
        <f t="shared" si="18"/>
        <v>Y</v>
      </c>
      <c r="BU76" s="38" t="str">
        <f t="shared" si="19"/>
        <v>N</v>
      </c>
      <c r="BV76" s="38" t="str">
        <f t="shared" si="20"/>
        <v>StackerStandard DiamondBass LatchYes - Centre</v>
      </c>
      <c r="BW76" s="38" t="str">
        <f t="shared" si="21"/>
        <v>SDSTBYN</v>
      </c>
    </row>
    <row r="77" spans="8:75" ht="14.4">
      <c r="H77"/>
      <c r="I77"/>
      <c r="J77"/>
      <c r="L77"/>
      <c r="BL77" s="38" t="s">
        <v>227</v>
      </c>
      <c r="BM77" s="38" t="s">
        <v>178</v>
      </c>
      <c r="BN77" s="38" t="s">
        <v>279</v>
      </c>
      <c r="BO77" s="38" t="s">
        <v>306</v>
      </c>
      <c r="BQ77" s="38" t="str">
        <f t="shared" si="22"/>
        <v>SD</v>
      </c>
      <c r="BR77" s="38" t="str">
        <f t="shared" si="16"/>
        <v>H</v>
      </c>
      <c r="BS77" s="38" t="str">
        <f t="shared" si="17"/>
        <v>S</v>
      </c>
      <c r="BT77" s="38" t="str">
        <f t="shared" si="18"/>
        <v>Y</v>
      </c>
      <c r="BU77" s="38" t="str">
        <f t="shared" si="19"/>
        <v>N</v>
      </c>
      <c r="BV77" s="38" t="str">
        <f t="shared" si="20"/>
        <v>HingedStandard DiamondSingle LockYes</v>
      </c>
      <c r="BW77" s="38" t="str">
        <f t="shared" si="21"/>
        <v>SDHSYN</v>
      </c>
    </row>
    <row r="78" spans="8:75" ht="14.4">
      <c r="H78"/>
      <c r="I78"/>
      <c r="J78"/>
      <c r="L78"/>
      <c r="BL78" s="38" t="s">
        <v>227</v>
      </c>
      <c r="BM78" s="38" t="s">
        <v>179</v>
      </c>
      <c r="BN78" s="38" t="s">
        <v>279</v>
      </c>
      <c r="BO78" s="38" t="s">
        <v>306</v>
      </c>
      <c r="BQ78" s="38" t="str">
        <f t="shared" si="22"/>
        <v>SD</v>
      </c>
      <c r="BR78" s="38" t="str">
        <f t="shared" si="16"/>
        <v>S</v>
      </c>
      <c r="BS78" s="38" t="str">
        <f t="shared" si="17"/>
        <v>S</v>
      </c>
      <c r="BT78" s="38" t="str">
        <f t="shared" si="18"/>
        <v>Y</v>
      </c>
      <c r="BU78" s="38" t="str">
        <f t="shared" si="19"/>
        <v>N</v>
      </c>
      <c r="BV78" s="38" t="str">
        <f t="shared" si="20"/>
        <v>SlidingStandard DiamondSingle LockYes</v>
      </c>
      <c r="BW78" s="38" t="str">
        <f t="shared" si="21"/>
        <v>SDSSYN</v>
      </c>
    </row>
    <row r="79" spans="8:75" ht="14.4">
      <c r="H79"/>
      <c r="I79"/>
      <c r="J79"/>
      <c r="L79"/>
      <c r="BL79" s="38" t="s">
        <v>227</v>
      </c>
      <c r="BM79" s="38" t="s">
        <v>220</v>
      </c>
      <c r="BN79" s="38" t="s">
        <v>279</v>
      </c>
      <c r="BO79" s="38" t="s">
        <v>306</v>
      </c>
      <c r="BQ79" s="38" t="str">
        <f t="shared" si="22"/>
        <v>SD</v>
      </c>
      <c r="BR79" s="38" t="str">
        <f t="shared" si="16"/>
        <v>ST</v>
      </c>
      <c r="BS79" s="38" t="str">
        <f t="shared" si="17"/>
        <v>S</v>
      </c>
      <c r="BT79" s="38" t="str">
        <f t="shared" si="18"/>
        <v>Y</v>
      </c>
      <c r="BU79" s="38" t="str">
        <f t="shared" si="19"/>
        <v>N</v>
      </c>
      <c r="BV79" s="38" t="str">
        <f t="shared" si="20"/>
        <v>StackerStandard DiamondSingle LockYes</v>
      </c>
      <c r="BW79" s="38" t="str">
        <f t="shared" si="21"/>
        <v>SDSTSYN</v>
      </c>
    </row>
    <row r="80" spans="8:75" ht="14.4">
      <c r="H80"/>
      <c r="I80"/>
      <c r="J80"/>
      <c r="L80"/>
      <c r="BL80" s="38" t="s">
        <v>227</v>
      </c>
      <c r="BM80" s="38" t="s">
        <v>178</v>
      </c>
      <c r="BN80" s="38" t="s">
        <v>275</v>
      </c>
      <c r="BO80" s="38" t="s">
        <v>306</v>
      </c>
      <c r="BQ80" s="38" t="str">
        <f t="shared" si="22"/>
        <v>SD</v>
      </c>
      <c r="BR80" s="38" t="str">
        <f t="shared" si="16"/>
        <v>H</v>
      </c>
      <c r="BS80" s="38" t="str">
        <f t="shared" si="17"/>
        <v>T</v>
      </c>
      <c r="BT80" s="38" t="str">
        <f t="shared" si="18"/>
        <v>Y</v>
      </c>
      <c r="BU80" s="38" t="str">
        <f t="shared" si="19"/>
        <v>N</v>
      </c>
      <c r="BV80" s="38" t="str">
        <f t="shared" si="20"/>
        <v>HingedStandard DiamondTriple LockYes</v>
      </c>
      <c r="BW80" s="38" t="str">
        <f t="shared" si="21"/>
        <v>SDHTYN</v>
      </c>
    </row>
    <row r="81" spans="8:75" ht="14.4">
      <c r="H81"/>
      <c r="I81"/>
      <c r="J81"/>
      <c r="L81"/>
      <c r="BL81" s="38" t="s">
        <v>227</v>
      </c>
      <c r="BM81" s="38" t="s">
        <v>179</v>
      </c>
      <c r="BN81" s="38" t="s">
        <v>275</v>
      </c>
      <c r="BO81" s="38" t="s">
        <v>306</v>
      </c>
      <c r="BQ81" s="38" t="str">
        <f t="shared" si="22"/>
        <v>SD</v>
      </c>
      <c r="BR81" s="38" t="str">
        <f t="shared" si="16"/>
        <v>S</v>
      </c>
      <c r="BS81" s="38" t="str">
        <f t="shared" si="17"/>
        <v>T</v>
      </c>
      <c r="BT81" s="38" t="str">
        <f t="shared" si="18"/>
        <v>Y</v>
      </c>
      <c r="BU81" s="38" t="str">
        <f t="shared" si="19"/>
        <v>N</v>
      </c>
      <c r="BV81" s="38" t="str">
        <f t="shared" si="20"/>
        <v>SlidingStandard DiamondTriple LockYes</v>
      </c>
      <c r="BW81" s="38" t="str">
        <f t="shared" si="21"/>
        <v>SDSTYN</v>
      </c>
    </row>
    <row r="82" spans="8:75" ht="14.4">
      <c r="H82"/>
      <c r="I82"/>
      <c r="J82"/>
      <c r="BL82" s="38" t="s">
        <v>227</v>
      </c>
      <c r="BM82" s="38" t="s">
        <v>220</v>
      </c>
      <c r="BN82" s="38" t="s">
        <v>275</v>
      </c>
      <c r="BO82" s="38" t="s">
        <v>306</v>
      </c>
      <c r="BQ82" s="38" t="str">
        <f t="shared" si="22"/>
        <v>SD</v>
      </c>
      <c r="BR82" s="38" t="str">
        <f t="shared" si="16"/>
        <v>ST</v>
      </c>
      <c r="BS82" s="38" t="str">
        <f t="shared" si="17"/>
        <v>T</v>
      </c>
      <c r="BT82" s="38" t="str">
        <f t="shared" si="18"/>
        <v>Y</v>
      </c>
      <c r="BU82" s="38" t="str">
        <f t="shared" si="19"/>
        <v>N</v>
      </c>
      <c r="BV82" s="38" t="str">
        <f t="shared" si="20"/>
        <v>StackerStandard DiamondTriple LockYes</v>
      </c>
      <c r="BW82" s="38" t="str">
        <f t="shared" si="21"/>
        <v>SDSTTYN</v>
      </c>
    </row>
    <row r="83" spans="8:75" ht="14.4">
      <c r="H83"/>
      <c r="I83"/>
      <c r="J83"/>
      <c r="BL83" s="38" t="s">
        <v>227</v>
      </c>
      <c r="BM83" s="38" t="s">
        <v>178</v>
      </c>
      <c r="BN83" s="38" t="s">
        <v>410</v>
      </c>
      <c r="BO83" s="38" t="s">
        <v>306</v>
      </c>
      <c r="BQ83" s="38" t="str">
        <f t="shared" si="22"/>
        <v>SD</v>
      </c>
      <c r="BR83" s="38" t="str">
        <f t="shared" si="16"/>
        <v>H</v>
      </c>
      <c r="BS83" s="38" t="str">
        <f t="shared" si="17"/>
        <v>N</v>
      </c>
      <c r="BT83" s="38" t="str">
        <f t="shared" si="18"/>
        <v>Y</v>
      </c>
      <c r="BU83" s="38" t="str">
        <f t="shared" si="19"/>
        <v>N</v>
      </c>
      <c r="BV83" s="38" t="str">
        <f t="shared" si="20"/>
        <v>HingedStandard DiamondNot RequiredYes</v>
      </c>
      <c r="BW83" s="38" t="str">
        <f t="shared" si="21"/>
        <v>SDHNYN</v>
      </c>
    </row>
    <row r="84" spans="8:75" ht="14.4">
      <c r="H84"/>
      <c r="I84"/>
      <c r="J84"/>
      <c r="BL84" s="38" t="s">
        <v>227</v>
      </c>
      <c r="BM84" s="38" t="s">
        <v>179</v>
      </c>
      <c r="BN84" s="38" t="s">
        <v>410</v>
      </c>
      <c r="BO84" s="38" t="s">
        <v>306</v>
      </c>
      <c r="BQ84" s="38" t="str">
        <f t="shared" si="22"/>
        <v>SD</v>
      </c>
      <c r="BR84" s="38" t="str">
        <f t="shared" si="16"/>
        <v>S</v>
      </c>
      <c r="BS84" s="38" t="str">
        <f t="shared" si="17"/>
        <v>N</v>
      </c>
      <c r="BT84" s="38" t="str">
        <f t="shared" si="18"/>
        <v>Y</v>
      </c>
      <c r="BU84" s="38" t="str">
        <f t="shared" si="19"/>
        <v>N</v>
      </c>
      <c r="BV84" s="38" t="str">
        <f t="shared" si="20"/>
        <v>SlidingStandard DiamondNot RequiredYes</v>
      </c>
      <c r="BW84" s="38" t="str">
        <f t="shared" si="21"/>
        <v>SDSNYN</v>
      </c>
    </row>
    <row r="85" spans="8:75" ht="14.4">
      <c r="H85"/>
      <c r="I85"/>
      <c r="J85"/>
      <c r="BL85" s="38" t="s">
        <v>227</v>
      </c>
      <c r="BM85" s="38" t="s">
        <v>220</v>
      </c>
      <c r="BN85" s="38" t="s">
        <v>410</v>
      </c>
      <c r="BO85" s="38" t="s">
        <v>306</v>
      </c>
      <c r="BQ85" s="38" t="str">
        <f t="shared" si="22"/>
        <v>SD</v>
      </c>
      <c r="BR85" s="38" t="str">
        <f t="shared" si="16"/>
        <v>ST</v>
      </c>
      <c r="BS85" s="38" t="str">
        <f t="shared" si="17"/>
        <v>N</v>
      </c>
      <c r="BT85" s="38" t="str">
        <f t="shared" si="18"/>
        <v>Y</v>
      </c>
      <c r="BU85" s="38" t="str">
        <f t="shared" si="19"/>
        <v>N</v>
      </c>
      <c r="BV85" s="38" t="str">
        <f t="shared" si="20"/>
        <v>StackerStandard DiamondNot RequiredYes</v>
      </c>
      <c r="BW85" s="38" t="str">
        <f t="shared" si="21"/>
        <v>SDSTNYN</v>
      </c>
    </row>
    <row r="86" spans="8:75" ht="14.4">
      <c r="H86"/>
      <c r="I86"/>
      <c r="J86"/>
      <c r="BL86" s="38" t="s">
        <v>227</v>
      </c>
      <c r="BM86" s="38" t="s">
        <v>178</v>
      </c>
      <c r="BN86" s="38" t="s">
        <v>383</v>
      </c>
      <c r="BO86" s="38" t="s">
        <v>306</v>
      </c>
      <c r="BQ86" s="38" t="str">
        <f t="shared" si="22"/>
        <v>SD</v>
      </c>
      <c r="BR86" s="38" t="str">
        <f t="shared" si="16"/>
        <v>H</v>
      </c>
      <c r="BS86" s="38" t="str">
        <f t="shared" si="17"/>
        <v>D</v>
      </c>
      <c r="BT86" s="38" t="str">
        <f t="shared" si="18"/>
        <v>Y</v>
      </c>
      <c r="BU86" s="38" t="str">
        <f t="shared" si="19"/>
        <v>N</v>
      </c>
      <c r="BV86" s="38" t="str">
        <f t="shared" si="20"/>
        <v>HingedStandard DiamondUltra Secua Digital Triple LockYes</v>
      </c>
      <c r="BW86" s="38" t="str">
        <f t="shared" si="21"/>
        <v>SDHDYN</v>
      </c>
    </row>
    <row r="87" spans="10:75" ht="14.4">
      <c r="J87"/>
      <c r="BL87" s="38" t="s">
        <v>227</v>
      </c>
      <c r="BM87" s="38" t="s">
        <v>179</v>
      </c>
      <c r="BN87" s="38" t="s">
        <v>383</v>
      </c>
      <c r="BO87" s="38" t="s">
        <v>306</v>
      </c>
      <c r="BQ87" s="38" t="str">
        <f t="shared" si="22"/>
        <v>SD</v>
      </c>
      <c r="BR87" s="38" t="str">
        <f t="shared" si="16"/>
        <v>S</v>
      </c>
      <c r="BS87" s="38" t="str">
        <f t="shared" si="17"/>
        <v>D</v>
      </c>
      <c r="BT87" s="38" t="str">
        <f t="shared" si="18"/>
        <v>Y</v>
      </c>
      <c r="BU87" s="38" t="str">
        <f t="shared" si="19"/>
        <v>N</v>
      </c>
      <c r="BV87" s="38" t="str">
        <f t="shared" si="20"/>
        <v>SlidingStandard DiamondUltra Secua Digital Triple LockYes</v>
      </c>
      <c r="BW87" s="38" t="str">
        <f t="shared" si="21"/>
        <v>SDSDYN</v>
      </c>
    </row>
    <row r="88" spans="10:75" ht="14.4">
      <c r="J88"/>
      <c r="BL88" s="38" t="s">
        <v>227</v>
      </c>
      <c r="BM88" s="38" t="s">
        <v>220</v>
      </c>
      <c r="BN88" s="38" t="s">
        <v>383</v>
      </c>
      <c r="BO88" s="38" t="s">
        <v>306</v>
      </c>
      <c r="BQ88" s="38" t="str">
        <f t="shared" si="22"/>
        <v>SD</v>
      </c>
      <c r="BR88" s="38" t="str">
        <f t="shared" si="16"/>
        <v>ST</v>
      </c>
      <c r="BS88" s="38" t="str">
        <f t="shared" si="17"/>
        <v>D</v>
      </c>
      <c r="BT88" s="38" t="str">
        <f t="shared" si="18"/>
        <v>Y</v>
      </c>
      <c r="BU88" s="38" t="str">
        <f t="shared" si="19"/>
        <v>N</v>
      </c>
      <c r="BV88" s="38" t="str">
        <f t="shared" si="20"/>
        <v>StackerStandard DiamondUltra Secua Digital Triple LockYes</v>
      </c>
      <c r="BW88" s="38" t="str">
        <f t="shared" si="21"/>
        <v>SDSTDYN</v>
      </c>
    </row>
    <row r="89" spans="10:75" ht="14.4">
      <c r="J89"/>
      <c r="BL89" s="38" t="s">
        <v>227</v>
      </c>
      <c r="BM89" s="38" t="s">
        <v>178</v>
      </c>
      <c r="BN89" s="38" t="s">
        <v>284</v>
      </c>
      <c r="BO89" s="38" t="s">
        <v>306</v>
      </c>
      <c r="BQ89" s="38" t="str">
        <f t="shared" si="22"/>
        <v>SD</v>
      </c>
      <c r="BR89" s="38" t="str">
        <f t="shared" si="16"/>
        <v>H</v>
      </c>
      <c r="BS89" s="38" t="str">
        <f t="shared" si="17"/>
        <v>B</v>
      </c>
      <c r="BT89" s="38" t="str">
        <f t="shared" si="18"/>
        <v>Y</v>
      </c>
      <c r="BU89" s="38" t="str">
        <f t="shared" si="19"/>
        <v>N</v>
      </c>
      <c r="BV89" s="38" t="str">
        <f t="shared" si="20"/>
        <v>HingedStandard DiamondBass LatchYes</v>
      </c>
      <c r="BW89" s="38" t="str">
        <f t="shared" si="21"/>
        <v>SDHBYN</v>
      </c>
    </row>
    <row r="90" spans="10:75" ht="14.4">
      <c r="J90"/>
      <c r="BL90" s="38" t="s">
        <v>227</v>
      </c>
      <c r="BM90" s="38" t="s">
        <v>179</v>
      </c>
      <c r="BN90" s="38" t="s">
        <v>284</v>
      </c>
      <c r="BO90" s="38" t="s">
        <v>306</v>
      </c>
      <c r="BQ90" s="38" t="str">
        <f t="shared" si="22"/>
        <v>SD</v>
      </c>
      <c r="BR90" s="38" t="str">
        <f t="shared" si="16"/>
        <v>S</v>
      </c>
      <c r="BS90" s="38" t="str">
        <f t="shared" si="17"/>
        <v>B</v>
      </c>
      <c r="BT90" s="38" t="str">
        <f t="shared" si="18"/>
        <v>Y</v>
      </c>
      <c r="BU90" s="38" t="str">
        <f t="shared" si="19"/>
        <v>N</v>
      </c>
      <c r="BV90" s="38" t="str">
        <f t="shared" si="20"/>
        <v>SlidingStandard DiamondBass LatchYes</v>
      </c>
      <c r="BW90" s="38" t="str">
        <f t="shared" si="21"/>
        <v>SDSBYN</v>
      </c>
    </row>
    <row r="91" spans="10:75" ht="14.4">
      <c r="J91"/>
      <c r="BL91" s="38" t="s">
        <v>227</v>
      </c>
      <c r="BM91" s="38" t="s">
        <v>220</v>
      </c>
      <c r="BN91" s="38" t="s">
        <v>284</v>
      </c>
      <c r="BO91" s="38" t="s">
        <v>306</v>
      </c>
      <c r="BQ91" s="38" t="str">
        <f t="shared" si="22"/>
        <v>SD</v>
      </c>
      <c r="BR91" s="38" t="str">
        <f t="shared" si="16"/>
        <v>ST</v>
      </c>
      <c r="BS91" s="38" t="str">
        <f t="shared" si="17"/>
        <v>B</v>
      </c>
      <c r="BT91" s="38" t="str">
        <f t="shared" si="18"/>
        <v>Y</v>
      </c>
      <c r="BU91" s="38" t="str">
        <f t="shared" si="19"/>
        <v>N</v>
      </c>
      <c r="BV91" s="38" t="str">
        <f t="shared" si="20"/>
        <v>StackerStandard DiamondBass LatchYes</v>
      </c>
      <c r="BW91" s="38" t="str">
        <f t="shared" si="21"/>
        <v>SDSTBYN</v>
      </c>
    </row>
    <row r="92" spans="10:75" ht="14.4">
      <c r="J92"/>
      <c r="L92"/>
      <c r="BL92" s="38" t="s">
        <v>229</v>
      </c>
      <c r="BM92" s="38" t="s">
        <v>178</v>
      </c>
      <c r="BN92" s="38" t="s">
        <v>279</v>
      </c>
      <c r="BO92" s="38" t="s">
        <v>147</v>
      </c>
      <c r="BP92" s="38" t="s">
        <v>306</v>
      </c>
      <c r="BQ92" s="38" t="str">
        <f t="shared" si="22"/>
        <v>DD</v>
      </c>
      <c r="BR92" s="38" t="str">
        <f t="shared" si="16"/>
        <v>H</v>
      </c>
      <c r="BS92" s="38" t="str">
        <f t="shared" si="17"/>
        <v>S</v>
      </c>
      <c r="BT92" s="38" t="str">
        <f t="shared" si="18"/>
        <v>N</v>
      </c>
      <c r="BU92" s="38" t="str">
        <f t="shared" si="19"/>
        <v>Y</v>
      </c>
      <c r="BV92" s="38" t="str">
        <f t="shared" si="20"/>
        <v>HingedDecorative DiamondSingle LockNoYes</v>
      </c>
      <c r="BW92" s="38" t="str">
        <f t="shared" si="21"/>
        <v>DDHSNY</v>
      </c>
    </row>
    <row r="93" spans="10:75" ht="14.4">
      <c r="J93"/>
      <c r="L93"/>
      <c r="BL93" s="38" t="s">
        <v>229</v>
      </c>
      <c r="BM93" s="38" t="s">
        <v>179</v>
      </c>
      <c r="BN93" s="38" t="s">
        <v>279</v>
      </c>
      <c r="BO93" s="38" t="s">
        <v>147</v>
      </c>
      <c r="BP93" s="38" t="s">
        <v>306</v>
      </c>
      <c r="BQ93" s="38" t="str">
        <f t="shared" si="22"/>
        <v>DD</v>
      </c>
      <c r="BR93" s="38" t="str">
        <f t="shared" si="16"/>
        <v>S</v>
      </c>
      <c r="BS93" s="38" t="str">
        <f t="shared" si="17"/>
        <v>S</v>
      </c>
      <c r="BT93" s="38" t="str">
        <f t="shared" si="18"/>
        <v>N</v>
      </c>
      <c r="BU93" s="38" t="str">
        <f t="shared" si="19"/>
        <v>Y</v>
      </c>
      <c r="BV93" s="38" t="str">
        <f t="shared" si="20"/>
        <v>SlidingDecorative DiamondSingle LockNoYes</v>
      </c>
      <c r="BW93" s="38" t="str">
        <f t="shared" si="21"/>
        <v>DDSSNY</v>
      </c>
    </row>
    <row r="94" spans="10:75" ht="14.4">
      <c r="J94"/>
      <c r="L94"/>
      <c r="BL94" s="38" t="s">
        <v>229</v>
      </c>
      <c r="BM94" s="38" t="s">
        <v>220</v>
      </c>
      <c r="BN94" s="38" t="s">
        <v>279</v>
      </c>
      <c r="BO94" s="38" t="s">
        <v>147</v>
      </c>
      <c r="BP94" s="38" t="s">
        <v>306</v>
      </c>
      <c r="BQ94" s="38" t="str">
        <f t="shared" si="22"/>
        <v>DD</v>
      </c>
      <c r="BR94" s="38" t="str">
        <f t="shared" si="16"/>
        <v>ST</v>
      </c>
      <c r="BS94" s="38" t="str">
        <f t="shared" si="17"/>
        <v>S</v>
      </c>
      <c r="BT94" s="38" t="str">
        <f t="shared" si="18"/>
        <v>N</v>
      </c>
      <c r="BU94" s="38" t="str">
        <f t="shared" si="19"/>
        <v>Y</v>
      </c>
      <c r="BV94" s="38" t="str">
        <f t="shared" si="20"/>
        <v>StackerDecorative DiamondSingle LockNoYes</v>
      </c>
      <c r="BW94" s="38" t="str">
        <f t="shared" si="21"/>
        <v>DDSTSNY</v>
      </c>
    </row>
    <row r="95" spans="10:75" ht="14.4">
      <c r="J95"/>
      <c r="L95"/>
      <c r="BL95" s="38" t="s">
        <v>229</v>
      </c>
      <c r="BM95" s="38" t="s">
        <v>178</v>
      </c>
      <c r="BN95" s="38" t="s">
        <v>275</v>
      </c>
      <c r="BO95" s="38" t="s">
        <v>147</v>
      </c>
      <c r="BP95" s="38" t="s">
        <v>306</v>
      </c>
      <c r="BQ95" s="38" t="str">
        <f t="shared" si="22"/>
        <v>DD</v>
      </c>
      <c r="BR95" s="38" t="str">
        <f t="shared" si="16"/>
        <v>H</v>
      </c>
      <c r="BS95" s="38" t="str">
        <f t="shared" si="17"/>
        <v>T</v>
      </c>
      <c r="BT95" s="38" t="str">
        <f t="shared" si="18"/>
        <v>N</v>
      </c>
      <c r="BU95" s="38" t="str">
        <f t="shared" si="19"/>
        <v>Y</v>
      </c>
      <c r="BV95" s="38" t="str">
        <f t="shared" si="20"/>
        <v>HingedDecorative DiamondTriple LockNoYes</v>
      </c>
      <c r="BW95" s="38" t="str">
        <f t="shared" si="21"/>
        <v>DDHTNY</v>
      </c>
    </row>
    <row r="96" spans="10:75" ht="14.4">
      <c r="J96"/>
      <c r="L96"/>
      <c r="BL96" s="38" t="s">
        <v>229</v>
      </c>
      <c r="BM96" s="38" t="s">
        <v>179</v>
      </c>
      <c r="BN96" s="38" t="s">
        <v>275</v>
      </c>
      <c r="BO96" s="38" t="s">
        <v>147</v>
      </c>
      <c r="BP96" s="38" t="s">
        <v>306</v>
      </c>
      <c r="BQ96" s="38" t="str">
        <f t="shared" si="22"/>
        <v>DD</v>
      </c>
      <c r="BR96" s="38" t="str">
        <f t="shared" si="16"/>
        <v>S</v>
      </c>
      <c r="BS96" s="38" t="str">
        <f t="shared" si="17"/>
        <v>T</v>
      </c>
      <c r="BT96" s="38" t="str">
        <f t="shared" si="18"/>
        <v>N</v>
      </c>
      <c r="BU96" s="38" t="str">
        <f t="shared" si="19"/>
        <v>Y</v>
      </c>
      <c r="BV96" s="38" t="str">
        <f t="shared" si="20"/>
        <v>SlidingDecorative DiamondTriple LockNoYes</v>
      </c>
      <c r="BW96" s="38" t="str">
        <f t="shared" si="21"/>
        <v>DDSTNY</v>
      </c>
    </row>
    <row r="97" spans="8:75" ht="14.4">
      <c r="H97"/>
      <c r="I97"/>
      <c r="J97"/>
      <c r="L97"/>
      <c r="BL97" s="38" t="s">
        <v>229</v>
      </c>
      <c r="BM97" s="38" t="s">
        <v>220</v>
      </c>
      <c r="BN97" s="38" t="s">
        <v>275</v>
      </c>
      <c r="BO97" s="38" t="s">
        <v>147</v>
      </c>
      <c r="BP97" s="38" t="s">
        <v>306</v>
      </c>
      <c r="BQ97" s="38" t="str">
        <f t="shared" si="22"/>
        <v>DD</v>
      </c>
      <c r="BR97" s="38" t="str">
        <f t="shared" si="16"/>
        <v>ST</v>
      </c>
      <c r="BS97" s="38" t="str">
        <f t="shared" si="17"/>
        <v>T</v>
      </c>
      <c r="BT97" s="38" t="str">
        <f t="shared" si="18"/>
        <v>N</v>
      </c>
      <c r="BU97" s="38" t="str">
        <f t="shared" si="19"/>
        <v>Y</v>
      </c>
      <c r="BV97" s="38" t="str">
        <f t="shared" si="20"/>
        <v>StackerDecorative DiamondTriple LockNoYes</v>
      </c>
      <c r="BW97" s="38" t="str">
        <f t="shared" si="21"/>
        <v>DDSTTNY</v>
      </c>
    </row>
    <row r="98" spans="8:75" ht="14.4">
      <c r="H98"/>
      <c r="I98"/>
      <c r="J98"/>
      <c r="L98"/>
      <c r="BL98" s="38" t="s">
        <v>229</v>
      </c>
      <c r="BM98" s="38" t="s">
        <v>178</v>
      </c>
      <c r="BN98" s="38" t="s">
        <v>410</v>
      </c>
      <c r="BO98" s="38" t="s">
        <v>147</v>
      </c>
      <c r="BP98" s="38" t="s">
        <v>306</v>
      </c>
      <c r="BQ98" s="38" t="str">
        <f t="shared" si="22"/>
        <v>DD</v>
      </c>
      <c r="BR98" s="38" t="str">
        <f t="shared" si="16"/>
        <v>H</v>
      </c>
      <c r="BS98" s="38" t="str">
        <f t="shared" si="17"/>
        <v>N</v>
      </c>
      <c r="BT98" s="38" t="str">
        <f t="shared" si="18"/>
        <v>N</v>
      </c>
      <c r="BU98" s="38" t="str">
        <f t="shared" si="19"/>
        <v>Y</v>
      </c>
      <c r="BV98" s="38" t="str">
        <f t="shared" si="20"/>
        <v>HingedDecorative DiamondNot RequiredNoYes</v>
      </c>
      <c r="BW98" s="38" t="str">
        <f t="shared" si="21"/>
        <v>DDHNNY</v>
      </c>
    </row>
    <row r="99" spans="8:75" ht="14.4">
      <c r="H99"/>
      <c r="I99"/>
      <c r="J99"/>
      <c r="L99"/>
      <c r="BL99" s="38" t="s">
        <v>229</v>
      </c>
      <c r="BM99" s="38" t="s">
        <v>179</v>
      </c>
      <c r="BN99" s="38" t="s">
        <v>410</v>
      </c>
      <c r="BO99" s="38" t="s">
        <v>147</v>
      </c>
      <c r="BP99" s="38" t="s">
        <v>306</v>
      </c>
      <c r="BQ99" s="38" t="str">
        <f t="shared" si="22"/>
        <v>DD</v>
      </c>
      <c r="BR99" s="38" t="str">
        <f t="shared" si="16"/>
        <v>S</v>
      </c>
      <c r="BS99" s="38" t="str">
        <f t="shared" si="17"/>
        <v>N</v>
      </c>
      <c r="BT99" s="38" t="str">
        <f t="shared" si="18"/>
        <v>N</v>
      </c>
      <c r="BU99" s="38" t="str">
        <f t="shared" si="19"/>
        <v>Y</v>
      </c>
      <c r="BV99" s="38" t="str">
        <f t="shared" si="20"/>
        <v>SlidingDecorative DiamondNot RequiredNoYes</v>
      </c>
      <c r="BW99" s="38" t="str">
        <f t="shared" si="21"/>
        <v>DDSNNY</v>
      </c>
    </row>
    <row r="100" spans="8:75" ht="14.4">
      <c r="H100"/>
      <c r="I100"/>
      <c r="J100"/>
      <c r="L100"/>
      <c r="BL100" s="38" t="s">
        <v>229</v>
      </c>
      <c r="BM100" s="38" t="s">
        <v>220</v>
      </c>
      <c r="BN100" s="38" t="s">
        <v>410</v>
      </c>
      <c r="BO100" s="38" t="s">
        <v>147</v>
      </c>
      <c r="BP100" s="38" t="s">
        <v>306</v>
      </c>
      <c r="BQ100" s="38" t="str">
        <f t="shared" si="22"/>
        <v>DD</v>
      </c>
      <c r="BR100" s="38" t="str">
        <f t="shared" si="16"/>
        <v>ST</v>
      </c>
      <c r="BS100" s="38" t="str">
        <f t="shared" si="17"/>
        <v>N</v>
      </c>
      <c r="BT100" s="38" t="str">
        <f t="shared" si="18"/>
        <v>N</v>
      </c>
      <c r="BU100" s="38" t="str">
        <f t="shared" si="19"/>
        <v>Y</v>
      </c>
      <c r="BV100" s="38" t="str">
        <f t="shared" si="20"/>
        <v>StackerDecorative DiamondNot RequiredNoYes</v>
      </c>
      <c r="BW100" s="38" t="str">
        <f t="shared" si="21"/>
        <v>DDSTNNY</v>
      </c>
    </row>
    <row r="101" spans="8:75" ht="14.4">
      <c r="H101"/>
      <c r="I101"/>
      <c r="J101"/>
      <c r="L101"/>
      <c r="BL101" s="38" t="s">
        <v>229</v>
      </c>
      <c r="BM101" s="38" t="s">
        <v>178</v>
      </c>
      <c r="BN101" s="38" t="s">
        <v>383</v>
      </c>
      <c r="BO101" s="38" t="s">
        <v>147</v>
      </c>
      <c r="BP101" s="38" t="s">
        <v>306</v>
      </c>
      <c r="BQ101" s="38" t="str">
        <f t="shared" si="22"/>
        <v>DD</v>
      </c>
      <c r="BR101" s="38" t="str">
        <f t="shared" si="16"/>
        <v>H</v>
      </c>
      <c r="BS101" s="38" t="str">
        <f t="shared" si="17"/>
        <v>D</v>
      </c>
      <c r="BT101" s="38" t="str">
        <f t="shared" si="18"/>
        <v>N</v>
      </c>
      <c r="BU101" s="38" t="str">
        <f t="shared" si="19"/>
        <v>Y</v>
      </c>
      <c r="BV101" s="38" t="str">
        <f t="shared" si="20"/>
        <v>HingedDecorative DiamondUltra Secua Digital Triple LockNoYes</v>
      </c>
      <c r="BW101" s="38" t="str">
        <f t="shared" si="21"/>
        <v>DDHDNY</v>
      </c>
    </row>
    <row r="102" spans="8:75" ht="14.4">
      <c r="H102"/>
      <c r="I102"/>
      <c r="J102"/>
      <c r="BL102" s="38" t="s">
        <v>229</v>
      </c>
      <c r="BM102" s="38" t="s">
        <v>179</v>
      </c>
      <c r="BN102" s="38" t="s">
        <v>383</v>
      </c>
      <c r="BO102" s="38" t="s">
        <v>147</v>
      </c>
      <c r="BP102" s="38" t="s">
        <v>306</v>
      </c>
      <c r="BQ102" s="38" t="str">
        <f t="shared" si="22"/>
        <v>DD</v>
      </c>
      <c r="BR102" s="38" t="str">
        <f t="shared" si="16"/>
        <v>S</v>
      </c>
      <c r="BS102" s="38" t="str">
        <f t="shared" si="17"/>
        <v>D</v>
      </c>
      <c r="BT102" s="38" t="str">
        <f t="shared" si="18"/>
        <v>N</v>
      </c>
      <c r="BU102" s="38" t="str">
        <f t="shared" si="19"/>
        <v>Y</v>
      </c>
      <c r="BV102" s="38" t="str">
        <f t="shared" si="20"/>
        <v>SlidingDecorative DiamondUltra Secua Digital Triple LockNoYes</v>
      </c>
      <c r="BW102" s="38" t="str">
        <f t="shared" si="21"/>
        <v>DDSDNY</v>
      </c>
    </row>
    <row r="103" spans="8:75" ht="14.4">
      <c r="H103"/>
      <c r="I103"/>
      <c r="J103"/>
      <c r="BL103" s="38" t="s">
        <v>229</v>
      </c>
      <c r="BM103" s="38" t="s">
        <v>220</v>
      </c>
      <c r="BN103" s="38" t="s">
        <v>383</v>
      </c>
      <c r="BO103" s="38" t="s">
        <v>147</v>
      </c>
      <c r="BP103" s="38" t="s">
        <v>306</v>
      </c>
      <c r="BQ103" s="38" t="str">
        <f t="shared" si="22"/>
        <v>DD</v>
      </c>
      <c r="BR103" s="38" t="str">
        <f t="shared" si="16"/>
        <v>ST</v>
      </c>
      <c r="BS103" s="38" t="str">
        <f t="shared" si="17"/>
        <v>D</v>
      </c>
      <c r="BT103" s="38" t="str">
        <f t="shared" si="18"/>
        <v>N</v>
      </c>
      <c r="BU103" s="38" t="str">
        <f t="shared" si="19"/>
        <v>Y</v>
      </c>
      <c r="BV103" s="38" t="str">
        <f t="shared" si="20"/>
        <v>StackerDecorative DiamondUltra Secua Digital Triple LockNoYes</v>
      </c>
      <c r="BW103" s="38" t="str">
        <f t="shared" si="21"/>
        <v>DDSTDNY</v>
      </c>
    </row>
    <row r="104" spans="8:75" ht="14.4">
      <c r="H104"/>
      <c r="I104"/>
      <c r="J104"/>
      <c r="BL104" s="38" t="s">
        <v>229</v>
      </c>
      <c r="BM104" s="38" t="s">
        <v>178</v>
      </c>
      <c r="BN104" s="38" t="s">
        <v>284</v>
      </c>
      <c r="BO104" s="38" t="s">
        <v>147</v>
      </c>
      <c r="BP104" s="38" t="s">
        <v>306</v>
      </c>
      <c r="BQ104" s="38" t="str">
        <f t="shared" si="22"/>
        <v>DD</v>
      </c>
      <c r="BR104" s="38" t="str">
        <f t="shared" si="16"/>
        <v>H</v>
      </c>
      <c r="BS104" s="38" t="str">
        <f t="shared" si="17"/>
        <v>B</v>
      </c>
      <c r="BT104" s="38" t="str">
        <f t="shared" si="18"/>
        <v>N</v>
      </c>
      <c r="BU104" s="38" t="str">
        <f t="shared" si="19"/>
        <v>Y</v>
      </c>
      <c r="BV104" s="38" t="str">
        <f t="shared" si="20"/>
        <v>HingedDecorative DiamondBass LatchNoYes</v>
      </c>
      <c r="BW104" s="38" t="str">
        <f t="shared" si="21"/>
        <v>DDHBNY</v>
      </c>
    </row>
    <row r="105" spans="8:75" ht="14.4">
      <c r="H105"/>
      <c r="I105"/>
      <c r="J105"/>
      <c r="BL105" s="38" t="s">
        <v>229</v>
      </c>
      <c r="BM105" s="38" t="s">
        <v>179</v>
      </c>
      <c r="BN105" s="38" t="s">
        <v>284</v>
      </c>
      <c r="BO105" s="38" t="s">
        <v>147</v>
      </c>
      <c r="BP105" s="38" t="s">
        <v>306</v>
      </c>
      <c r="BQ105" s="38" t="str">
        <f t="shared" si="22"/>
        <v>DD</v>
      </c>
      <c r="BR105" s="38" t="str">
        <f t="shared" si="16"/>
        <v>S</v>
      </c>
      <c r="BS105" s="38" t="str">
        <f t="shared" si="17"/>
        <v>B</v>
      </c>
      <c r="BT105" s="38" t="str">
        <f t="shared" si="18"/>
        <v>N</v>
      </c>
      <c r="BU105" s="38" t="str">
        <f t="shared" si="19"/>
        <v>Y</v>
      </c>
      <c r="BV105" s="38" t="str">
        <f t="shared" si="20"/>
        <v>SlidingDecorative DiamondBass LatchNoYes</v>
      </c>
      <c r="BW105" s="38" t="str">
        <f t="shared" si="21"/>
        <v>DDSBNY</v>
      </c>
    </row>
    <row r="106" spans="8:75" ht="14.4">
      <c r="H106"/>
      <c r="I106"/>
      <c r="J106"/>
      <c r="BL106" s="38" t="s">
        <v>229</v>
      </c>
      <c r="BM106" s="38" t="s">
        <v>220</v>
      </c>
      <c r="BN106" s="38" t="s">
        <v>284</v>
      </c>
      <c r="BO106" s="38" t="s">
        <v>147</v>
      </c>
      <c r="BP106" s="38" t="s">
        <v>306</v>
      </c>
      <c r="BQ106" s="38" t="str">
        <f t="shared" si="22"/>
        <v>DD</v>
      </c>
      <c r="BR106" s="38" t="str">
        <f t="shared" si="16"/>
        <v>ST</v>
      </c>
      <c r="BS106" s="38" t="str">
        <f t="shared" si="17"/>
        <v>B</v>
      </c>
      <c r="BT106" s="38" t="str">
        <f t="shared" si="18"/>
        <v>N</v>
      </c>
      <c r="BU106" s="38" t="str">
        <f t="shared" si="19"/>
        <v>Y</v>
      </c>
      <c r="BV106" s="38" t="str">
        <f t="shared" si="20"/>
        <v>StackerDecorative DiamondBass LatchNoYes</v>
      </c>
      <c r="BW106" s="38" t="str">
        <f t="shared" si="21"/>
        <v>DDSTBNY</v>
      </c>
    </row>
    <row r="107" spans="8:75" ht="14.4">
      <c r="H107"/>
      <c r="I107"/>
      <c r="J107"/>
      <c r="L107"/>
      <c r="BL107" s="38" t="s">
        <v>229</v>
      </c>
      <c r="BM107" s="38" t="s">
        <v>178</v>
      </c>
      <c r="BN107" s="38" t="s">
        <v>279</v>
      </c>
      <c r="BO107" s="38" t="s">
        <v>411</v>
      </c>
      <c r="BP107" s="38" t="s">
        <v>306</v>
      </c>
      <c r="BQ107" s="38" t="str">
        <f t="shared" si="22"/>
        <v>DD</v>
      </c>
      <c r="BR107" s="38" t="str">
        <f t="shared" si="16"/>
        <v>H</v>
      </c>
      <c r="BS107" s="38" t="str">
        <f t="shared" si="17"/>
        <v>S</v>
      </c>
      <c r="BT107" s="38" t="str">
        <f t="shared" si="18"/>
        <v>Y</v>
      </c>
      <c r="BU107" s="38" t="str">
        <f t="shared" si="19"/>
        <v>Y</v>
      </c>
      <c r="BV107" s="38" t="str">
        <f t="shared" si="20"/>
        <v>HingedDecorative DiamondSingle LockYes - CentreYes</v>
      </c>
      <c r="BW107" s="38" t="str">
        <f t="shared" si="21"/>
        <v>DDHSYY</v>
      </c>
    </row>
    <row r="108" spans="8:75" ht="14.4">
      <c r="H108"/>
      <c r="I108"/>
      <c r="J108"/>
      <c r="L108"/>
      <c r="BL108" s="38" t="s">
        <v>229</v>
      </c>
      <c r="BM108" s="38" t="s">
        <v>179</v>
      </c>
      <c r="BN108" s="38" t="s">
        <v>279</v>
      </c>
      <c r="BO108" s="38" t="s">
        <v>411</v>
      </c>
      <c r="BP108" s="38" t="s">
        <v>306</v>
      </c>
      <c r="BQ108" s="38" t="str">
        <f t="shared" si="22"/>
        <v>DD</v>
      </c>
      <c r="BR108" s="38" t="str">
        <f t="shared" si="16"/>
        <v>S</v>
      </c>
      <c r="BS108" s="38" t="str">
        <f t="shared" si="17"/>
        <v>S</v>
      </c>
      <c r="BT108" s="38" t="str">
        <f t="shared" si="18"/>
        <v>Y</v>
      </c>
      <c r="BU108" s="38" t="str">
        <f t="shared" si="19"/>
        <v>Y</v>
      </c>
      <c r="BV108" s="38" t="str">
        <f t="shared" si="20"/>
        <v>SlidingDecorative DiamondSingle LockYes - CentreYes</v>
      </c>
      <c r="BW108" s="38" t="str">
        <f t="shared" si="21"/>
        <v>DDSSYY</v>
      </c>
    </row>
    <row r="109" spans="8:75" ht="14.4">
      <c r="H109"/>
      <c r="I109"/>
      <c r="J109"/>
      <c r="L109"/>
      <c r="BL109" s="38" t="s">
        <v>229</v>
      </c>
      <c r="BM109" s="38" t="s">
        <v>220</v>
      </c>
      <c r="BN109" s="38" t="s">
        <v>279</v>
      </c>
      <c r="BO109" s="38" t="s">
        <v>411</v>
      </c>
      <c r="BP109" s="38" t="s">
        <v>306</v>
      </c>
      <c r="BQ109" s="38" t="str">
        <f t="shared" si="22"/>
        <v>DD</v>
      </c>
      <c r="BR109" s="38" t="str">
        <f t="shared" si="16"/>
        <v>ST</v>
      </c>
      <c r="BS109" s="38" t="str">
        <f t="shared" si="17"/>
        <v>S</v>
      </c>
      <c r="BT109" s="38" t="str">
        <f t="shared" si="18"/>
        <v>Y</v>
      </c>
      <c r="BU109" s="38" t="str">
        <f t="shared" si="19"/>
        <v>Y</v>
      </c>
      <c r="BV109" s="38" t="str">
        <f t="shared" si="20"/>
        <v>StackerDecorative DiamondSingle LockYes - CentreYes</v>
      </c>
      <c r="BW109" s="38" t="str">
        <f t="shared" si="21"/>
        <v>DDSTSYY</v>
      </c>
    </row>
    <row r="110" spans="8:75" ht="14.4">
      <c r="H110"/>
      <c r="I110"/>
      <c r="J110"/>
      <c r="L110"/>
      <c r="BL110" s="38" t="s">
        <v>229</v>
      </c>
      <c r="BM110" s="38" t="s">
        <v>178</v>
      </c>
      <c r="BN110" s="38" t="s">
        <v>275</v>
      </c>
      <c r="BO110" s="38" t="s">
        <v>411</v>
      </c>
      <c r="BP110" s="38" t="s">
        <v>306</v>
      </c>
      <c r="BQ110" s="38" t="str">
        <f t="shared" si="22"/>
        <v>DD</v>
      </c>
      <c r="BR110" s="38" t="str">
        <f t="shared" si="16"/>
        <v>H</v>
      </c>
      <c r="BS110" s="38" t="str">
        <f t="shared" si="17"/>
        <v>T</v>
      </c>
      <c r="BT110" s="38" t="str">
        <f t="shared" si="18"/>
        <v>Y</v>
      </c>
      <c r="BU110" s="38" t="str">
        <f t="shared" si="19"/>
        <v>Y</v>
      </c>
      <c r="BV110" s="38" t="str">
        <f t="shared" si="20"/>
        <v>HingedDecorative DiamondTriple LockYes - CentreYes</v>
      </c>
      <c r="BW110" s="38" t="str">
        <f t="shared" si="21"/>
        <v>DDHTYY</v>
      </c>
    </row>
    <row r="111" spans="8:75" ht="14.4">
      <c r="H111"/>
      <c r="I111"/>
      <c r="J111"/>
      <c r="L111"/>
      <c r="BL111" s="38" t="s">
        <v>229</v>
      </c>
      <c r="BM111" s="38" t="s">
        <v>179</v>
      </c>
      <c r="BN111" s="38" t="s">
        <v>275</v>
      </c>
      <c r="BO111" s="38" t="s">
        <v>411</v>
      </c>
      <c r="BP111" s="38" t="s">
        <v>306</v>
      </c>
      <c r="BQ111" s="38" t="str">
        <f t="shared" si="22"/>
        <v>DD</v>
      </c>
      <c r="BR111" s="38" t="str">
        <f t="shared" si="16"/>
        <v>S</v>
      </c>
      <c r="BS111" s="38" t="str">
        <f t="shared" si="17"/>
        <v>T</v>
      </c>
      <c r="BT111" s="38" t="str">
        <f t="shared" si="18"/>
        <v>Y</v>
      </c>
      <c r="BU111" s="38" t="str">
        <f t="shared" si="19"/>
        <v>Y</v>
      </c>
      <c r="BV111" s="38" t="str">
        <f t="shared" si="20"/>
        <v>SlidingDecorative DiamondTriple LockYes - CentreYes</v>
      </c>
      <c r="BW111" s="38" t="str">
        <f t="shared" si="21"/>
        <v>DDSTYY</v>
      </c>
    </row>
    <row r="112" spans="8:75" ht="14.4">
      <c r="H112"/>
      <c r="I112"/>
      <c r="J112"/>
      <c r="L112"/>
      <c r="BL112" s="38" t="s">
        <v>229</v>
      </c>
      <c r="BM112" s="38" t="s">
        <v>220</v>
      </c>
      <c r="BN112" s="38" t="s">
        <v>275</v>
      </c>
      <c r="BO112" s="38" t="s">
        <v>411</v>
      </c>
      <c r="BP112" s="38" t="s">
        <v>306</v>
      </c>
      <c r="BQ112" s="38" t="str">
        <f t="shared" si="22"/>
        <v>DD</v>
      </c>
      <c r="BR112" s="38" t="str">
        <f t="shared" si="16"/>
        <v>ST</v>
      </c>
      <c r="BS112" s="38" t="str">
        <f t="shared" si="17"/>
        <v>T</v>
      </c>
      <c r="BT112" s="38" t="str">
        <f t="shared" si="18"/>
        <v>Y</v>
      </c>
      <c r="BU112" s="38" t="str">
        <f t="shared" si="19"/>
        <v>Y</v>
      </c>
      <c r="BV112" s="38" t="str">
        <f t="shared" si="20"/>
        <v>StackerDecorative DiamondTriple LockYes - CentreYes</v>
      </c>
      <c r="BW112" s="38" t="str">
        <f t="shared" si="21"/>
        <v>DDSTTYY</v>
      </c>
    </row>
    <row r="113" spans="8:75" ht="14.4">
      <c r="H113"/>
      <c r="I113"/>
      <c r="J113"/>
      <c r="L113"/>
      <c r="BL113" s="38" t="s">
        <v>229</v>
      </c>
      <c r="BM113" s="38" t="s">
        <v>178</v>
      </c>
      <c r="BN113" s="38" t="s">
        <v>410</v>
      </c>
      <c r="BO113" s="38" t="s">
        <v>411</v>
      </c>
      <c r="BP113" s="38" t="s">
        <v>306</v>
      </c>
      <c r="BQ113" s="38" t="str">
        <f t="shared" si="22"/>
        <v>DD</v>
      </c>
      <c r="BR113" s="38" t="str">
        <f t="shared" si="16"/>
        <v>H</v>
      </c>
      <c r="BS113" s="38" t="str">
        <f t="shared" si="17"/>
        <v>N</v>
      </c>
      <c r="BT113" s="38" t="str">
        <f t="shared" si="18"/>
        <v>Y</v>
      </c>
      <c r="BU113" s="38" t="str">
        <f t="shared" si="19"/>
        <v>Y</v>
      </c>
      <c r="BV113" s="38" t="str">
        <f t="shared" si="20"/>
        <v>HingedDecorative DiamondNot RequiredYes - CentreYes</v>
      </c>
      <c r="BW113" s="38" t="str">
        <f t="shared" si="21"/>
        <v>DDHNYY</v>
      </c>
    </row>
    <row r="114" spans="8:75" ht="14.4">
      <c r="H114"/>
      <c r="I114"/>
      <c r="J114"/>
      <c r="L114"/>
      <c r="BL114" s="38" t="s">
        <v>229</v>
      </c>
      <c r="BM114" s="38" t="s">
        <v>179</v>
      </c>
      <c r="BN114" s="38" t="s">
        <v>410</v>
      </c>
      <c r="BO114" s="38" t="s">
        <v>411</v>
      </c>
      <c r="BP114" s="38" t="s">
        <v>306</v>
      </c>
      <c r="BQ114" s="38" t="str">
        <f t="shared" si="22"/>
        <v>DD</v>
      </c>
      <c r="BR114" s="38" t="str">
        <f t="shared" si="16"/>
        <v>S</v>
      </c>
      <c r="BS114" s="38" t="str">
        <f t="shared" si="17"/>
        <v>N</v>
      </c>
      <c r="BT114" s="38" t="str">
        <f t="shared" si="18"/>
        <v>Y</v>
      </c>
      <c r="BU114" s="38" t="str">
        <f t="shared" si="19"/>
        <v>Y</v>
      </c>
      <c r="BV114" s="38" t="str">
        <f t="shared" si="20"/>
        <v>SlidingDecorative DiamondNot RequiredYes - CentreYes</v>
      </c>
      <c r="BW114" s="38" t="str">
        <f t="shared" si="21"/>
        <v>DDSNYY</v>
      </c>
    </row>
    <row r="115" spans="8:75" ht="14.4">
      <c r="H115"/>
      <c r="I115"/>
      <c r="J115"/>
      <c r="L115"/>
      <c r="BL115" s="38" t="s">
        <v>229</v>
      </c>
      <c r="BM115" s="38" t="s">
        <v>220</v>
      </c>
      <c r="BN115" s="38" t="s">
        <v>410</v>
      </c>
      <c r="BO115" s="38" t="s">
        <v>411</v>
      </c>
      <c r="BP115" s="38" t="s">
        <v>306</v>
      </c>
      <c r="BQ115" s="38" t="str">
        <f t="shared" si="22"/>
        <v>DD</v>
      </c>
      <c r="BR115" s="38" t="str">
        <f t="shared" si="16"/>
        <v>ST</v>
      </c>
      <c r="BS115" s="38" t="str">
        <f t="shared" si="17"/>
        <v>N</v>
      </c>
      <c r="BT115" s="38" t="str">
        <f t="shared" si="18"/>
        <v>Y</v>
      </c>
      <c r="BU115" s="38" t="str">
        <f t="shared" si="19"/>
        <v>Y</v>
      </c>
      <c r="BV115" s="38" t="str">
        <f t="shared" si="20"/>
        <v>StackerDecorative DiamondNot RequiredYes - CentreYes</v>
      </c>
      <c r="BW115" s="38" t="str">
        <f t="shared" si="21"/>
        <v>DDSTNYY</v>
      </c>
    </row>
    <row r="116" spans="8:75" ht="14.4">
      <c r="H116"/>
      <c r="I116"/>
      <c r="J116"/>
      <c r="L116"/>
      <c r="BL116" s="38" t="s">
        <v>229</v>
      </c>
      <c r="BM116" s="38" t="s">
        <v>178</v>
      </c>
      <c r="BN116" s="38" t="s">
        <v>383</v>
      </c>
      <c r="BO116" s="38" t="s">
        <v>411</v>
      </c>
      <c r="BP116" s="38" t="s">
        <v>306</v>
      </c>
      <c r="BQ116" s="38" t="str">
        <f t="shared" si="22"/>
        <v>DD</v>
      </c>
      <c r="BR116" s="38" t="str">
        <f t="shared" si="16"/>
        <v>H</v>
      </c>
      <c r="BS116" s="38" t="str">
        <f t="shared" si="17"/>
        <v>D</v>
      </c>
      <c r="BT116" s="38" t="str">
        <f t="shared" si="18"/>
        <v>Y</v>
      </c>
      <c r="BU116" s="38" t="str">
        <f t="shared" si="19"/>
        <v>Y</v>
      </c>
      <c r="BV116" s="38" t="str">
        <f t="shared" si="20"/>
        <v>HingedDecorative DiamondUltra Secua Digital Triple LockYes - CentreYes</v>
      </c>
      <c r="BW116" s="38" t="str">
        <f t="shared" si="21"/>
        <v>DDHDYY</v>
      </c>
    </row>
    <row r="117" spans="8:75" ht="14.4">
      <c r="H117"/>
      <c r="I117"/>
      <c r="J117"/>
      <c r="L117"/>
      <c r="BL117" s="38" t="s">
        <v>229</v>
      </c>
      <c r="BM117" s="38" t="s">
        <v>179</v>
      </c>
      <c r="BN117" s="38" t="s">
        <v>383</v>
      </c>
      <c r="BO117" s="38" t="s">
        <v>411</v>
      </c>
      <c r="BP117" s="38" t="s">
        <v>306</v>
      </c>
      <c r="BQ117" s="38" t="str">
        <f t="shared" si="22"/>
        <v>DD</v>
      </c>
      <c r="BR117" s="38" t="str">
        <f t="shared" si="16"/>
        <v>S</v>
      </c>
      <c r="BS117" s="38" t="str">
        <f t="shared" si="17"/>
        <v>D</v>
      </c>
      <c r="BT117" s="38" t="str">
        <f t="shared" si="18"/>
        <v>Y</v>
      </c>
      <c r="BU117" s="38" t="str">
        <f t="shared" si="19"/>
        <v>Y</v>
      </c>
      <c r="BV117" s="38" t="str">
        <f t="shared" si="20"/>
        <v>SlidingDecorative DiamondUltra Secua Digital Triple LockYes - CentreYes</v>
      </c>
      <c r="BW117" s="38" t="str">
        <f t="shared" si="21"/>
        <v>DDSDYY</v>
      </c>
    </row>
    <row r="118" spans="8:75" ht="14.4">
      <c r="H118"/>
      <c r="I118"/>
      <c r="J118"/>
      <c r="L118"/>
      <c r="BL118" s="38" t="s">
        <v>229</v>
      </c>
      <c r="BM118" s="38" t="s">
        <v>220</v>
      </c>
      <c r="BN118" s="38" t="s">
        <v>383</v>
      </c>
      <c r="BO118" s="38" t="s">
        <v>411</v>
      </c>
      <c r="BP118" s="38" t="s">
        <v>306</v>
      </c>
      <c r="BQ118" s="38" t="str">
        <f t="shared" si="22"/>
        <v>DD</v>
      </c>
      <c r="BR118" s="38" t="str">
        <f t="shared" si="16"/>
        <v>ST</v>
      </c>
      <c r="BS118" s="38" t="str">
        <f t="shared" si="17"/>
        <v>D</v>
      </c>
      <c r="BT118" s="38" t="str">
        <f t="shared" si="18"/>
        <v>Y</v>
      </c>
      <c r="BU118" s="38" t="str">
        <f t="shared" si="19"/>
        <v>Y</v>
      </c>
      <c r="BV118" s="38" t="str">
        <f t="shared" si="20"/>
        <v>StackerDecorative DiamondUltra Secua Digital Triple LockYes - CentreYes</v>
      </c>
      <c r="BW118" s="38" t="str">
        <f t="shared" si="21"/>
        <v>DDSTDYY</v>
      </c>
    </row>
    <row r="119" spans="8:75" ht="14.4">
      <c r="H119"/>
      <c r="I119"/>
      <c r="J119"/>
      <c r="L119"/>
      <c r="BL119" s="38" t="s">
        <v>229</v>
      </c>
      <c r="BM119" s="38" t="s">
        <v>178</v>
      </c>
      <c r="BN119" s="38" t="s">
        <v>284</v>
      </c>
      <c r="BO119" s="38" t="s">
        <v>411</v>
      </c>
      <c r="BP119" s="38" t="s">
        <v>306</v>
      </c>
      <c r="BQ119" s="38" t="str">
        <f t="shared" si="22"/>
        <v>DD</v>
      </c>
      <c r="BR119" s="38" t="str">
        <f t="shared" si="16"/>
        <v>H</v>
      </c>
      <c r="BS119" s="38" t="str">
        <f t="shared" si="17"/>
        <v>B</v>
      </c>
      <c r="BT119" s="38" t="str">
        <f t="shared" si="18"/>
        <v>Y</v>
      </c>
      <c r="BU119" s="38" t="str">
        <f t="shared" si="19"/>
        <v>Y</v>
      </c>
      <c r="BV119" s="38" t="str">
        <f t="shared" si="20"/>
        <v>HingedDecorative DiamondBass LatchYes - CentreYes</v>
      </c>
      <c r="BW119" s="38" t="str">
        <f t="shared" si="21"/>
        <v>DDHBYY</v>
      </c>
    </row>
    <row r="120" spans="8:75" ht="14.4">
      <c r="H120"/>
      <c r="I120"/>
      <c r="J120"/>
      <c r="L120"/>
      <c r="BL120" s="38" t="s">
        <v>229</v>
      </c>
      <c r="BM120" s="38" t="s">
        <v>179</v>
      </c>
      <c r="BN120" s="38" t="s">
        <v>284</v>
      </c>
      <c r="BO120" s="38" t="s">
        <v>411</v>
      </c>
      <c r="BP120" s="38" t="s">
        <v>306</v>
      </c>
      <c r="BQ120" s="38" t="str">
        <f t="shared" si="22"/>
        <v>DD</v>
      </c>
      <c r="BR120" s="38" t="str">
        <f t="shared" si="16"/>
        <v>S</v>
      </c>
      <c r="BS120" s="38" t="str">
        <f t="shared" si="17"/>
        <v>B</v>
      </c>
      <c r="BT120" s="38" t="str">
        <f t="shared" si="18"/>
        <v>Y</v>
      </c>
      <c r="BU120" s="38" t="str">
        <f t="shared" si="19"/>
        <v>Y</v>
      </c>
      <c r="BV120" s="38" t="str">
        <f t="shared" si="20"/>
        <v>SlidingDecorative DiamondBass LatchYes - CentreYes</v>
      </c>
      <c r="BW120" s="38" t="str">
        <f t="shared" si="21"/>
        <v>DDSBYY</v>
      </c>
    </row>
    <row r="121" spans="8:75" ht="14.4">
      <c r="H121"/>
      <c r="I121"/>
      <c r="J121"/>
      <c r="L121"/>
      <c r="BL121" s="38" t="s">
        <v>229</v>
      </c>
      <c r="BM121" s="38" t="s">
        <v>220</v>
      </c>
      <c r="BN121" s="38" t="s">
        <v>284</v>
      </c>
      <c r="BO121" s="38" t="s">
        <v>411</v>
      </c>
      <c r="BP121" s="38" t="s">
        <v>306</v>
      </c>
      <c r="BQ121" s="38" t="str">
        <f t="shared" si="22"/>
        <v>DD</v>
      </c>
      <c r="BR121" s="38" t="str">
        <f t="shared" si="16"/>
        <v>ST</v>
      </c>
      <c r="BS121" s="38" t="str">
        <f t="shared" si="17"/>
        <v>B</v>
      </c>
      <c r="BT121" s="38" t="str">
        <f t="shared" si="18"/>
        <v>Y</v>
      </c>
      <c r="BU121" s="38" t="str">
        <f t="shared" si="19"/>
        <v>Y</v>
      </c>
      <c r="BV121" s="38" t="str">
        <f t="shared" si="20"/>
        <v>StackerDecorative DiamondBass LatchYes - CentreYes</v>
      </c>
      <c r="BW121" s="38" t="str">
        <f t="shared" si="21"/>
        <v>DDSTBYY</v>
      </c>
    </row>
    <row r="122" spans="8:75" ht="14.4">
      <c r="H122"/>
      <c r="I122"/>
      <c r="J122"/>
      <c r="BL122" s="38" t="s">
        <v>229</v>
      </c>
      <c r="BM122" s="38" t="s">
        <v>178</v>
      </c>
      <c r="BN122" s="38" t="s">
        <v>279</v>
      </c>
      <c r="BO122" s="38" t="s">
        <v>306</v>
      </c>
      <c r="BP122" s="38" t="s">
        <v>306</v>
      </c>
      <c r="BQ122" s="38" t="str">
        <f t="shared" si="22"/>
        <v>DD</v>
      </c>
      <c r="BR122" s="38" t="str">
        <f t="shared" si="16"/>
        <v>H</v>
      </c>
      <c r="BS122" s="38" t="str">
        <f t="shared" si="17"/>
        <v>S</v>
      </c>
      <c r="BT122" s="38" t="str">
        <f t="shared" si="18"/>
        <v>Y</v>
      </c>
      <c r="BU122" s="38" t="str">
        <f t="shared" si="19"/>
        <v>Y</v>
      </c>
      <c r="BV122" s="38" t="str">
        <f t="shared" si="20"/>
        <v>HingedDecorative DiamondSingle LockYesYes</v>
      </c>
      <c r="BW122" s="38" t="str">
        <f t="shared" si="21"/>
        <v>DDHSYY</v>
      </c>
    </row>
    <row r="123" spans="8:75" ht="14.4">
      <c r="H123"/>
      <c r="I123"/>
      <c r="J123"/>
      <c r="BL123" s="38" t="s">
        <v>229</v>
      </c>
      <c r="BM123" s="38" t="s">
        <v>179</v>
      </c>
      <c r="BN123" s="38" t="s">
        <v>279</v>
      </c>
      <c r="BO123" s="38" t="s">
        <v>306</v>
      </c>
      <c r="BP123" s="38" t="s">
        <v>306</v>
      </c>
      <c r="BQ123" s="38" t="str">
        <f t="shared" si="22"/>
        <v>DD</v>
      </c>
      <c r="BR123" s="38" t="str">
        <f t="shared" si="16"/>
        <v>S</v>
      </c>
      <c r="BS123" s="38" t="str">
        <f t="shared" si="17"/>
        <v>S</v>
      </c>
      <c r="BT123" s="38" t="str">
        <f t="shared" si="18"/>
        <v>Y</v>
      </c>
      <c r="BU123" s="38" t="str">
        <f t="shared" si="19"/>
        <v>Y</v>
      </c>
      <c r="BV123" s="38" t="str">
        <f t="shared" si="20"/>
        <v>SlidingDecorative DiamondSingle LockYesYes</v>
      </c>
      <c r="BW123" s="38" t="str">
        <f t="shared" si="21"/>
        <v>DDSSYY</v>
      </c>
    </row>
    <row r="124" spans="8:75" ht="14.4">
      <c r="H124"/>
      <c r="I124"/>
      <c r="J124"/>
      <c r="BL124" s="38" t="s">
        <v>229</v>
      </c>
      <c r="BM124" s="38" t="s">
        <v>220</v>
      </c>
      <c r="BN124" s="38" t="s">
        <v>279</v>
      </c>
      <c r="BO124" s="38" t="s">
        <v>306</v>
      </c>
      <c r="BP124" s="38" t="s">
        <v>306</v>
      </c>
      <c r="BQ124" s="38" t="str">
        <f t="shared" si="22"/>
        <v>DD</v>
      </c>
      <c r="BR124" s="38" t="str">
        <f t="shared" si="16"/>
        <v>ST</v>
      </c>
      <c r="BS124" s="38" t="str">
        <f t="shared" si="17"/>
        <v>S</v>
      </c>
      <c r="BT124" s="38" t="str">
        <f t="shared" si="18"/>
        <v>Y</v>
      </c>
      <c r="BU124" s="38" t="str">
        <f t="shared" si="19"/>
        <v>Y</v>
      </c>
      <c r="BV124" s="38" t="str">
        <f t="shared" si="20"/>
        <v>StackerDecorative DiamondSingle LockYesYes</v>
      </c>
      <c r="BW124" s="38" t="str">
        <f t="shared" si="21"/>
        <v>DDSTSYY</v>
      </c>
    </row>
    <row r="125" spans="8:75" ht="14.4">
      <c r="H125"/>
      <c r="I125"/>
      <c r="J125"/>
      <c r="BL125" s="38" t="s">
        <v>229</v>
      </c>
      <c r="BM125" s="38" t="s">
        <v>178</v>
      </c>
      <c r="BN125" s="38" t="s">
        <v>275</v>
      </c>
      <c r="BO125" s="38" t="s">
        <v>306</v>
      </c>
      <c r="BP125" s="38" t="s">
        <v>306</v>
      </c>
      <c r="BQ125" s="38" t="str">
        <f t="shared" si="22"/>
        <v>DD</v>
      </c>
      <c r="BR125" s="38" t="str">
        <f t="shared" si="16"/>
        <v>H</v>
      </c>
      <c r="BS125" s="38" t="str">
        <f t="shared" si="17"/>
        <v>T</v>
      </c>
      <c r="BT125" s="38" t="str">
        <f t="shared" si="18"/>
        <v>Y</v>
      </c>
      <c r="BU125" s="38" t="str">
        <f t="shared" si="19"/>
        <v>Y</v>
      </c>
      <c r="BV125" s="38" t="str">
        <f t="shared" si="20"/>
        <v>HingedDecorative DiamondTriple LockYesYes</v>
      </c>
      <c r="BW125" s="38" t="str">
        <f t="shared" si="21"/>
        <v>DDHTYY</v>
      </c>
    </row>
    <row r="126" spans="8:75" ht="14.4">
      <c r="H126"/>
      <c r="I126"/>
      <c r="J126"/>
      <c r="BL126" s="38" t="s">
        <v>229</v>
      </c>
      <c r="BM126" s="38" t="s">
        <v>179</v>
      </c>
      <c r="BN126" s="38" t="s">
        <v>275</v>
      </c>
      <c r="BO126" s="38" t="s">
        <v>306</v>
      </c>
      <c r="BP126" s="38" t="s">
        <v>306</v>
      </c>
      <c r="BQ126" s="38" t="str">
        <f t="shared" si="22"/>
        <v>DD</v>
      </c>
      <c r="BR126" s="38" t="str">
        <f t="shared" si="16"/>
        <v>S</v>
      </c>
      <c r="BS126" s="38" t="str">
        <f t="shared" si="17"/>
        <v>T</v>
      </c>
      <c r="BT126" s="38" t="str">
        <f t="shared" si="18"/>
        <v>Y</v>
      </c>
      <c r="BU126" s="38" t="str">
        <f t="shared" si="19"/>
        <v>Y</v>
      </c>
      <c r="BV126" s="38" t="str">
        <f t="shared" si="20"/>
        <v>SlidingDecorative DiamondTriple LockYesYes</v>
      </c>
      <c r="BW126" s="38" t="str">
        <f t="shared" si="21"/>
        <v>DDSTYY</v>
      </c>
    </row>
    <row r="127" spans="8:75" ht="14.4">
      <c r="H127"/>
      <c r="I127"/>
      <c r="J127"/>
      <c r="L127"/>
      <c r="BL127" s="38" t="s">
        <v>229</v>
      </c>
      <c r="BM127" s="38" t="s">
        <v>220</v>
      </c>
      <c r="BN127" s="38" t="s">
        <v>275</v>
      </c>
      <c r="BO127" s="38" t="s">
        <v>306</v>
      </c>
      <c r="BP127" s="38" t="s">
        <v>306</v>
      </c>
      <c r="BQ127" s="38" t="str">
        <f t="shared" si="22"/>
        <v>DD</v>
      </c>
      <c r="BR127" s="38" t="str">
        <f t="shared" si="16"/>
        <v>ST</v>
      </c>
      <c r="BS127" s="38" t="str">
        <f t="shared" si="17"/>
        <v>T</v>
      </c>
      <c r="BT127" s="38" t="str">
        <f t="shared" si="18"/>
        <v>Y</v>
      </c>
      <c r="BU127" s="38" t="str">
        <f t="shared" si="19"/>
        <v>Y</v>
      </c>
      <c r="BV127" s="38" t="str">
        <f t="shared" si="20"/>
        <v>StackerDecorative DiamondTriple LockYesYes</v>
      </c>
      <c r="BW127" s="38" t="str">
        <f t="shared" si="21"/>
        <v>DDSTTYY</v>
      </c>
    </row>
    <row r="128" spans="8:75" ht="14.4">
      <c r="H128"/>
      <c r="I128"/>
      <c r="J128"/>
      <c r="L128"/>
      <c r="BL128" s="38" t="s">
        <v>229</v>
      </c>
      <c r="BM128" s="38" t="s">
        <v>178</v>
      </c>
      <c r="BN128" s="38" t="s">
        <v>410</v>
      </c>
      <c r="BO128" s="38" t="s">
        <v>306</v>
      </c>
      <c r="BP128" s="38" t="s">
        <v>306</v>
      </c>
      <c r="BQ128" s="38" t="str">
        <f t="shared" si="22"/>
        <v>DD</v>
      </c>
      <c r="BR128" s="38" t="str">
        <f t="shared" si="16"/>
        <v>H</v>
      </c>
      <c r="BS128" s="38" t="str">
        <f t="shared" si="17"/>
        <v>N</v>
      </c>
      <c r="BT128" s="38" t="str">
        <f t="shared" si="18"/>
        <v>Y</v>
      </c>
      <c r="BU128" s="38" t="str">
        <f t="shared" si="19"/>
        <v>Y</v>
      </c>
      <c r="BV128" s="38" t="str">
        <f t="shared" si="20"/>
        <v>HingedDecorative DiamondNot RequiredYesYes</v>
      </c>
      <c r="BW128" s="38" t="str">
        <f t="shared" si="21"/>
        <v>DDHNYY</v>
      </c>
    </row>
    <row r="129" spans="8:75" ht="14.4">
      <c r="H129"/>
      <c r="I129"/>
      <c r="J129"/>
      <c r="L129"/>
      <c r="BL129" s="38" t="s">
        <v>229</v>
      </c>
      <c r="BM129" s="38" t="s">
        <v>179</v>
      </c>
      <c r="BN129" s="38" t="s">
        <v>410</v>
      </c>
      <c r="BO129" s="38" t="s">
        <v>306</v>
      </c>
      <c r="BP129" s="38" t="s">
        <v>306</v>
      </c>
      <c r="BQ129" s="38" t="str">
        <f t="shared" si="22"/>
        <v>DD</v>
      </c>
      <c r="BR129" s="38" t="str">
        <f t="shared" si="16"/>
        <v>S</v>
      </c>
      <c r="BS129" s="38" t="str">
        <f t="shared" si="17"/>
        <v>N</v>
      </c>
      <c r="BT129" s="38" t="str">
        <f t="shared" si="18"/>
        <v>Y</v>
      </c>
      <c r="BU129" s="38" t="str">
        <f t="shared" si="19"/>
        <v>Y</v>
      </c>
      <c r="BV129" s="38" t="str">
        <f t="shared" si="20"/>
        <v>SlidingDecorative DiamondNot RequiredYesYes</v>
      </c>
      <c r="BW129" s="38" t="str">
        <f t="shared" si="21"/>
        <v>DDSNYY</v>
      </c>
    </row>
    <row r="130" spans="8:75" ht="14.4">
      <c r="H130"/>
      <c r="I130"/>
      <c r="J130"/>
      <c r="L130"/>
      <c r="BL130" s="38" t="s">
        <v>229</v>
      </c>
      <c r="BM130" s="38" t="s">
        <v>220</v>
      </c>
      <c r="BN130" s="38" t="s">
        <v>410</v>
      </c>
      <c r="BO130" s="38" t="s">
        <v>306</v>
      </c>
      <c r="BP130" s="38" t="s">
        <v>306</v>
      </c>
      <c r="BQ130" s="38" t="str">
        <f t="shared" si="22"/>
        <v>DD</v>
      </c>
      <c r="BR130" s="38" t="str">
        <f t="shared" si="23" ref="BR130:BR193">IF(BM130="Hinged","H",IF(BM130="Sliding","S",IF(BM130="Stacker","ST")))</f>
        <v>ST</v>
      </c>
      <c r="BS130" s="38" t="str">
        <f t="shared" si="24" ref="BS130:BS193">IF(BN130="Single Lock","S",IF(BN130="Triple Lock","T",IF(BN130="Not Required","N",IF(BN130="Ultra Secua Digital Triple Lock","D",IF(BN130="Bass Latch","B")))))</f>
        <v>N</v>
      </c>
      <c r="BT130" s="38" t="str">
        <f t="shared" si="25" ref="BT130:BT193">IF(BO130="No","N",IF(BO130="Yes","Y",IF(BO130="Not Required","N",IF(BO130="Yes - Centre","Y"))))</f>
        <v>Y</v>
      </c>
      <c r="BU130" s="38" t="str">
        <f t="shared" si="26" ref="BU130:BU193">IF(BP130="","N",IF(BP130="Yes","Y"))</f>
        <v>Y</v>
      </c>
      <c r="BV130" s="38" t="str">
        <f t="shared" si="27" ref="BV130:BV193">CONCATENATE(BM130,BL130,BN130,BO130,BP130,)</f>
        <v>StackerDecorative DiamondNot RequiredYesYes</v>
      </c>
      <c r="BW130" s="38" t="str">
        <f t="shared" si="28" ref="BW130:BW193">CONCATENATE(BQ130,BR130,BS130,BT130,BU130)</f>
        <v>DDSTNYY</v>
      </c>
    </row>
    <row r="131" spans="8:75" ht="14.4">
      <c r="H131"/>
      <c r="I131"/>
      <c r="J131"/>
      <c r="L131"/>
      <c r="BL131" s="38" t="s">
        <v>229</v>
      </c>
      <c r="BM131" s="38" t="s">
        <v>178</v>
      </c>
      <c r="BN131" s="38" t="s">
        <v>383</v>
      </c>
      <c r="BO131" s="38" t="s">
        <v>306</v>
      </c>
      <c r="BP131" s="38" t="s">
        <v>306</v>
      </c>
      <c r="BQ131" s="38" t="str">
        <f t="shared" si="29" ref="BQ131:BQ194">IF(BL131="Standard Diamond","SD",IF(BL131="Decorative Diamond","DD",IF(BL131="Privacy-Gard","PG",IF(BL131="Flyscreen","FW",IF(BL131="Woven Stainless Steel","SS",IF(BL131="Alu-Gard Perforated Aluminium","PA",IF(BL131="Invisi-Gard Woven Stainless Steel","IG")))))))</f>
        <v>DD</v>
      </c>
      <c r="BR131" s="38" t="str">
        <f t="shared" si="23"/>
        <v>H</v>
      </c>
      <c r="BS131" s="38" t="str">
        <f t="shared" si="24"/>
        <v>D</v>
      </c>
      <c r="BT131" s="38" t="str">
        <f t="shared" si="25"/>
        <v>Y</v>
      </c>
      <c r="BU131" s="38" t="str">
        <f t="shared" si="26"/>
        <v>Y</v>
      </c>
      <c r="BV131" s="38" t="str">
        <f t="shared" si="27"/>
        <v>HingedDecorative DiamondUltra Secua Digital Triple LockYesYes</v>
      </c>
      <c r="BW131" s="38" t="str">
        <f t="shared" si="28"/>
        <v>DDHDYY</v>
      </c>
    </row>
    <row r="132" spans="8:75" ht="14.4">
      <c r="H132"/>
      <c r="I132"/>
      <c r="J132"/>
      <c r="L132"/>
      <c r="BL132" s="38" t="s">
        <v>229</v>
      </c>
      <c r="BM132" s="38" t="s">
        <v>179</v>
      </c>
      <c r="BN132" s="38" t="s">
        <v>383</v>
      </c>
      <c r="BO132" s="38" t="s">
        <v>306</v>
      </c>
      <c r="BP132" s="38" t="s">
        <v>306</v>
      </c>
      <c r="BQ132" s="38" t="str">
        <f t="shared" si="29"/>
        <v>DD</v>
      </c>
      <c r="BR132" s="38" t="str">
        <f t="shared" si="23"/>
        <v>S</v>
      </c>
      <c r="BS132" s="38" t="str">
        <f t="shared" si="24"/>
        <v>D</v>
      </c>
      <c r="BT132" s="38" t="str">
        <f t="shared" si="25"/>
        <v>Y</v>
      </c>
      <c r="BU132" s="38" t="str">
        <f t="shared" si="26"/>
        <v>Y</v>
      </c>
      <c r="BV132" s="38" t="str">
        <f t="shared" si="27"/>
        <v>SlidingDecorative DiamondUltra Secua Digital Triple LockYesYes</v>
      </c>
      <c r="BW132" s="38" t="str">
        <f t="shared" si="28"/>
        <v>DDSDYY</v>
      </c>
    </row>
    <row r="133" spans="8:75" ht="14.4">
      <c r="H133"/>
      <c r="I133"/>
      <c r="J133"/>
      <c r="L133"/>
      <c r="BL133" s="38" t="s">
        <v>229</v>
      </c>
      <c r="BM133" s="38" t="s">
        <v>220</v>
      </c>
      <c r="BN133" s="38" t="s">
        <v>383</v>
      </c>
      <c r="BO133" s="38" t="s">
        <v>306</v>
      </c>
      <c r="BP133" s="38" t="s">
        <v>306</v>
      </c>
      <c r="BQ133" s="38" t="str">
        <f t="shared" si="29"/>
        <v>DD</v>
      </c>
      <c r="BR133" s="38" t="str">
        <f t="shared" si="23"/>
        <v>ST</v>
      </c>
      <c r="BS133" s="38" t="str">
        <f t="shared" si="24"/>
        <v>D</v>
      </c>
      <c r="BT133" s="38" t="str">
        <f t="shared" si="25"/>
        <v>Y</v>
      </c>
      <c r="BU133" s="38" t="str">
        <f t="shared" si="26"/>
        <v>Y</v>
      </c>
      <c r="BV133" s="38" t="str">
        <f t="shared" si="27"/>
        <v>StackerDecorative DiamondUltra Secua Digital Triple LockYesYes</v>
      </c>
      <c r="BW133" s="38" t="str">
        <f t="shared" si="28"/>
        <v>DDSTDYY</v>
      </c>
    </row>
    <row r="134" spans="8:75" ht="14.4">
      <c r="H134"/>
      <c r="I134"/>
      <c r="J134"/>
      <c r="L134"/>
      <c r="BL134" s="38" t="s">
        <v>229</v>
      </c>
      <c r="BM134" s="38" t="s">
        <v>178</v>
      </c>
      <c r="BN134" s="38" t="s">
        <v>284</v>
      </c>
      <c r="BO134" s="38" t="s">
        <v>306</v>
      </c>
      <c r="BP134" s="38" t="s">
        <v>306</v>
      </c>
      <c r="BQ134" s="38" t="str">
        <f t="shared" si="29"/>
        <v>DD</v>
      </c>
      <c r="BR134" s="38" t="str">
        <f t="shared" si="23"/>
        <v>H</v>
      </c>
      <c r="BS134" s="38" t="str">
        <f t="shared" si="24"/>
        <v>B</v>
      </c>
      <c r="BT134" s="38" t="str">
        <f t="shared" si="25"/>
        <v>Y</v>
      </c>
      <c r="BU134" s="38" t="str">
        <f t="shared" si="26"/>
        <v>Y</v>
      </c>
      <c r="BV134" s="38" t="str">
        <f t="shared" si="27"/>
        <v>HingedDecorative DiamondBass LatchYesYes</v>
      </c>
      <c r="BW134" s="38" t="str">
        <f t="shared" si="28"/>
        <v>DDHBYY</v>
      </c>
    </row>
    <row r="135" spans="8:75" ht="14.4">
      <c r="H135"/>
      <c r="I135"/>
      <c r="J135"/>
      <c r="L135"/>
      <c r="BL135" s="38" t="s">
        <v>229</v>
      </c>
      <c r="BM135" s="38" t="s">
        <v>179</v>
      </c>
      <c r="BN135" s="38" t="s">
        <v>284</v>
      </c>
      <c r="BO135" s="38" t="s">
        <v>306</v>
      </c>
      <c r="BP135" s="38" t="s">
        <v>306</v>
      </c>
      <c r="BQ135" s="38" t="str">
        <f t="shared" si="29"/>
        <v>DD</v>
      </c>
      <c r="BR135" s="38" t="str">
        <f t="shared" si="23"/>
        <v>S</v>
      </c>
      <c r="BS135" s="38" t="str">
        <f t="shared" si="24"/>
        <v>B</v>
      </c>
      <c r="BT135" s="38" t="str">
        <f t="shared" si="25"/>
        <v>Y</v>
      </c>
      <c r="BU135" s="38" t="str">
        <f t="shared" si="26"/>
        <v>Y</v>
      </c>
      <c r="BV135" s="38" t="str">
        <f t="shared" si="27"/>
        <v>SlidingDecorative DiamondBass LatchYesYes</v>
      </c>
      <c r="BW135" s="38" t="str">
        <f t="shared" si="28"/>
        <v>DDSBYY</v>
      </c>
    </row>
    <row r="136" spans="8:75" ht="14.4">
      <c r="H136"/>
      <c r="I136"/>
      <c r="J136"/>
      <c r="L136"/>
      <c r="BL136" s="38" t="s">
        <v>229</v>
      </c>
      <c r="BM136" s="38" t="s">
        <v>220</v>
      </c>
      <c r="BN136" s="38" t="s">
        <v>284</v>
      </c>
      <c r="BO136" s="38" t="s">
        <v>306</v>
      </c>
      <c r="BP136" s="38" t="s">
        <v>306</v>
      </c>
      <c r="BQ136" s="38" t="str">
        <f t="shared" si="29"/>
        <v>DD</v>
      </c>
      <c r="BR136" s="38" t="str">
        <f t="shared" si="23"/>
        <v>ST</v>
      </c>
      <c r="BS136" s="38" t="str">
        <f t="shared" si="24"/>
        <v>B</v>
      </c>
      <c r="BT136" s="38" t="str">
        <f t="shared" si="25"/>
        <v>Y</v>
      </c>
      <c r="BU136" s="38" t="str">
        <f t="shared" si="26"/>
        <v>Y</v>
      </c>
      <c r="BV136" s="38" t="str">
        <f t="shared" si="27"/>
        <v>StackerDecorative DiamondBass LatchYesYes</v>
      </c>
      <c r="BW136" s="38" t="str">
        <f t="shared" si="28"/>
        <v>DDSTBYY</v>
      </c>
    </row>
    <row r="137" spans="64:75" ht="14.4">
      <c r="BL137" s="38" t="s">
        <v>229</v>
      </c>
      <c r="BM137" s="38" t="s">
        <v>178</v>
      </c>
      <c r="BN137" s="38" t="s">
        <v>279</v>
      </c>
      <c r="BO137" s="38" t="s">
        <v>147</v>
      </c>
      <c r="BQ137" s="38" t="str">
        <f t="shared" si="29"/>
        <v>DD</v>
      </c>
      <c r="BR137" s="38" t="str">
        <f t="shared" si="23"/>
        <v>H</v>
      </c>
      <c r="BS137" s="38" t="str">
        <f t="shared" si="24"/>
        <v>S</v>
      </c>
      <c r="BT137" s="38" t="str">
        <f t="shared" si="25"/>
        <v>N</v>
      </c>
      <c r="BU137" s="38" t="str">
        <f t="shared" si="26"/>
        <v>N</v>
      </c>
      <c r="BV137" s="38" t="str">
        <f t="shared" si="27"/>
        <v>HingedDecorative DiamondSingle LockNo</v>
      </c>
      <c r="BW137" s="38" t="str">
        <f t="shared" si="28"/>
        <v>DDHSNN</v>
      </c>
    </row>
    <row r="138" spans="64:75" ht="14.4">
      <c r="BL138" s="38" t="s">
        <v>229</v>
      </c>
      <c r="BM138" s="38" t="s">
        <v>179</v>
      </c>
      <c r="BN138" s="38" t="s">
        <v>279</v>
      </c>
      <c r="BO138" s="38" t="s">
        <v>147</v>
      </c>
      <c r="BQ138" s="38" t="str">
        <f t="shared" si="29"/>
        <v>DD</v>
      </c>
      <c r="BR138" s="38" t="str">
        <f t="shared" si="23"/>
        <v>S</v>
      </c>
      <c r="BS138" s="38" t="str">
        <f t="shared" si="24"/>
        <v>S</v>
      </c>
      <c r="BT138" s="38" t="str">
        <f t="shared" si="25"/>
        <v>N</v>
      </c>
      <c r="BU138" s="38" t="str">
        <f t="shared" si="26"/>
        <v>N</v>
      </c>
      <c r="BV138" s="38" t="str">
        <f t="shared" si="27"/>
        <v>SlidingDecorative DiamondSingle LockNo</v>
      </c>
      <c r="BW138" s="38" t="str">
        <f t="shared" si="28"/>
        <v>DDSSNN</v>
      </c>
    </row>
    <row r="139" spans="64:75" ht="14.4">
      <c r="BL139" s="38" t="s">
        <v>229</v>
      </c>
      <c r="BM139" s="38" t="s">
        <v>220</v>
      </c>
      <c r="BN139" s="38" t="s">
        <v>279</v>
      </c>
      <c r="BO139" s="38" t="s">
        <v>147</v>
      </c>
      <c r="BQ139" s="38" t="str">
        <f t="shared" si="29"/>
        <v>DD</v>
      </c>
      <c r="BR139" s="38" t="str">
        <f t="shared" si="23"/>
        <v>ST</v>
      </c>
      <c r="BS139" s="38" t="str">
        <f t="shared" si="24"/>
        <v>S</v>
      </c>
      <c r="BT139" s="38" t="str">
        <f t="shared" si="25"/>
        <v>N</v>
      </c>
      <c r="BU139" s="38" t="str">
        <f t="shared" si="26"/>
        <v>N</v>
      </c>
      <c r="BV139" s="38" t="str">
        <f t="shared" si="27"/>
        <v>StackerDecorative DiamondSingle LockNo</v>
      </c>
      <c r="BW139" s="38" t="str">
        <f t="shared" si="28"/>
        <v>DDSTSNN</v>
      </c>
    </row>
    <row r="140" spans="64:75" ht="14.4">
      <c r="BL140" s="38" t="s">
        <v>229</v>
      </c>
      <c r="BM140" s="38" t="s">
        <v>178</v>
      </c>
      <c r="BN140" s="38" t="s">
        <v>275</v>
      </c>
      <c r="BO140" s="38" t="s">
        <v>147</v>
      </c>
      <c r="BQ140" s="38" t="str">
        <f t="shared" si="29"/>
        <v>DD</v>
      </c>
      <c r="BR140" s="38" t="str">
        <f t="shared" si="23"/>
        <v>H</v>
      </c>
      <c r="BS140" s="38" t="str">
        <f t="shared" si="24"/>
        <v>T</v>
      </c>
      <c r="BT140" s="38" t="str">
        <f t="shared" si="25"/>
        <v>N</v>
      </c>
      <c r="BU140" s="38" t="str">
        <f t="shared" si="26"/>
        <v>N</v>
      </c>
      <c r="BV140" s="38" t="str">
        <f t="shared" si="27"/>
        <v>HingedDecorative DiamondTriple LockNo</v>
      </c>
      <c r="BW140" s="38" t="str">
        <f t="shared" si="28"/>
        <v>DDHTNN</v>
      </c>
    </row>
    <row r="141" spans="64:75" ht="14.4">
      <c r="BL141" s="38" t="s">
        <v>229</v>
      </c>
      <c r="BM141" s="38" t="s">
        <v>179</v>
      </c>
      <c r="BN141" s="38" t="s">
        <v>275</v>
      </c>
      <c r="BO141" s="38" t="s">
        <v>147</v>
      </c>
      <c r="BQ141" s="38" t="str">
        <f t="shared" si="29"/>
        <v>DD</v>
      </c>
      <c r="BR141" s="38" t="str">
        <f t="shared" si="23"/>
        <v>S</v>
      </c>
      <c r="BS141" s="38" t="str">
        <f t="shared" si="24"/>
        <v>T</v>
      </c>
      <c r="BT141" s="38" t="str">
        <f t="shared" si="25"/>
        <v>N</v>
      </c>
      <c r="BU141" s="38" t="str">
        <f t="shared" si="26"/>
        <v>N</v>
      </c>
      <c r="BV141" s="38" t="str">
        <f t="shared" si="27"/>
        <v>SlidingDecorative DiamondTriple LockNo</v>
      </c>
      <c r="BW141" s="38" t="str">
        <f t="shared" si="28"/>
        <v>DDSTNN</v>
      </c>
    </row>
    <row r="142" spans="64:75" ht="14.4">
      <c r="BL142" s="38" t="s">
        <v>229</v>
      </c>
      <c r="BM142" s="38" t="s">
        <v>220</v>
      </c>
      <c r="BN142" s="38" t="s">
        <v>275</v>
      </c>
      <c r="BO142" s="38" t="s">
        <v>147</v>
      </c>
      <c r="BQ142" s="38" t="str">
        <f t="shared" si="29"/>
        <v>DD</v>
      </c>
      <c r="BR142" s="38" t="str">
        <f t="shared" si="23"/>
        <v>ST</v>
      </c>
      <c r="BS142" s="38" t="str">
        <f t="shared" si="24"/>
        <v>T</v>
      </c>
      <c r="BT142" s="38" t="str">
        <f t="shared" si="25"/>
        <v>N</v>
      </c>
      <c r="BU142" s="38" t="str">
        <f t="shared" si="26"/>
        <v>N</v>
      </c>
      <c r="BV142" s="38" t="str">
        <f t="shared" si="27"/>
        <v>StackerDecorative DiamondTriple LockNo</v>
      </c>
      <c r="BW142" s="38" t="str">
        <f t="shared" si="28"/>
        <v>DDSTTNN</v>
      </c>
    </row>
    <row r="143" spans="64:75" ht="14.4">
      <c r="BL143" s="38" t="s">
        <v>229</v>
      </c>
      <c r="BM143" s="38" t="s">
        <v>178</v>
      </c>
      <c r="BN143" s="38" t="s">
        <v>410</v>
      </c>
      <c r="BO143" s="38" t="s">
        <v>147</v>
      </c>
      <c r="BQ143" s="38" t="str">
        <f t="shared" si="29"/>
        <v>DD</v>
      </c>
      <c r="BR143" s="38" t="str">
        <f t="shared" si="23"/>
        <v>H</v>
      </c>
      <c r="BS143" s="38" t="str">
        <f t="shared" si="24"/>
        <v>N</v>
      </c>
      <c r="BT143" s="38" t="str">
        <f t="shared" si="25"/>
        <v>N</v>
      </c>
      <c r="BU143" s="38" t="str">
        <f t="shared" si="26"/>
        <v>N</v>
      </c>
      <c r="BV143" s="38" t="str">
        <f t="shared" si="27"/>
        <v>HingedDecorative DiamondNot RequiredNo</v>
      </c>
      <c r="BW143" s="38" t="str">
        <f t="shared" si="28"/>
        <v>DDHNNN</v>
      </c>
    </row>
    <row r="144" spans="64:75" ht="14.4">
      <c r="BL144" s="38" t="s">
        <v>229</v>
      </c>
      <c r="BM144" s="38" t="s">
        <v>179</v>
      </c>
      <c r="BN144" s="38" t="s">
        <v>410</v>
      </c>
      <c r="BO144" s="38" t="s">
        <v>147</v>
      </c>
      <c r="BQ144" s="38" t="str">
        <f t="shared" si="29"/>
        <v>DD</v>
      </c>
      <c r="BR144" s="38" t="str">
        <f t="shared" si="23"/>
        <v>S</v>
      </c>
      <c r="BS144" s="38" t="str">
        <f t="shared" si="24"/>
        <v>N</v>
      </c>
      <c r="BT144" s="38" t="str">
        <f t="shared" si="25"/>
        <v>N</v>
      </c>
      <c r="BU144" s="38" t="str">
        <f t="shared" si="26"/>
        <v>N</v>
      </c>
      <c r="BV144" s="38" t="str">
        <f t="shared" si="27"/>
        <v>SlidingDecorative DiamondNot RequiredNo</v>
      </c>
      <c r="BW144" s="38" t="str">
        <f t="shared" si="28"/>
        <v>DDSNNN</v>
      </c>
    </row>
    <row r="145" spans="64:75" ht="14.4">
      <c r="BL145" s="38" t="s">
        <v>229</v>
      </c>
      <c r="BM145" s="38" t="s">
        <v>220</v>
      </c>
      <c r="BN145" s="38" t="s">
        <v>410</v>
      </c>
      <c r="BO145" s="38" t="s">
        <v>147</v>
      </c>
      <c r="BQ145" s="38" t="str">
        <f t="shared" si="29"/>
        <v>DD</v>
      </c>
      <c r="BR145" s="38" t="str">
        <f t="shared" si="23"/>
        <v>ST</v>
      </c>
      <c r="BS145" s="38" t="str">
        <f t="shared" si="24"/>
        <v>N</v>
      </c>
      <c r="BT145" s="38" t="str">
        <f t="shared" si="25"/>
        <v>N</v>
      </c>
      <c r="BU145" s="38" t="str">
        <f t="shared" si="26"/>
        <v>N</v>
      </c>
      <c r="BV145" s="38" t="str">
        <f t="shared" si="27"/>
        <v>StackerDecorative DiamondNot RequiredNo</v>
      </c>
      <c r="BW145" s="38" t="str">
        <f t="shared" si="28"/>
        <v>DDSTNNN</v>
      </c>
    </row>
    <row r="146" spans="64:75" ht="14.4">
      <c r="BL146" s="38" t="s">
        <v>229</v>
      </c>
      <c r="BM146" s="38" t="s">
        <v>178</v>
      </c>
      <c r="BN146" s="38" t="s">
        <v>383</v>
      </c>
      <c r="BO146" s="38" t="s">
        <v>147</v>
      </c>
      <c r="BQ146" s="38" t="str">
        <f t="shared" si="29"/>
        <v>DD</v>
      </c>
      <c r="BR146" s="38" t="str">
        <f t="shared" si="23"/>
        <v>H</v>
      </c>
      <c r="BS146" s="38" t="str">
        <f t="shared" si="24"/>
        <v>D</v>
      </c>
      <c r="BT146" s="38" t="str">
        <f t="shared" si="25"/>
        <v>N</v>
      </c>
      <c r="BU146" s="38" t="str">
        <f t="shared" si="26"/>
        <v>N</v>
      </c>
      <c r="BV146" s="38" t="str">
        <f t="shared" si="27"/>
        <v>HingedDecorative DiamondUltra Secua Digital Triple LockNo</v>
      </c>
      <c r="BW146" s="38" t="str">
        <f t="shared" si="28"/>
        <v>DDHDNN</v>
      </c>
    </row>
    <row r="147" spans="64:75" ht="14.4">
      <c r="BL147" s="38" t="s">
        <v>229</v>
      </c>
      <c r="BM147" s="38" t="s">
        <v>179</v>
      </c>
      <c r="BN147" s="38" t="s">
        <v>383</v>
      </c>
      <c r="BO147" s="38" t="s">
        <v>147</v>
      </c>
      <c r="BQ147" s="38" t="str">
        <f t="shared" si="29"/>
        <v>DD</v>
      </c>
      <c r="BR147" s="38" t="str">
        <f t="shared" si="23"/>
        <v>S</v>
      </c>
      <c r="BS147" s="38" t="str">
        <f t="shared" si="24"/>
        <v>D</v>
      </c>
      <c r="BT147" s="38" t="str">
        <f t="shared" si="25"/>
        <v>N</v>
      </c>
      <c r="BU147" s="38" t="str">
        <f t="shared" si="26"/>
        <v>N</v>
      </c>
      <c r="BV147" s="38" t="str">
        <f t="shared" si="27"/>
        <v>SlidingDecorative DiamondUltra Secua Digital Triple LockNo</v>
      </c>
      <c r="BW147" s="38" t="str">
        <f t="shared" si="28"/>
        <v>DDSDNN</v>
      </c>
    </row>
    <row r="148" spans="64:75" ht="14.4">
      <c r="BL148" s="38" t="s">
        <v>229</v>
      </c>
      <c r="BM148" s="38" t="s">
        <v>220</v>
      </c>
      <c r="BN148" s="38" t="s">
        <v>383</v>
      </c>
      <c r="BO148" s="38" t="s">
        <v>147</v>
      </c>
      <c r="BQ148" s="38" t="str">
        <f t="shared" si="29"/>
        <v>DD</v>
      </c>
      <c r="BR148" s="38" t="str">
        <f t="shared" si="23"/>
        <v>ST</v>
      </c>
      <c r="BS148" s="38" t="str">
        <f t="shared" si="24"/>
        <v>D</v>
      </c>
      <c r="BT148" s="38" t="str">
        <f t="shared" si="25"/>
        <v>N</v>
      </c>
      <c r="BU148" s="38" t="str">
        <f t="shared" si="26"/>
        <v>N</v>
      </c>
      <c r="BV148" s="38" t="str">
        <f t="shared" si="27"/>
        <v>StackerDecorative DiamondUltra Secua Digital Triple LockNo</v>
      </c>
      <c r="BW148" s="38" t="str">
        <f t="shared" si="28"/>
        <v>DDSTDNN</v>
      </c>
    </row>
    <row r="149" spans="64:75" ht="14.4">
      <c r="BL149" s="38" t="s">
        <v>229</v>
      </c>
      <c r="BM149" s="38" t="s">
        <v>178</v>
      </c>
      <c r="BN149" s="38" t="s">
        <v>284</v>
      </c>
      <c r="BO149" s="38" t="s">
        <v>147</v>
      </c>
      <c r="BQ149" s="38" t="str">
        <f t="shared" si="29"/>
        <v>DD</v>
      </c>
      <c r="BR149" s="38" t="str">
        <f t="shared" si="23"/>
        <v>H</v>
      </c>
      <c r="BS149" s="38" t="str">
        <f t="shared" si="24"/>
        <v>B</v>
      </c>
      <c r="BT149" s="38" t="str">
        <f t="shared" si="25"/>
        <v>N</v>
      </c>
      <c r="BU149" s="38" t="str">
        <f t="shared" si="26"/>
        <v>N</v>
      </c>
      <c r="BV149" s="38" t="str">
        <f t="shared" si="27"/>
        <v>HingedDecorative DiamondBass LatchNo</v>
      </c>
      <c r="BW149" s="38" t="str">
        <f t="shared" si="28"/>
        <v>DDHBNN</v>
      </c>
    </row>
    <row r="150" spans="64:75" ht="14.4">
      <c r="BL150" s="38" t="s">
        <v>229</v>
      </c>
      <c r="BM150" s="38" t="s">
        <v>179</v>
      </c>
      <c r="BN150" s="38" t="s">
        <v>284</v>
      </c>
      <c r="BO150" s="38" t="s">
        <v>147</v>
      </c>
      <c r="BQ150" s="38" t="str">
        <f t="shared" si="29"/>
        <v>DD</v>
      </c>
      <c r="BR150" s="38" t="str">
        <f t="shared" si="23"/>
        <v>S</v>
      </c>
      <c r="BS150" s="38" t="str">
        <f t="shared" si="24"/>
        <v>B</v>
      </c>
      <c r="BT150" s="38" t="str">
        <f t="shared" si="25"/>
        <v>N</v>
      </c>
      <c r="BU150" s="38" t="str">
        <f t="shared" si="26"/>
        <v>N</v>
      </c>
      <c r="BV150" s="38" t="str">
        <f t="shared" si="27"/>
        <v>SlidingDecorative DiamondBass LatchNo</v>
      </c>
      <c r="BW150" s="38" t="str">
        <f t="shared" si="28"/>
        <v>DDSBNN</v>
      </c>
    </row>
    <row r="151" spans="64:75" ht="14.4">
      <c r="BL151" s="38" t="s">
        <v>229</v>
      </c>
      <c r="BM151" s="38" t="s">
        <v>220</v>
      </c>
      <c r="BN151" s="38" t="s">
        <v>284</v>
      </c>
      <c r="BO151" s="38" t="s">
        <v>147</v>
      </c>
      <c r="BQ151" s="38" t="str">
        <f t="shared" si="29"/>
        <v>DD</v>
      </c>
      <c r="BR151" s="38" t="str">
        <f t="shared" si="23"/>
        <v>ST</v>
      </c>
      <c r="BS151" s="38" t="str">
        <f t="shared" si="24"/>
        <v>B</v>
      </c>
      <c r="BT151" s="38" t="str">
        <f t="shared" si="25"/>
        <v>N</v>
      </c>
      <c r="BU151" s="38" t="str">
        <f t="shared" si="26"/>
        <v>N</v>
      </c>
      <c r="BV151" s="38" t="str">
        <f t="shared" si="27"/>
        <v>StackerDecorative DiamondBass LatchNo</v>
      </c>
      <c r="BW151" s="38" t="str">
        <f t="shared" si="28"/>
        <v>DDSTBNN</v>
      </c>
    </row>
    <row r="152" spans="64:75" ht="14.4">
      <c r="BL152" s="38" t="s">
        <v>229</v>
      </c>
      <c r="BM152" s="38" t="s">
        <v>178</v>
      </c>
      <c r="BN152" s="38" t="s">
        <v>279</v>
      </c>
      <c r="BO152" s="38" t="s">
        <v>411</v>
      </c>
      <c r="BQ152" s="38" t="str">
        <f t="shared" si="29"/>
        <v>DD</v>
      </c>
      <c r="BR152" s="38" t="str">
        <f t="shared" si="23"/>
        <v>H</v>
      </c>
      <c r="BS152" s="38" t="str">
        <f t="shared" si="24"/>
        <v>S</v>
      </c>
      <c r="BT152" s="38" t="str">
        <f t="shared" si="25"/>
        <v>Y</v>
      </c>
      <c r="BU152" s="38" t="str">
        <f t="shared" si="26"/>
        <v>N</v>
      </c>
      <c r="BV152" s="38" t="str">
        <f t="shared" si="27"/>
        <v>HingedDecorative DiamondSingle LockYes - Centre</v>
      </c>
      <c r="BW152" s="38" t="str">
        <f t="shared" si="28"/>
        <v>DDHSYN</v>
      </c>
    </row>
    <row r="153" spans="64:75" ht="14.4">
      <c r="BL153" s="38" t="s">
        <v>229</v>
      </c>
      <c r="BM153" s="38" t="s">
        <v>179</v>
      </c>
      <c r="BN153" s="38" t="s">
        <v>279</v>
      </c>
      <c r="BO153" s="38" t="s">
        <v>411</v>
      </c>
      <c r="BQ153" s="38" t="str">
        <f t="shared" si="29"/>
        <v>DD</v>
      </c>
      <c r="BR153" s="38" t="str">
        <f t="shared" si="23"/>
        <v>S</v>
      </c>
      <c r="BS153" s="38" t="str">
        <f t="shared" si="24"/>
        <v>S</v>
      </c>
      <c r="BT153" s="38" t="str">
        <f t="shared" si="25"/>
        <v>Y</v>
      </c>
      <c r="BU153" s="38" t="str">
        <f t="shared" si="26"/>
        <v>N</v>
      </c>
      <c r="BV153" s="38" t="str">
        <f t="shared" si="27"/>
        <v>SlidingDecorative DiamondSingle LockYes - Centre</v>
      </c>
      <c r="BW153" s="38" t="str">
        <f t="shared" si="28"/>
        <v>DDSSYN</v>
      </c>
    </row>
    <row r="154" spans="64:75" ht="14.4">
      <c r="BL154" s="38" t="s">
        <v>229</v>
      </c>
      <c r="BM154" s="38" t="s">
        <v>220</v>
      </c>
      <c r="BN154" s="38" t="s">
        <v>279</v>
      </c>
      <c r="BO154" s="38" t="s">
        <v>411</v>
      </c>
      <c r="BQ154" s="38" t="str">
        <f t="shared" si="29"/>
        <v>DD</v>
      </c>
      <c r="BR154" s="38" t="str">
        <f t="shared" si="23"/>
        <v>ST</v>
      </c>
      <c r="BS154" s="38" t="str">
        <f t="shared" si="24"/>
        <v>S</v>
      </c>
      <c r="BT154" s="38" t="str">
        <f t="shared" si="25"/>
        <v>Y</v>
      </c>
      <c r="BU154" s="38" t="str">
        <f t="shared" si="26"/>
        <v>N</v>
      </c>
      <c r="BV154" s="38" t="str">
        <f t="shared" si="27"/>
        <v>StackerDecorative DiamondSingle LockYes - Centre</v>
      </c>
      <c r="BW154" s="38" t="str">
        <f t="shared" si="28"/>
        <v>DDSTSYN</v>
      </c>
    </row>
    <row r="155" spans="64:75" ht="14.4">
      <c r="BL155" s="38" t="s">
        <v>229</v>
      </c>
      <c r="BM155" s="38" t="s">
        <v>178</v>
      </c>
      <c r="BN155" s="38" t="s">
        <v>275</v>
      </c>
      <c r="BO155" s="38" t="s">
        <v>411</v>
      </c>
      <c r="BQ155" s="38" t="str">
        <f t="shared" si="29"/>
        <v>DD</v>
      </c>
      <c r="BR155" s="38" t="str">
        <f t="shared" si="23"/>
        <v>H</v>
      </c>
      <c r="BS155" s="38" t="str">
        <f t="shared" si="24"/>
        <v>T</v>
      </c>
      <c r="BT155" s="38" t="str">
        <f t="shared" si="25"/>
        <v>Y</v>
      </c>
      <c r="BU155" s="38" t="str">
        <f t="shared" si="26"/>
        <v>N</v>
      </c>
      <c r="BV155" s="38" t="str">
        <f t="shared" si="27"/>
        <v>HingedDecorative DiamondTriple LockYes - Centre</v>
      </c>
      <c r="BW155" s="38" t="str">
        <f t="shared" si="28"/>
        <v>DDHTYN</v>
      </c>
    </row>
    <row r="156" spans="64:75" ht="14.4">
      <c r="BL156" s="38" t="s">
        <v>229</v>
      </c>
      <c r="BM156" s="38" t="s">
        <v>179</v>
      </c>
      <c r="BN156" s="38" t="s">
        <v>275</v>
      </c>
      <c r="BO156" s="38" t="s">
        <v>411</v>
      </c>
      <c r="BQ156" s="38" t="str">
        <f t="shared" si="29"/>
        <v>DD</v>
      </c>
      <c r="BR156" s="38" t="str">
        <f t="shared" si="23"/>
        <v>S</v>
      </c>
      <c r="BS156" s="38" t="str">
        <f t="shared" si="24"/>
        <v>T</v>
      </c>
      <c r="BT156" s="38" t="str">
        <f t="shared" si="25"/>
        <v>Y</v>
      </c>
      <c r="BU156" s="38" t="str">
        <f t="shared" si="26"/>
        <v>N</v>
      </c>
      <c r="BV156" s="38" t="str">
        <f t="shared" si="27"/>
        <v>SlidingDecorative DiamondTriple LockYes - Centre</v>
      </c>
      <c r="BW156" s="38" t="str">
        <f t="shared" si="28"/>
        <v>DDSTYN</v>
      </c>
    </row>
    <row r="157" spans="64:75" ht="14.4">
      <c r="BL157" s="38" t="s">
        <v>229</v>
      </c>
      <c r="BM157" s="38" t="s">
        <v>220</v>
      </c>
      <c r="BN157" s="38" t="s">
        <v>275</v>
      </c>
      <c r="BO157" s="38" t="s">
        <v>411</v>
      </c>
      <c r="BQ157" s="38" t="str">
        <f t="shared" si="29"/>
        <v>DD</v>
      </c>
      <c r="BR157" s="38" t="str">
        <f t="shared" si="23"/>
        <v>ST</v>
      </c>
      <c r="BS157" s="38" t="str">
        <f t="shared" si="24"/>
        <v>T</v>
      </c>
      <c r="BT157" s="38" t="str">
        <f t="shared" si="25"/>
        <v>Y</v>
      </c>
      <c r="BU157" s="38" t="str">
        <f t="shared" si="26"/>
        <v>N</v>
      </c>
      <c r="BV157" s="38" t="str">
        <f t="shared" si="27"/>
        <v>StackerDecorative DiamondTriple LockYes - Centre</v>
      </c>
      <c r="BW157" s="38" t="str">
        <f t="shared" si="28"/>
        <v>DDSTTYN</v>
      </c>
    </row>
    <row r="158" spans="64:75" ht="14.4">
      <c r="BL158" s="38" t="s">
        <v>229</v>
      </c>
      <c r="BM158" s="38" t="s">
        <v>178</v>
      </c>
      <c r="BN158" s="38" t="s">
        <v>410</v>
      </c>
      <c r="BO158" s="38" t="s">
        <v>411</v>
      </c>
      <c r="BQ158" s="38" t="str">
        <f t="shared" si="29"/>
        <v>DD</v>
      </c>
      <c r="BR158" s="38" t="str">
        <f t="shared" si="23"/>
        <v>H</v>
      </c>
      <c r="BS158" s="38" t="str">
        <f t="shared" si="24"/>
        <v>N</v>
      </c>
      <c r="BT158" s="38" t="str">
        <f t="shared" si="25"/>
        <v>Y</v>
      </c>
      <c r="BU158" s="38" t="str">
        <f t="shared" si="26"/>
        <v>N</v>
      </c>
      <c r="BV158" s="38" t="str">
        <f t="shared" si="27"/>
        <v>HingedDecorative DiamondNot RequiredYes - Centre</v>
      </c>
      <c r="BW158" s="38" t="str">
        <f t="shared" si="28"/>
        <v>DDHNYN</v>
      </c>
    </row>
    <row r="159" spans="64:75" ht="14.4">
      <c r="BL159" s="38" t="s">
        <v>229</v>
      </c>
      <c r="BM159" s="38" t="s">
        <v>179</v>
      </c>
      <c r="BN159" s="38" t="s">
        <v>410</v>
      </c>
      <c r="BO159" s="38" t="s">
        <v>411</v>
      </c>
      <c r="BQ159" s="38" t="str">
        <f t="shared" si="29"/>
        <v>DD</v>
      </c>
      <c r="BR159" s="38" t="str">
        <f t="shared" si="23"/>
        <v>S</v>
      </c>
      <c r="BS159" s="38" t="str">
        <f t="shared" si="24"/>
        <v>N</v>
      </c>
      <c r="BT159" s="38" t="str">
        <f t="shared" si="25"/>
        <v>Y</v>
      </c>
      <c r="BU159" s="38" t="str">
        <f t="shared" si="26"/>
        <v>N</v>
      </c>
      <c r="BV159" s="38" t="str">
        <f t="shared" si="27"/>
        <v>SlidingDecorative DiamondNot RequiredYes - Centre</v>
      </c>
      <c r="BW159" s="38" t="str">
        <f t="shared" si="28"/>
        <v>DDSNYN</v>
      </c>
    </row>
    <row r="160" spans="64:75" ht="14.4">
      <c r="BL160" s="38" t="s">
        <v>229</v>
      </c>
      <c r="BM160" s="38" t="s">
        <v>220</v>
      </c>
      <c r="BN160" s="38" t="s">
        <v>410</v>
      </c>
      <c r="BO160" s="38" t="s">
        <v>411</v>
      </c>
      <c r="BQ160" s="38" t="str">
        <f t="shared" si="29"/>
        <v>DD</v>
      </c>
      <c r="BR160" s="38" t="str">
        <f t="shared" si="23"/>
        <v>ST</v>
      </c>
      <c r="BS160" s="38" t="str">
        <f t="shared" si="24"/>
        <v>N</v>
      </c>
      <c r="BT160" s="38" t="str">
        <f t="shared" si="25"/>
        <v>Y</v>
      </c>
      <c r="BU160" s="38" t="str">
        <f t="shared" si="26"/>
        <v>N</v>
      </c>
      <c r="BV160" s="38" t="str">
        <f t="shared" si="27"/>
        <v>StackerDecorative DiamondNot RequiredYes - Centre</v>
      </c>
      <c r="BW160" s="38" t="str">
        <f t="shared" si="28"/>
        <v>DDSTNYN</v>
      </c>
    </row>
    <row r="161" spans="64:75" ht="14.4">
      <c r="BL161" s="38" t="s">
        <v>229</v>
      </c>
      <c r="BM161" s="38" t="s">
        <v>178</v>
      </c>
      <c r="BN161" s="38" t="s">
        <v>383</v>
      </c>
      <c r="BO161" s="38" t="s">
        <v>411</v>
      </c>
      <c r="BQ161" s="38" t="str">
        <f t="shared" si="29"/>
        <v>DD</v>
      </c>
      <c r="BR161" s="38" t="str">
        <f t="shared" si="23"/>
        <v>H</v>
      </c>
      <c r="BS161" s="38" t="str">
        <f t="shared" si="24"/>
        <v>D</v>
      </c>
      <c r="BT161" s="38" t="str">
        <f t="shared" si="25"/>
        <v>Y</v>
      </c>
      <c r="BU161" s="38" t="str">
        <f t="shared" si="26"/>
        <v>N</v>
      </c>
      <c r="BV161" s="38" t="str">
        <f t="shared" si="27"/>
        <v>HingedDecorative DiamondUltra Secua Digital Triple LockYes - Centre</v>
      </c>
      <c r="BW161" s="38" t="str">
        <f t="shared" si="28"/>
        <v>DDHDYN</v>
      </c>
    </row>
    <row r="162" spans="64:75" ht="14.4">
      <c r="BL162" s="38" t="s">
        <v>229</v>
      </c>
      <c r="BM162" s="38" t="s">
        <v>179</v>
      </c>
      <c r="BN162" s="38" t="s">
        <v>383</v>
      </c>
      <c r="BO162" s="38" t="s">
        <v>411</v>
      </c>
      <c r="BQ162" s="38" t="str">
        <f t="shared" si="29"/>
        <v>DD</v>
      </c>
      <c r="BR162" s="38" t="str">
        <f t="shared" si="23"/>
        <v>S</v>
      </c>
      <c r="BS162" s="38" t="str">
        <f t="shared" si="24"/>
        <v>D</v>
      </c>
      <c r="BT162" s="38" t="str">
        <f t="shared" si="25"/>
        <v>Y</v>
      </c>
      <c r="BU162" s="38" t="str">
        <f t="shared" si="26"/>
        <v>N</v>
      </c>
      <c r="BV162" s="38" t="str">
        <f t="shared" si="27"/>
        <v>SlidingDecorative DiamondUltra Secua Digital Triple LockYes - Centre</v>
      </c>
      <c r="BW162" s="38" t="str">
        <f t="shared" si="28"/>
        <v>DDSDYN</v>
      </c>
    </row>
    <row r="163" spans="64:75" ht="14.4">
      <c r="BL163" s="38" t="s">
        <v>229</v>
      </c>
      <c r="BM163" s="38" t="s">
        <v>220</v>
      </c>
      <c r="BN163" s="38" t="s">
        <v>383</v>
      </c>
      <c r="BO163" s="38" t="s">
        <v>411</v>
      </c>
      <c r="BQ163" s="38" t="str">
        <f t="shared" si="29"/>
        <v>DD</v>
      </c>
      <c r="BR163" s="38" t="str">
        <f t="shared" si="23"/>
        <v>ST</v>
      </c>
      <c r="BS163" s="38" t="str">
        <f t="shared" si="24"/>
        <v>D</v>
      </c>
      <c r="BT163" s="38" t="str">
        <f t="shared" si="25"/>
        <v>Y</v>
      </c>
      <c r="BU163" s="38" t="str">
        <f t="shared" si="26"/>
        <v>N</v>
      </c>
      <c r="BV163" s="38" t="str">
        <f t="shared" si="27"/>
        <v>StackerDecorative DiamondUltra Secua Digital Triple LockYes - Centre</v>
      </c>
      <c r="BW163" s="38" t="str">
        <f t="shared" si="28"/>
        <v>DDSTDYN</v>
      </c>
    </row>
    <row r="164" spans="64:75" ht="14.4">
      <c r="BL164" s="38" t="s">
        <v>229</v>
      </c>
      <c r="BM164" s="38" t="s">
        <v>178</v>
      </c>
      <c r="BN164" s="38" t="s">
        <v>284</v>
      </c>
      <c r="BO164" s="38" t="s">
        <v>411</v>
      </c>
      <c r="BQ164" s="38" t="str">
        <f t="shared" si="29"/>
        <v>DD</v>
      </c>
      <c r="BR164" s="38" t="str">
        <f t="shared" si="23"/>
        <v>H</v>
      </c>
      <c r="BS164" s="38" t="str">
        <f t="shared" si="24"/>
        <v>B</v>
      </c>
      <c r="BT164" s="38" t="str">
        <f t="shared" si="25"/>
        <v>Y</v>
      </c>
      <c r="BU164" s="38" t="str">
        <f t="shared" si="26"/>
        <v>N</v>
      </c>
      <c r="BV164" s="38" t="str">
        <f t="shared" si="27"/>
        <v>HingedDecorative DiamondBass LatchYes - Centre</v>
      </c>
      <c r="BW164" s="38" t="str">
        <f t="shared" si="28"/>
        <v>DDHBYN</v>
      </c>
    </row>
    <row r="165" spans="64:75" ht="14.4">
      <c r="BL165" s="38" t="s">
        <v>229</v>
      </c>
      <c r="BM165" s="38" t="s">
        <v>179</v>
      </c>
      <c r="BN165" s="38" t="s">
        <v>284</v>
      </c>
      <c r="BO165" s="38" t="s">
        <v>411</v>
      </c>
      <c r="BQ165" s="38" t="str">
        <f t="shared" si="29"/>
        <v>DD</v>
      </c>
      <c r="BR165" s="38" t="str">
        <f t="shared" si="23"/>
        <v>S</v>
      </c>
      <c r="BS165" s="38" t="str">
        <f t="shared" si="24"/>
        <v>B</v>
      </c>
      <c r="BT165" s="38" t="str">
        <f t="shared" si="25"/>
        <v>Y</v>
      </c>
      <c r="BU165" s="38" t="str">
        <f t="shared" si="26"/>
        <v>N</v>
      </c>
      <c r="BV165" s="38" t="str">
        <f t="shared" si="27"/>
        <v>SlidingDecorative DiamondBass LatchYes - Centre</v>
      </c>
      <c r="BW165" s="38" t="str">
        <f t="shared" si="28"/>
        <v>DDSBYN</v>
      </c>
    </row>
    <row r="166" spans="64:75" ht="14.4">
      <c r="BL166" s="38" t="s">
        <v>229</v>
      </c>
      <c r="BM166" s="38" t="s">
        <v>220</v>
      </c>
      <c r="BN166" s="38" t="s">
        <v>284</v>
      </c>
      <c r="BO166" s="38" t="s">
        <v>411</v>
      </c>
      <c r="BQ166" s="38" t="str">
        <f t="shared" si="29"/>
        <v>DD</v>
      </c>
      <c r="BR166" s="38" t="str">
        <f t="shared" si="23"/>
        <v>ST</v>
      </c>
      <c r="BS166" s="38" t="str">
        <f t="shared" si="24"/>
        <v>B</v>
      </c>
      <c r="BT166" s="38" t="str">
        <f t="shared" si="25"/>
        <v>Y</v>
      </c>
      <c r="BU166" s="38" t="str">
        <f t="shared" si="26"/>
        <v>N</v>
      </c>
      <c r="BV166" s="38" t="str">
        <f t="shared" si="27"/>
        <v>StackerDecorative DiamondBass LatchYes - Centre</v>
      </c>
      <c r="BW166" s="38" t="str">
        <f t="shared" si="28"/>
        <v>DDSTBYN</v>
      </c>
    </row>
    <row r="167" spans="64:75" ht="14.4">
      <c r="BL167" s="38" t="s">
        <v>229</v>
      </c>
      <c r="BM167" s="38" t="s">
        <v>178</v>
      </c>
      <c r="BN167" s="38" t="s">
        <v>279</v>
      </c>
      <c r="BO167" s="38" t="s">
        <v>306</v>
      </c>
      <c r="BQ167" s="38" t="str">
        <f t="shared" si="29"/>
        <v>DD</v>
      </c>
      <c r="BR167" s="38" t="str">
        <f t="shared" si="23"/>
        <v>H</v>
      </c>
      <c r="BS167" s="38" t="str">
        <f t="shared" si="24"/>
        <v>S</v>
      </c>
      <c r="BT167" s="38" t="str">
        <f t="shared" si="25"/>
        <v>Y</v>
      </c>
      <c r="BU167" s="38" t="str">
        <f t="shared" si="26"/>
        <v>N</v>
      </c>
      <c r="BV167" s="38" t="str">
        <f t="shared" si="27"/>
        <v>HingedDecorative DiamondSingle LockYes</v>
      </c>
      <c r="BW167" s="38" t="str">
        <f t="shared" si="28"/>
        <v>DDHSYN</v>
      </c>
    </row>
    <row r="168" spans="64:75" ht="14.4">
      <c r="BL168" s="38" t="s">
        <v>229</v>
      </c>
      <c r="BM168" s="38" t="s">
        <v>179</v>
      </c>
      <c r="BN168" s="38" t="s">
        <v>279</v>
      </c>
      <c r="BO168" s="38" t="s">
        <v>306</v>
      </c>
      <c r="BQ168" s="38" t="str">
        <f t="shared" si="29"/>
        <v>DD</v>
      </c>
      <c r="BR168" s="38" t="str">
        <f t="shared" si="23"/>
        <v>S</v>
      </c>
      <c r="BS168" s="38" t="str">
        <f t="shared" si="24"/>
        <v>S</v>
      </c>
      <c r="BT168" s="38" t="str">
        <f t="shared" si="25"/>
        <v>Y</v>
      </c>
      <c r="BU168" s="38" t="str">
        <f t="shared" si="26"/>
        <v>N</v>
      </c>
      <c r="BV168" s="38" t="str">
        <f t="shared" si="27"/>
        <v>SlidingDecorative DiamondSingle LockYes</v>
      </c>
      <c r="BW168" s="38" t="str">
        <f t="shared" si="28"/>
        <v>DDSSYN</v>
      </c>
    </row>
    <row r="169" spans="64:75" ht="14.4">
      <c r="BL169" s="38" t="s">
        <v>229</v>
      </c>
      <c r="BM169" s="38" t="s">
        <v>220</v>
      </c>
      <c r="BN169" s="38" t="s">
        <v>279</v>
      </c>
      <c r="BO169" s="38" t="s">
        <v>306</v>
      </c>
      <c r="BQ169" s="38" t="str">
        <f t="shared" si="29"/>
        <v>DD</v>
      </c>
      <c r="BR169" s="38" t="str">
        <f t="shared" si="23"/>
        <v>ST</v>
      </c>
      <c r="BS169" s="38" t="str">
        <f t="shared" si="24"/>
        <v>S</v>
      </c>
      <c r="BT169" s="38" t="str">
        <f t="shared" si="25"/>
        <v>Y</v>
      </c>
      <c r="BU169" s="38" t="str">
        <f t="shared" si="26"/>
        <v>N</v>
      </c>
      <c r="BV169" s="38" t="str">
        <f t="shared" si="27"/>
        <v>StackerDecorative DiamondSingle LockYes</v>
      </c>
      <c r="BW169" s="38" t="str">
        <f t="shared" si="28"/>
        <v>DDSTSYN</v>
      </c>
    </row>
    <row r="170" spans="64:75" ht="14.4">
      <c r="BL170" s="38" t="s">
        <v>229</v>
      </c>
      <c r="BM170" s="38" t="s">
        <v>178</v>
      </c>
      <c r="BN170" s="38" t="s">
        <v>275</v>
      </c>
      <c r="BO170" s="38" t="s">
        <v>306</v>
      </c>
      <c r="BQ170" s="38" t="str">
        <f t="shared" si="29"/>
        <v>DD</v>
      </c>
      <c r="BR170" s="38" t="str">
        <f t="shared" si="23"/>
        <v>H</v>
      </c>
      <c r="BS170" s="38" t="str">
        <f t="shared" si="24"/>
        <v>T</v>
      </c>
      <c r="BT170" s="38" t="str">
        <f t="shared" si="25"/>
        <v>Y</v>
      </c>
      <c r="BU170" s="38" t="str">
        <f t="shared" si="26"/>
        <v>N</v>
      </c>
      <c r="BV170" s="38" t="str">
        <f t="shared" si="27"/>
        <v>HingedDecorative DiamondTriple LockYes</v>
      </c>
      <c r="BW170" s="38" t="str">
        <f t="shared" si="28"/>
        <v>DDHTYN</v>
      </c>
    </row>
    <row r="171" spans="64:75" ht="14.4">
      <c r="BL171" s="38" t="s">
        <v>229</v>
      </c>
      <c r="BM171" s="38" t="s">
        <v>179</v>
      </c>
      <c r="BN171" s="38" t="s">
        <v>275</v>
      </c>
      <c r="BO171" s="38" t="s">
        <v>306</v>
      </c>
      <c r="BQ171" s="38" t="str">
        <f t="shared" si="29"/>
        <v>DD</v>
      </c>
      <c r="BR171" s="38" t="str">
        <f t="shared" si="23"/>
        <v>S</v>
      </c>
      <c r="BS171" s="38" t="str">
        <f t="shared" si="24"/>
        <v>T</v>
      </c>
      <c r="BT171" s="38" t="str">
        <f t="shared" si="25"/>
        <v>Y</v>
      </c>
      <c r="BU171" s="38" t="str">
        <f t="shared" si="26"/>
        <v>N</v>
      </c>
      <c r="BV171" s="38" t="str">
        <f t="shared" si="27"/>
        <v>SlidingDecorative DiamondTriple LockYes</v>
      </c>
      <c r="BW171" s="38" t="str">
        <f t="shared" si="28"/>
        <v>DDSTYN</v>
      </c>
    </row>
    <row r="172" spans="64:75" ht="14.4">
      <c r="BL172" s="38" t="s">
        <v>229</v>
      </c>
      <c r="BM172" s="38" t="s">
        <v>220</v>
      </c>
      <c r="BN172" s="38" t="s">
        <v>275</v>
      </c>
      <c r="BO172" s="38" t="s">
        <v>306</v>
      </c>
      <c r="BQ172" s="38" t="str">
        <f t="shared" si="29"/>
        <v>DD</v>
      </c>
      <c r="BR172" s="38" t="str">
        <f t="shared" si="23"/>
        <v>ST</v>
      </c>
      <c r="BS172" s="38" t="str">
        <f t="shared" si="24"/>
        <v>T</v>
      </c>
      <c r="BT172" s="38" t="str">
        <f t="shared" si="25"/>
        <v>Y</v>
      </c>
      <c r="BU172" s="38" t="str">
        <f t="shared" si="26"/>
        <v>N</v>
      </c>
      <c r="BV172" s="38" t="str">
        <f t="shared" si="27"/>
        <v>StackerDecorative DiamondTriple LockYes</v>
      </c>
      <c r="BW172" s="38" t="str">
        <f t="shared" si="28"/>
        <v>DDSTTYN</v>
      </c>
    </row>
    <row r="173" spans="64:75" ht="14.4">
      <c r="BL173" s="38" t="s">
        <v>229</v>
      </c>
      <c r="BM173" s="38" t="s">
        <v>178</v>
      </c>
      <c r="BN173" s="38" t="s">
        <v>410</v>
      </c>
      <c r="BO173" s="38" t="s">
        <v>306</v>
      </c>
      <c r="BQ173" s="38" t="str">
        <f t="shared" si="29"/>
        <v>DD</v>
      </c>
      <c r="BR173" s="38" t="str">
        <f t="shared" si="23"/>
        <v>H</v>
      </c>
      <c r="BS173" s="38" t="str">
        <f t="shared" si="24"/>
        <v>N</v>
      </c>
      <c r="BT173" s="38" t="str">
        <f t="shared" si="25"/>
        <v>Y</v>
      </c>
      <c r="BU173" s="38" t="str">
        <f t="shared" si="26"/>
        <v>N</v>
      </c>
      <c r="BV173" s="38" t="str">
        <f t="shared" si="27"/>
        <v>HingedDecorative DiamondNot RequiredYes</v>
      </c>
      <c r="BW173" s="38" t="str">
        <f t="shared" si="28"/>
        <v>DDHNYN</v>
      </c>
    </row>
    <row r="174" spans="64:75" ht="14.4">
      <c r="BL174" s="38" t="s">
        <v>229</v>
      </c>
      <c r="BM174" s="38" t="s">
        <v>179</v>
      </c>
      <c r="BN174" s="38" t="s">
        <v>410</v>
      </c>
      <c r="BO174" s="38" t="s">
        <v>306</v>
      </c>
      <c r="BQ174" s="38" t="str">
        <f t="shared" si="29"/>
        <v>DD</v>
      </c>
      <c r="BR174" s="38" t="str">
        <f t="shared" si="23"/>
        <v>S</v>
      </c>
      <c r="BS174" s="38" t="str">
        <f t="shared" si="24"/>
        <v>N</v>
      </c>
      <c r="BT174" s="38" t="str">
        <f t="shared" si="25"/>
        <v>Y</v>
      </c>
      <c r="BU174" s="38" t="str">
        <f t="shared" si="26"/>
        <v>N</v>
      </c>
      <c r="BV174" s="38" t="str">
        <f t="shared" si="27"/>
        <v>SlidingDecorative DiamondNot RequiredYes</v>
      </c>
      <c r="BW174" s="38" t="str">
        <f t="shared" si="28"/>
        <v>DDSNYN</v>
      </c>
    </row>
    <row r="175" spans="64:75" ht="14.4">
      <c r="BL175" s="38" t="s">
        <v>229</v>
      </c>
      <c r="BM175" s="38" t="s">
        <v>220</v>
      </c>
      <c r="BN175" s="38" t="s">
        <v>410</v>
      </c>
      <c r="BO175" s="38" t="s">
        <v>306</v>
      </c>
      <c r="BQ175" s="38" t="str">
        <f t="shared" si="29"/>
        <v>DD</v>
      </c>
      <c r="BR175" s="38" t="str">
        <f t="shared" si="23"/>
        <v>ST</v>
      </c>
      <c r="BS175" s="38" t="str">
        <f t="shared" si="24"/>
        <v>N</v>
      </c>
      <c r="BT175" s="38" t="str">
        <f t="shared" si="25"/>
        <v>Y</v>
      </c>
      <c r="BU175" s="38" t="str">
        <f t="shared" si="26"/>
        <v>N</v>
      </c>
      <c r="BV175" s="38" t="str">
        <f t="shared" si="27"/>
        <v>StackerDecorative DiamondNot RequiredYes</v>
      </c>
      <c r="BW175" s="38" t="str">
        <f t="shared" si="28"/>
        <v>DDSTNYN</v>
      </c>
    </row>
    <row r="176" spans="64:75" ht="14.4">
      <c r="BL176" s="38" t="s">
        <v>229</v>
      </c>
      <c r="BM176" s="38" t="s">
        <v>178</v>
      </c>
      <c r="BN176" s="38" t="s">
        <v>383</v>
      </c>
      <c r="BO176" s="38" t="s">
        <v>306</v>
      </c>
      <c r="BQ176" s="38" t="str">
        <f t="shared" si="29"/>
        <v>DD</v>
      </c>
      <c r="BR176" s="38" t="str">
        <f t="shared" si="23"/>
        <v>H</v>
      </c>
      <c r="BS176" s="38" t="str">
        <f t="shared" si="24"/>
        <v>D</v>
      </c>
      <c r="BT176" s="38" t="str">
        <f t="shared" si="25"/>
        <v>Y</v>
      </c>
      <c r="BU176" s="38" t="str">
        <f t="shared" si="26"/>
        <v>N</v>
      </c>
      <c r="BV176" s="38" t="str">
        <f t="shared" si="27"/>
        <v>HingedDecorative DiamondUltra Secua Digital Triple LockYes</v>
      </c>
      <c r="BW176" s="38" t="str">
        <f t="shared" si="28"/>
        <v>DDHDYN</v>
      </c>
    </row>
    <row r="177" spans="64:75" ht="14.4">
      <c r="BL177" s="38" t="s">
        <v>229</v>
      </c>
      <c r="BM177" s="38" t="s">
        <v>179</v>
      </c>
      <c r="BN177" s="38" t="s">
        <v>383</v>
      </c>
      <c r="BO177" s="38" t="s">
        <v>306</v>
      </c>
      <c r="BQ177" s="38" t="str">
        <f t="shared" si="29"/>
        <v>DD</v>
      </c>
      <c r="BR177" s="38" t="str">
        <f t="shared" si="23"/>
        <v>S</v>
      </c>
      <c r="BS177" s="38" t="str">
        <f t="shared" si="24"/>
        <v>D</v>
      </c>
      <c r="BT177" s="38" t="str">
        <f t="shared" si="25"/>
        <v>Y</v>
      </c>
      <c r="BU177" s="38" t="str">
        <f t="shared" si="26"/>
        <v>N</v>
      </c>
      <c r="BV177" s="38" t="str">
        <f t="shared" si="27"/>
        <v>SlidingDecorative DiamondUltra Secua Digital Triple LockYes</v>
      </c>
      <c r="BW177" s="38" t="str">
        <f t="shared" si="28"/>
        <v>DDSDYN</v>
      </c>
    </row>
    <row r="178" spans="64:75" ht="14.4">
      <c r="BL178" s="38" t="s">
        <v>229</v>
      </c>
      <c r="BM178" s="38" t="s">
        <v>220</v>
      </c>
      <c r="BN178" s="38" t="s">
        <v>383</v>
      </c>
      <c r="BO178" s="38" t="s">
        <v>306</v>
      </c>
      <c r="BQ178" s="38" t="str">
        <f t="shared" si="29"/>
        <v>DD</v>
      </c>
      <c r="BR178" s="38" t="str">
        <f t="shared" si="23"/>
        <v>ST</v>
      </c>
      <c r="BS178" s="38" t="str">
        <f t="shared" si="24"/>
        <v>D</v>
      </c>
      <c r="BT178" s="38" t="str">
        <f t="shared" si="25"/>
        <v>Y</v>
      </c>
      <c r="BU178" s="38" t="str">
        <f t="shared" si="26"/>
        <v>N</v>
      </c>
      <c r="BV178" s="38" t="str">
        <f t="shared" si="27"/>
        <v>StackerDecorative DiamondUltra Secua Digital Triple LockYes</v>
      </c>
      <c r="BW178" s="38" t="str">
        <f t="shared" si="28"/>
        <v>DDSTDYN</v>
      </c>
    </row>
    <row r="179" spans="64:75" ht="14.4">
      <c r="BL179" s="38" t="s">
        <v>229</v>
      </c>
      <c r="BM179" s="38" t="s">
        <v>178</v>
      </c>
      <c r="BN179" s="38" t="s">
        <v>284</v>
      </c>
      <c r="BO179" s="38" t="s">
        <v>306</v>
      </c>
      <c r="BQ179" s="38" t="str">
        <f t="shared" si="29"/>
        <v>DD</v>
      </c>
      <c r="BR179" s="38" t="str">
        <f t="shared" si="23"/>
        <v>H</v>
      </c>
      <c r="BS179" s="38" t="str">
        <f t="shared" si="24"/>
        <v>B</v>
      </c>
      <c r="BT179" s="38" t="str">
        <f t="shared" si="25"/>
        <v>Y</v>
      </c>
      <c r="BU179" s="38" t="str">
        <f t="shared" si="26"/>
        <v>N</v>
      </c>
      <c r="BV179" s="38" t="str">
        <f t="shared" si="27"/>
        <v>HingedDecorative DiamondBass LatchYes</v>
      </c>
      <c r="BW179" s="38" t="str">
        <f t="shared" si="28"/>
        <v>DDHBYN</v>
      </c>
    </row>
    <row r="180" spans="64:75" ht="14.4">
      <c r="BL180" s="38" t="s">
        <v>229</v>
      </c>
      <c r="BM180" s="38" t="s">
        <v>179</v>
      </c>
      <c r="BN180" s="38" t="s">
        <v>284</v>
      </c>
      <c r="BO180" s="38" t="s">
        <v>306</v>
      </c>
      <c r="BQ180" s="38" t="str">
        <f t="shared" si="29"/>
        <v>DD</v>
      </c>
      <c r="BR180" s="38" t="str">
        <f t="shared" si="23"/>
        <v>S</v>
      </c>
      <c r="BS180" s="38" t="str">
        <f t="shared" si="24"/>
        <v>B</v>
      </c>
      <c r="BT180" s="38" t="str">
        <f t="shared" si="25"/>
        <v>Y</v>
      </c>
      <c r="BU180" s="38" t="str">
        <f t="shared" si="26"/>
        <v>N</v>
      </c>
      <c r="BV180" s="38" t="str">
        <f t="shared" si="27"/>
        <v>SlidingDecorative DiamondBass LatchYes</v>
      </c>
      <c r="BW180" s="38" t="str">
        <f t="shared" si="28"/>
        <v>DDSBYN</v>
      </c>
    </row>
    <row r="181" spans="64:75" ht="14.4">
      <c r="BL181" s="38" t="s">
        <v>229</v>
      </c>
      <c r="BM181" s="38" t="s">
        <v>220</v>
      </c>
      <c r="BN181" s="38" t="s">
        <v>284</v>
      </c>
      <c r="BO181" s="38" t="s">
        <v>306</v>
      </c>
      <c r="BQ181" s="38" t="str">
        <f t="shared" si="29"/>
        <v>DD</v>
      </c>
      <c r="BR181" s="38" t="str">
        <f t="shared" si="23"/>
        <v>ST</v>
      </c>
      <c r="BS181" s="38" t="str">
        <f t="shared" si="24"/>
        <v>B</v>
      </c>
      <c r="BT181" s="38" t="str">
        <f t="shared" si="25"/>
        <v>Y</v>
      </c>
      <c r="BU181" s="38" t="str">
        <f t="shared" si="26"/>
        <v>N</v>
      </c>
      <c r="BV181" s="38" t="str">
        <f t="shared" si="27"/>
        <v>StackerDecorative DiamondBass LatchYes</v>
      </c>
      <c r="BW181" s="38" t="str">
        <f t="shared" si="28"/>
        <v>DDSTBYN</v>
      </c>
    </row>
    <row r="182" spans="64:75" ht="14.4">
      <c r="BL182" s="38" t="s">
        <v>231</v>
      </c>
      <c r="BM182" s="38" t="s">
        <v>178</v>
      </c>
      <c r="BN182" s="38" t="s">
        <v>279</v>
      </c>
      <c r="BO182" s="38" t="s">
        <v>147</v>
      </c>
      <c r="BP182" s="38" t="s">
        <v>306</v>
      </c>
      <c r="BQ182" s="38" t="str">
        <f t="shared" si="29"/>
        <v>PG</v>
      </c>
      <c r="BR182" s="38" t="str">
        <f t="shared" si="23"/>
        <v>H</v>
      </c>
      <c r="BS182" s="38" t="str">
        <f t="shared" si="24"/>
        <v>S</v>
      </c>
      <c r="BT182" s="38" t="str">
        <f t="shared" si="25"/>
        <v>N</v>
      </c>
      <c r="BU182" s="38" t="str">
        <f t="shared" si="26"/>
        <v>Y</v>
      </c>
      <c r="BV182" s="38" t="str">
        <f t="shared" si="27"/>
        <v>HingedPrivacy-GardSingle LockNoYes</v>
      </c>
      <c r="BW182" s="38" t="str">
        <f t="shared" si="28"/>
        <v>PGHSNY</v>
      </c>
    </row>
    <row r="183" spans="64:75" ht="14.4">
      <c r="BL183" s="38" t="s">
        <v>231</v>
      </c>
      <c r="BM183" s="38" t="s">
        <v>179</v>
      </c>
      <c r="BN183" s="38" t="s">
        <v>279</v>
      </c>
      <c r="BO183" s="38" t="s">
        <v>147</v>
      </c>
      <c r="BP183" s="38" t="s">
        <v>306</v>
      </c>
      <c r="BQ183" s="38" t="str">
        <f t="shared" si="29"/>
        <v>PG</v>
      </c>
      <c r="BR183" s="38" t="str">
        <f t="shared" si="23"/>
        <v>S</v>
      </c>
      <c r="BS183" s="38" t="str">
        <f t="shared" si="24"/>
        <v>S</v>
      </c>
      <c r="BT183" s="38" t="str">
        <f t="shared" si="25"/>
        <v>N</v>
      </c>
      <c r="BU183" s="38" t="str">
        <f t="shared" si="26"/>
        <v>Y</v>
      </c>
      <c r="BV183" s="38" t="str">
        <f t="shared" si="27"/>
        <v>SlidingPrivacy-GardSingle LockNoYes</v>
      </c>
      <c r="BW183" s="38" t="str">
        <f t="shared" si="28"/>
        <v>PGSSNY</v>
      </c>
    </row>
    <row r="184" spans="64:75" ht="14.4">
      <c r="BL184" s="38" t="s">
        <v>231</v>
      </c>
      <c r="BM184" s="38" t="s">
        <v>220</v>
      </c>
      <c r="BN184" s="38" t="s">
        <v>279</v>
      </c>
      <c r="BO184" s="38" t="s">
        <v>147</v>
      </c>
      <c r="BP184" s="38" t="s">
        <v>306</v>
      </c>
      <c r="BQ184" s="38" t="str">
        <f t="shared" si="29"/>
        <v>PG</v>
      </c>
      <c r="BR184" s="38" t="str">
        <f t="shared" si="23"/>
        <v>ST</v>
      </c>
      <c r="BS184" s="38" t="str">
        <f t="shared" si="24"/>
        <v>S</v>
      </c>
      <c r="BT184" s="38" t="str">
        <f t="shared" si="25"/>
        <v>N</v>
      </c>
      <c r="BU184" s="38" t="str">
        <f t="shared" si="26"/>
        <v>Y</v>
      </c>
      <c r="BV184" s="38" t="str">
        <f t="shared" si="27"/>
        <v>StackerPrivacy-GardSingle LockNoYes</v>
      </c>
      <c r="BW184" s="38" t="str">
        <f t="shared" si="28"/>
        <v>PGSTSNY</v>
      </c>
    </row>
    <row r="185" spans="64:75" ht="14.4">
      <c r="BL185" s="38" t="s">
        <v>231</v>
      </c>
      <c r="BM185" s="38" t="s">
        <v>178</v>
      </c>
      <c r="BN185" s="38" t="s">
        <v>275</v>
      </c>
      <c r="BO185" s="38" t="s">
        <v>147</v>
      </c>
      <c r="BP185" s="38" t="s">
        <v>306</v>
      </c>
      <c r="BQ185" s="38" t="str">
        <f t="shared" si="29"/>
        <v>PG</v>
      </c>
      <c r="BR185" s="38" t="str">
        <f t="shared" si="23"/>
        <v>H</v>
      </c>
      <c r="BS185" s="38" t="str">
        <f t="shared" si="24"/>
        <v>T</v>
      </c>
      <c r="BT185" s="38" t="str">
        <f t="shared" si="25"/>
        <v>N</v>
      </c>
      <c r="BU185" s="38" t="str">
        <f t="shared" si="26"/>
        <v>Y</v>
      </c>
      <c r="BV185" s="38" t="str">
        <f t="shared" si="27"/>
        <v>HingedPrivacy-GardTriple LockNoYes</v>
      </c>
      <c r="BW185" s="38" t="str">
        <f t="shared" si="28"/>
        <v>PGHTNY</v>
      </c>
    </row>
    <row r="186" spans="64:75" ht="14.4">
      <c r="BL186" s="38" t="s">
        <v>231</v>
      </c>
      <c r="BM186" s="38" t="s">
        <v>179</v>
      </c>
      <c r="BN186" s="38" t="s">
        <v>275</v>
      </c>
      <c r="BO186" s="38" t="s">
        <v>147</v>
      </c>
      <c r="BP186" s="38" t="s">
        <v>306</v>
      </c>
      <c r="BQ186" s="38" t="str">
        <f t="shared" si="29"/>
        <v>PG</v>
      </c>
      <c r="BR186" s="38" t="str">
        <f t="shared" si="23"/>
        <v>S</v>
      </c>
      <c r="BS186" s="38" t="str">
        <f t="shared" si="24"/>
        <v>T</v>
      </c>
      <c r="BT186" s="38" t="str">
        <f t="shared" si="25"/>
        <v>N</v>
      </c>
      <c r="BU186" s="38" t="str">
        <f t="shared" si="26"/>
        <v>Y</v>
      </c>
      <c r="BV186" s="38" t="str">
        <f t="shared" si="27"/>
        <v>SlidingPrivacy-GardTriple LockNoYes</v>
      </c>
      <c r="BW186" s="38" t="str">
        <f t="shared" si="28"/>
        <v>PGSTNY</v>
      </c>
    </row>
    <row r="187" spans="64:75" ht="14.4">
      <c r="BL187" s="38" t="s">
        <v>231</v>
      </c>
      <c r="BM187" s="38" t="s">
        <v>220</v>
      </c>
      <c r="BN187" s="38" t="s">
        <v>275</v>
      </c>
      <c r="BO187" s="38" t="s">
        <v>147</v>
      </c>
      <c r="BP187" s="38" t="s">
        <v>306</v>
      </c>
      <c r="BQ187" s="38" t="str">
        <f t="shared" si="29"/>
        <v>PG</v>
      </c>
      <c r="BR187" s="38" t="str">
        <f t="shared" si="23"/>
        <v>ST</v>
      </c>
      <c r="BS187" s="38" t="str">
        <f t="shared" si="24"/>
        <v>T</v>
      </c>
      <c r="BT187" s="38" t="str">
        <f t="shared" si="25"/>
        <v>N</v>
      </c>
      <c r="BU187" s="38" t="str">
        <f t="shared" si="26"/>
        <v>Y</v>
      </c>
      <c r="BV187" s="38" t="str">
        <f t="shared" si="27"/>
        <v>StackerPrivacy-GardTriple LockNoYes</v>
      </c>
      <c r="BW187" s="38" t="str">
        <f t="shared" si="28"/>
        <v>PGSTTNY</v>
      </c>
    </row>
    <row r="188" spans="64:75" ht="14.4">
      <c r="BL188" s="38" t="s">
        <v>231</v>
      </c>
      <c r="BM188" s="38" t="s">
        <v>178</v>
      </c>
      <c r="BN188" s="38" t="s">
        <v>410</v>
      </c>
      <c r="BO188" s="38" t="s">
        <v>147</v>
      </c>
      <c r="BP188" s="38" t="s">
        <v>306</v>
      </c>
      <c r="BQ188" s="38" t="str">
        <f t="shared" si="29"/>
        <v>PG</v>
      </c>
      <c r="BR188" s="38" t="str">
        <f t="shared" si="23"/>
        <v>H</v>
      </c>
      <c r="BS188" s="38" t="str">
        <f t="shared" si="24"/>
        <v>N</v>
      </c>
      <c r="BT188" s="38" t="str">
        <f t="shared" si="25"/>
        <v>N</v>
      </c>
      <c r="BU188" s="38" t="str">
        <f t="shared" si="26"/>
        <v>Y</v>
      </c>
      <c r="BV188" s="38" t="str">
        <f t="shared" si="27"/>
        <v>HingedPrivacy-GardNot RequiredNoYes</v>
      </c>
      <c r="BW188" s="38" t="str">
        <f t="shared" si="28"/>
        <v>PGHNNY</v>
      </c>
    </row>
    <row r="189" spans="64:75" ht="14.4">
      <c r="BL189" s="38" t="s">
        <v>231</v>
      </c>
      <c r="BM189" s="38" t="s">
        <v>179</v>
      </c>
      <c r="BN189" s="38" t="s">
        <v>410</v>
      </c>
      <c r="BO189" s="38" t="s">
        <v>147</v>
      </c>
      <c r="BP189" s="38" t="s">
        <v>306</v>
      </c>
      <c r="BQ189" s="38" t="str">
        <f t="shared" si="29"/>
        <v>PG</v>
      </c>
      <c r="BR189" s="38" t="str">
        <f t="shared" si="23"/>
        <v>S</v>
      </c>
      <c r="BS189" s="38" t="str">
        <f t="shared" si="24"/>
        <v>N</v>
      </c>
      <c r="BT189" s="38" t="str">
        <f t="shared" si="25"/>
        <v>N</v>
      </c>
      <c r="BU189" s="38" t="str">
        <f t="shared" si="26"/>
        <v>Y</v>
      </c>
      <c r="BV189" s="38" t="str">
        <f t="shared" si="27"/>
        <v>SlidingPrivacy-GardNot RequiredNoYes</v>
      </c>
      <c r="BW189" s="38" t="str">
        <f t="shared" si="28"/>
        <v>PGSNNY</v>
      </c>
    </row>
    <row r="190" spans="64:75" ht="14.4">
      <c r="BL190" s="38" t="s">
        <v>231</v>
      </c>
      <c r="BM190" s="38" t="s">
        <v>220</v>
      </c>
      <c r="BN190" s="38" t="s">
        <v>410</v>
      </c>
      <c r="BO190" s="38" t="s">
        <v>147</v>
      </c>
      <c r="BP190" s="38" t="s">
        <v>306</v>
      </c>
      <c r="BQ190" s="38" t="str">
        <f t="shared" si="29"/>
        <v>PG</v>
      </c>
      <c r="BR190" s="38" t="str">
        <f t="shared" si="23"/>
        <v>ST</v>
      </c>
      <c r="BS190" s="38" t="str">
        <f t="shared" si="24"/>
        <v>N</v>
      </c>
      <c r="BT190" s="38" t="str">
        <f t="shared" si="25"/>
        <v>N</v>
      </c>
      <c r="BU190" s="38" t="str">
        <f t="shared" si="26"/>
        <v>Y</v>
      </c>
      <c r="BV190" s="38" t="str">
        <f t="shared" si="27"/>
        <v>StackerPrivacy-GardNot RequiredNoYes</v>
      </c>
      <c r="BW190" s="38" t="str">
        <f t="shared" si="28"/>
        <v>PGSTNNY</v>
      </c>
    </row>
    <row r="191" spans="64:75" ht="14.4">
      <c r="BL191" s="38" t="s">
        <v>231</v>
      </c>
      <c r="BM191" s="38" t="s">
        <v>178</v>
      </c>
      <c r="BN191" s="38" t="s">
        <v>383</v>
      </c>
      <c r="BO191" s="38" t="s">
        <v>147</v>
      </c>
      <c r="BP191" s="38" t="s">
        <v>306</v>
      </c>
      <c r="BQ191" s="38" t="str">
        <f t="shared" si="29"/>
        <v>PG</v>
      </c>
      <c r="BR191" s="38" t="str">
        <f t="shared" si="23"/>
        <v>H</v>
      </c>
      <c r="BS191" s="38" t="str">
        <f t="shared" si="24"/>
        <v>D</v>
      </c>
      <c r="BT191" s="38" t="str">
        <f t="shared" si="25"/>
        <v>N</v>
      </c>
      <c r="BU191" s="38" t="str">
        <f t="shared" si="26"/>
        <v>Y</v>
      </c>
      <c r="BV191" s="38" t="str">
        <f t="shared" si="27"/>
        <v>HingedPrivacy-GardUltra Secua Digital Triple LockNoYes</v>
      </c>
      <c r="BW191" s="38" t="str">
        <f t="shared" si="28"/>
        <v>PGHDNY</v>
      </c>
    </row>
    <row r="192" spans="64:75" ht="14.4">
      <c r="BL192" s="38" t="s">
        <v>231</v>
      </c>
      <c r="BM192" s="38" t="s">
        <v>179</v>
      </c>
      <c r="BN192" s="38" t="s">
        <v>383</v>
      </c>
      <c r="BO192" s="38" t="s">
        <v>147</v>
      </c>
      <c r="BP192" s="38" t="s">
        <v>306</v>
      </c>
      <c r="BQ192" s="38" t="str">
        <f t="shared" si="29"/>
        <v>PG</v>
      </c>
      <c r="BR192" s="38" t="str">
        <f t="shared" si="23"/>
        <v>S</v>
      </c>
      <c r="BS192" s="38" t="str">
        <f t="shared" si="24"/>
        <v>D</v>
      </c>
      <c r="BT192" s="38" t="str">
        <f t="shared" si="25"/>
        <v>N</v>
      </c>
      <c r="BU192" s="38" t="str">
        <f t="shared" si="26"/>
        <v>Y</v>
      </c>
      <c r="BV192" s="38" t="str">
        <f t="shared" si="27"/>
        <v>SlidingPrivacy-GardUltra Secua Digital Triple LockNoYes</v>
      </c>
      <c r="BW192" s="38" t="str">
        <f t="shared" si="28"/>
        <v>PGSDNY</v>
      </c>
    </row>
    <row r="193" spans="64:75" ht="14.4">
      <c r="BL193" s="38" t="s">
        <v>231</v>
      </c>
      <c r="BM193" s="38" t="s">
        <v>220</v>
      </c>
      <c r="BN193" s="38" t="s">
        <v>383</v>
      </c>
      <c r="BO193" s="38" t="s">
        <v>147</v>
      </c>
      <c r="BP193" s="38" t="s">
        <v>306</v>
      </c>
      <c r="BQ193" s="38" t="str">
        <f t="shared" si="29"/>
        <v>PG</v>
      </c>
      <c r="BR193" s="38" t="str">
        <f t="shared" si="23"/>
        <v>ST</v>
      </c>
      <c r="BS193" s="38" t="str">
        <f t="shared" si="24"/>
        <v>D</v>
      </c>
      <c r="BT193" s="38" t="str">
        <f t="shared" si="25"/>
        <v>N</v>
      </c>
      <c r="BU193" s="38" t="str">
        <f t="shared" si="26"/>
        <v>Y</v>
      </c>
      <c r="BV193" s="38" t="str">
        <f t="shared" si="27"/>
        <v>StackerPrivacy-GardUltra Secua Digital Triple LockNoYes</v>
      </c>
      <c r="BW193" s="38" t="str">
        <f t="shared" si="28"/>
        <v>PGSTDNY</v>
      </c>
    </row>
    <row r="194" spans="64:75" ht="14.4">
      <c r="BL194" s="38" t="s">
        <v>231</v>
      </c>
      <c r="BM194" s="38" t="s">
        <v>178</v>
      </c>
      <c r="BN194" s="38" t="s">
        <v>284</v>
      </c>
      <c r="BO194" s="38" t="s">
        <v>147</v>
      </c>
      <c r="BP194" s="38" t="s">
        <v>306</v>
      </c>
      <c r="BQ194" s="38" t="str">
        <f t="shared" si="29"/>
        <v>PG</v>
      </c>
      <c r="BR194" s="38" t="str">
        <f t="shared" si="30" ref="BR194:BR257">IF(BM194="Hinged","H",IF(BM194="Sliding","S",IF(BM194="Stacker","ST")))</f>
        <v>H</v>
      </c>
      <c r="BS194" s="38" t="str">
        <f t="shared" si="31" ref="BS194:BS257">IF(BN194="Single Lock","S",IF(BN194="Triple Lock","T",IF(BN194="Not Required","N",IF(BN194="Ultra Secua Digital Triple Lock","D",IF(BN194="Bass Latch","B")))))</f>
        <v>B</v>
      </c>
      <c r="BT194" s="38" t="str">
        <f t="shared" si="32" ref="BT194:BT257">IF(BO194="No","N",IF(BO194="Yes","Y",IF(BO194="Not Required","N",IF(BO194="Yes - Centre","Y"))))</f>
        <v>N</v>
      </c>
      <c r="BU194" s="38" t="str">
        <f t="shared" si="33" ref="BU194:BU257">IF(BP194="","N",IF(BP194="Yes","Y"))</f>
        <v>Y</v>
      </c>
      <c r="BV194" s="38" t="str">
        <f t="shared" si="34" ref="BV194:BV257">CONCATENATE(BM194,BL194,BN194,BO194,BP194,)</f>
        <v>HingedPrivacy-GardBass LatchNoYes</v>
      </c>
      <c r="BW194" s="38" t="str">
        <f t="shared" si="35" ref="BW194:BW257">CONCATENATE(BQ194,BR194,BS194,BT194,BU194)</f>
        <v>PGHBNY</v>
      </c>
    </row>
    <row r="195" spans="64:75" ht="14.4">
      <c r="BL195" s="38" t="s">
        <v>231</v>
      </c>
      <c r="BM195" s="38" t="s">
        <v>179</v>
      </c>
      <c r="BN195" s="38" t="s">
        <v>284</v>
      </c>
      <c r="BO195" s="38" t="s">
        <v>147</v>
      </c>
      <c r="BP195" s="38" t="s">
        <v>306</v>
      </c>
      <c r="BQ195" s="38" t="str">
        <f t="shared" si="36" ref="BQ195:BQ258">IF(BL195="Standard Diamond","SD",IF(BL195="Decorative Diamond","DD",IF(BL195="Privacy-Gard","PG",IF(BL195="Flyscreen","FW",IF(BL195="Woven Stainless Steel","SS",IF(BL195="Alu-Gard Perforated Aluminium","PA",IF(BL195="Invisi-Gard Woven Stainless Steel","IG")))))))</f>
        <v>PG</v>
      </c>
      <c r="BR195" s="38" t="str">
        <f t="shared" si="30"/>
        <v>S</v>
      </c>
      <c r="BS195" s="38" t="str">
        <f t="shared" si="31"/>
        <v>B</v>
      </c>
      <c r="BT195" s="38" t="str">
        <f t="shared" si="32"/>
        <v>N</v>
      </c>
      <c r="BU195" s="38" t="str">
        <f t="shared" si="33"/>
        <v>Y</v>
      </c>
      <c r="BV195" s="38" t="str">
        <f t="shared" si="34"/>
        <v>SlidingPrivacy-GardBass LatchNoYes</v>
      </c>
      <c r="BW195" s="38" t="str">
        <f t="shared" si="35"/>
        <v>PGSBNY</v>
      </c>
    </row>
    <row r="196" spans="64:75" ht="14.4">
      <c r="BL196" s="38" t="s">
        <v>231</v>
      </c>
      <c r="BM196" s="38" t="s">
        <v>220</v>
      </c>
      <c r="BN196" s="38" t="s">
        <v>284</v>
      </c>
      <c r="BO196" s="38" t="s">
        <v>147</v>
      </c>
      <c r="BP196" s="38" t="s">
        <v>306</v>
      </c>
      <c r="BQ196" s="38" t="str">
        <f t="shared" si="36"/>
        <v>PG</v>
      </c>
      <c r="BR196" s="38" t="str">
        <f t="shared" si="30"/>
        <v>ST</v>
      </c>
      <c r="BS196" s="38" t="str">
        <f t="shared" si="31"/>
        <v>B</v>
      </c>
      <c r="BT196" s="38" t="str">
        <f t="shared" si="32"/>
        <v>N</v>
      </c>
      <c r="BU196" s="38" t="str">
        <f t="shared" si="33"/>
        <v>Y</v>
      </c>
      <c r="BV196" s="38" t="str">
        <f t="shared" si="34"/>
        <v>StackerPrivacy-GardBass LatchNoYes</v>
      </c>
      <c r="BW196" s="38" t="str">
        <f t="shared" si="35"/>
        <v>PGSTBNY</v>
      </c>
    </row>
    <row r="197" spans="64:75" ht="14.4">
      <c r="BL197" s="38" t="s">
        <v>231</v>
      </c>
      <c r="BM197" s="38" t="s">
        <v>178</v>
      </c>
      <c r="BN197" s="38" t="s">
        <v>279</v>
      </c>
      <c r="BO197" s="38" t="s">
        <v>411</v>
      </c>
      <c r="BP197" s="38" t="s">
        <v>306</v>
      </c>
      <c r="BQ197" s="38" t="str">
        <f t="shared" si="36"/>
        <v>PG</v>
      </c>
      <c r="BR197" s="38" t="str">
        <f t="shared" si="30"/>
        <v>H</v>
      </c>
      <c r="BS197" s="38" t="str">
        <f t="shared" si="31"/>
        <v>S</v>
      </c>
      <c r="BT197" s="38" t="str">
        <f t="shared" si="32"/>
        <v>Y</v>
      </c>
      <c r="BU197" s="38" t="str">
        <f t="shared" si="33"/>
        <v>Y</v>
      </c>
      <c r="BV197" s="38" t="str">
        <f t="shared" si="34"/>
        <v>HingedPrivacy-GardSingle LockYes - CentreYes</v>
      </c>
      <c r="BW197" s="38" t="str">
        <f t="shared" si="35"/>
        <v>PGHSYY</v>
      </c>
    </row>
    <row r="198" spans="64:75" ht="14.4">
      <c r="BL198" s="38" t="s">
        <v>231</v>
      </c>
      <c r="BM198" s="38" t="s">
        <v>179</v>
      </c>
      <c r="BN198" s="38" t="s">
        <v>279</v>
      </c>
      <c r="BO198" s="38" t="s">
        <v>411</v>
      </c>
      <c r="BP198" s="38" t="s">
        <v>306</v>
      </c>
      <c r="BQ198" s="38" t="str">
        <f t="shared" si="36"/>
        <v>PG</v>
      </c>
      <c r="BR198" s="38" t="str">
        <f t="shared" si="30"/>
        <v>S</v>
      </c>
      <c r="BS198" s="38" t="str">
        <f t="shared" si="31"/>
        <v>S</v>
      </c>
      <c r="BT198" s="38" t="str">
        <f t="shared" si="32"/>
        <v>Y</v>
      </c>
      <c r="BU198" s="38" t="str">
        <f t="shared" si="33"/>
        <v>Y</v>
      </c>
      <c r="BV198" s="38" t="str">
        <f t="shared" si="34"/>
        <v>SlidingPrivacy-GardSingle LockYes - CentreYes</v>
      </c>
      <c r="BW198" s="38" t="str">
        <f t="shared" si="35"/>
        <v>PGSSYY</v>
      </c>
    </row>
    <row r="199" spans="64:75" ht="14.4">
      <c r="BL199" s="38" t="s">
        <v>231</v>
      </c>
      <c r="BM199" s="38" t="s">
        <v>220</v>
      </c>
      <c r="BN199" s="38" t="s">
        <v>279</v>
      </c>
      <c r="BO199" s="38" t="s">
        <v>411</v>
      </c>
      <c r="BP199" s="38" t="s">
        <v>306</v>
      </c>
      <c r="BQ199" s="38" t="str">
        <f t="shared" si="36"/>
        <v>PG</v>
      </c>
      <c r="BR199" s="38" t="str">
        <f t="shared" si="30"/>
        <v>ST</v>
      </c>
      <c r="BS199" s="38" t="str">
        <f t="shared" si="31"/>
        <v>S</v>
      </c>
      <c r="BT199" s="38" t="str">
        <f t="shared" si="32"/>
        <v>Y</v>
      </c>
      <c r="BU199" s="38" t="str">
        <f t="shared" si="33"/>
        <v>Y</v>
      </c>
      <c r="BV199" s="38" t="str">
        <f t="shared" si="34"/>
        <v>StackerPrivacy-GardSingle LockYes - CentreYes</v>
      </c>
      <c r="BW199" s="38" t="str">
        <f t="shared" si="35"/>
        <v>PGSTSYY</v>
      </c>
    </row>
    <row r="200" spans="64:75" ht="14.4">
      <c r="BL200" s="38" t="s">
        <v>231</v>
      </c>
      <c r="BM200" s="38" t="s">
        <v>178</v>
      </c>
      <c r="BN200" s="38" t="s">
        <v>275</v>
      </c>
      <c r="BO200" s="38" t="s">
        <v>411</v>
      </c>
      <c r="BP200" s="38" t="s">
        <v>306</v>
      </c>
      <c r="BQ200" s="38" t="str">
        <f t="shared" si="36"/>
        <v>PG</v>
      </c>
      <c r="BR200" s="38" t="str">
        <f t="shared" si="30"/>
        <v>H</v>
      </c>
      <c r="BS200" s="38" t="str">
        <f t="shared" si="31"/>
        <v>T</v>
      </c>
      <c r="BT200" s="38" t="str">
        <f t="shared" si="32"/>
        <v>Y</v>
      </c>
      <c r="BU200" s="38" t="str">
        <f t="shared" si="33"/>
        <v>Y</v>
      </c>
      <c r="BV200" s="38" t="str">
        <f t="shared" si="34"/>
        <v>HingedPrivacy-GardTriple LockYes - CentreYes</v>
      </c>
      <c r="BW200" s="38" t="str">
        <f t="shared" si="35"/>
        <v>PGHTYY</v>
      </c>
    </row>
    <row r="201" spans="64:75" ht="14.4">
      <c r="BL201" s="38" t="s">
        <v>231</v>
      </c>
      <c r="BM201" s="38" t="s">
        <v>179</v>
      </c>
      <c r="BN201" s="38" t="s">
        <v>275</v>
      </c>
      <c r="BO201" s="38" t="s">
        <v>411</v>
      </c>
      <c r="BP201" s="38" t="s">
        <v>306</v>
      </c>
      <c r="BQ201" s="38" t="str">
        <f t="shared" si="36"/>
        <v>PG</v>
      </c>
      <c r="BR201" s="38" t="str">
        <f t="shared" si="30"/>
        <v>S</v>
      </c>
      <c r="BS201" s="38" t="str">
        <f t="shared" si="31"/>
        <v>T</v>
      </c>
      <c r="BT201" s="38" t="str">
        <f t="shared" si="32"/>
        <v>Y</v>
      </c>
      <c r="BU201" s="38" t="str">
        <f t="shared" si="33"/>
        <v>Y</v>
      </c>
      <c r="BV201" s="38" t="str">
        <f t="shared" si="34"/>
        <v>SlidingPrivacy-GardTriple LockYes - CentreYes</v>
      </c>
      <c r="BW201" s="38" t="str">
        <f t="shared" si="35"/>
        <v>PGSTYY</v>
      </c>
    </row>
    <row r="202" spans="64:75" ht="14.4">
      <c r="BL202" s="38" t="s">
        <v>231</v>
      </c>
      <c r="BM202" s="38" t="s">
        <v>220</v>
      </c>
      <c r="BN202" s="38" t="s">
        <v>275</v>
      </c>
      <c r="BO202" s="38" t="s">
        <v>411</v>
      </c>
      <c r="BP202" s="38" t="s">
        <v>306</v>
      </c>
      <c r="BQ202" s="38" t="str">
        <f t="shared" si="36"/>
        <v>PG</v>
      </c>
      <c r="BR202" s="38" t="str">
        <f t="shared" si="30"/>
        <v>ST</v>
      </c>
      <c r="BS202" s="38" t="str">
        <f t="shared" si="31"/>
        <v>T</v>
      </c>
      <c r="BT202" s="38" t="str">
        <f t="shared" si="32"/>
        <v>Y</v>
      </c>
      <c r="BU202" s="38" t="str">
        <f t="shared" si="33"/>
        <v>Y</v>
      </c>
      <c r="BV202" s="38" t="str">
        <f t="shared" si="34"/>
        <v>StackerPrivacy-GardTriple LockYes - CentreYes</v>
      </c>
      <c r="BW202" s="38" t="str">
        <f t="shared" si="35"/>
        <v>PGSTTYY</v>
      </c>
    </row>
    <row r="203" spans="64:75" ht="14.4">
      <c r="BL203" s="38" t="s">
        <v>231</v>
      </c>
      <c r="BM203" s="38" t="s">
        <v>178</v>
      </c>
      <c r="BN203" s="38" t="s">
        <v>410</v>
      </c>
      <c r="BO203" s="38" t="s">
        <v>411</v>
      </c>
      <c r="BP203" s="38" t="s">
        <v>306</v>
      </c>
      <c r="BQ203" s="38" t="str">
        <f t="shared" si="36"/>
        <v>PG</v>
      </c>
      <c r="BR203" s="38" t="str">
        <f t="shared" si="30"/>
        <v>H</v>
      </c>
      <c r="BS203" s="38" t="str">
        <f t="shared" si="31"/>
        <v>N</v>
      </c>
      <c r="BT203" s="38" t="str">
        <f t="shared" si="32"/>
        <v>Y</v>
      </c>
      <c r="BU203" s="38" t="str">
        <f t="shared" si="33"/>
        <v>Y</v>
      </c>
      <c r="BV203" s="38" t="str">
        <f t="shared" si="34"/>
        <v>HingedPrivacy-GardNot RequiredYes - CentreYes</v>
      </c>
      <c r="BW203" s="38" t="str">
        <f t="shared" si="35"/>
        <v>PGHNYY</v>
      </c>
    </row>
    <row r="204" spans="64:75" ht="14.4">
      <c r="BL204" s="38" t="s">
        <v>231</v>
      </c>
      <c r="BM204" s="38" t="s">
        <v>179</v>
      </c>
      <c r="BN204" s="38" t="s">
        <v>410</v>
      </c>
      <c r="BO204" s="38" t="s">
        <v>411</v>
      </c>
      <c r="BP204" s="38" t="s">
        <v>306</v>
      </c>
      <c r="BQ204" s="38" t="str">
        <f t="shared" si="36"/>
        <v>PG</v>
      </c>
      <c r="BR204" s="38" t="str">
        <f t="shared" si="30"/>
        <v>S</v>
      </c>
      <c r="BS204" s="38" t="str">
        <f t="shared" si="31"/>
        <v>N</v>
      </c>
      <c r="BT204" s="38" t="str">
        <f t="shared" si="32"/>
        <v>Y</v>
      </c>
      <c r="BU204" s="38" t="str">
        <f t="shared" si="33"/>
        <v>Y</v>
      </c>
      <c r="BV204" s="38" t="str">
        <f t="shared" si="34"/>
        <v>SlidingPrivacy-GardNot RequiredYes - CentreYes</v>
      </c>
      <c r="BW204" s="38" t="str">
        <f t="shared" si="35"/>
        <v>PGSNYY</v>
      </c>
    </row>
    <row r="205" spans="64:75" ht="14.4">
      <c r="BL205" s="38" t="s">
        <v>231</v>
      </c>
      <c r="BM205" s="38" t="s">
        <v>220</v>
      </c>
      <c r="BN205" s="38" t="s">
        <v>410</v>
      </c>
      <c r="BO205" s="38" t="s">
        <v>411</v>
      </c>
      <c r="BP205" s="38" t="s">
        <v>306</v>
      </c>
      <c r="BQ205" s="38" t="str">
        <f t="shared" si="36"/>
        <v>PG</v>
      </c>
      <c r="BR205" s="38" t="str">
        <f t="shared" si="30"/>
        <v>ST</v>
      </c>
      <c r="BS205" s="38" t="str">
        <f t="shared" si="31"/>
        <v>N</v>
      </c>
      <c r="BT205" s="38" t="str">
        <f t="shared" si="32"/>
        <v>Y</v>
      </c>
      <c r="BU205" s="38" t="str">
        <f t="shared" si="33"/>
        <v>Y</v>
      </c>
      <c r="BV205" s="38" t="str">
        <f t="shared" si="34"/>
        <v>StackerPrivacy-GardNot RequiredYes - CentreYes</v>
      </c>
      <c r="BW205" s="38" t="str">
        <f t="shared" si="35"/>
        <v>PGSTNYY</v>
      </c>
    </row>
    <row r="206" spans="64:75" ht="14.4">
      <c r="BL206" s="38" t="s">
        <v>231</v>
      </c>
      <c r="BM206" s="38" t="s">
        <v>178</v>
      </c>
      <c r="BN206" s="38" t="s">
        <v>383</v>
      </c>
      <c r="BO206" s="38" t="s">
        <v>411</v>
      </c>
      <c r="BP206" s="38" t="s">
        <v>306</v>
      </c>
      <c r="BQ206" s="38" t="str">
        <f t="shared" si="36"/>
        <v>PG</v>
      </c>
      <c r="BR206" s="38" t="str">
        <f t="shared" si="30"/>
        <v>H</v>
      </c>
      <c r="BS206" s="38" t="str">
        <f t="shared" si="31"/>
        <v>D</v>
      </c>
      <c r="BT206" s="38" t="str">
        <f t="shared" si="32"/>
        <v>Y</v>
      </c>
      <c r="BU206" s="38" t="str">
        <f t="shared" si="33"/>
        <v>Y</v>
      </c>
      <c r="BV206" s="38" t="str">
        <f t="shared" si="34"/>
        <v>HingedPrivacy-GardUltra Secua Digital Triple LockYes - CentreYes</v>
      </c>
      <c r="BW206" s="38" t="str">
        <f t="shared" si="35"/>
        <v>PGHDYY</v>
      </c>
    </row>
    <row r="207" spans="64:75" ht="14.4">
      <c r="BL207" s="38" t="s">
        <v>231</v>
      </c>
      <c r="BM207" s="38" t="s">
        <v>179</v>
      </c>
      <c r="BN207" s="38" t="s">
        <v>383</v>
      </c>
      <c r="BO207" s="38" t="s">
        <v>411</v>
      </c>
      <c r="BP207" s="38" t="s">
        <v>306</v>
      </c>
      <c r="BQ207" s="38" t="str">
        <f t="shared" si="36"/>
        <v>PG</v>
      </c>
      <c r="BR207" s="38" t="str">
        <f t="shared" si="30"/>
        <v>S</v>
      </c>
      <c r="BS207" s="38" t="str">
        <f t="shared" si="31"/>
        <v>D</v>
      </c>
      <c r="BT207" s="38" t="str">
        <f t="shared" si="32"/>
        <v>Y</v>
      </c>
      <c r="BU207" s="38" t="str">
        <f t="shared" si="33"/>
        <v>Y</v>
      </c>
      <c r="BV207" s="38" t="str">
        <f t="shared" si="34"/>
        <v>SlidingPrivacy-GardUltra Secua Digital Triple LockYes - CentreYes</v>
      </c>
      <c r="BW207" s="38" t="str">
        <f t="shared" si="35"/>
        <v>PGSDYY</v>
      </c>
    </row>
    <row r="208" spans="64:75" ht="14.4">
      <c r="BL208" s="38" t="s">
        <v>231</v>
      </c>
      <c r="BM208" s="38" t="s">
        <v>220</v>
      </c>
      <c r="BN208" s="38" t="s">
        <v>383</v>
      </c>
      <c r="BO208" s="38" t="s">
        <v>411</v>
      </c>
      <c r="BP208" s="38" t="s">
        <v>306</v>
      </c>
      <c r="BQ208" s="38" t="str">
        <f t="shared" si="36"/>
        <v>PG</v>
      </c>
      <c r="BR208" s="38" t="str">
        <f t="shared" si="30"/>
        <v>ST</v>
      </c>
      <c r="BS208" s="38" t="str">
        <f t="shared" si="31"/>
        <v>D</v>
      </c>
      <c r="BT208" s="38" t="str">
        <f t="shared" si="32"/>
        <v>Y</v>
      </c>
      <c r="BU208" s="38" t="str">
        <f t="shared" si="33"/>
        <v>Y</v>
      </c>
      <c r="BV208" s="38" t="str">
        <f t="shared" si="34"/>
        <v>StackerPrivacy-GardUltra Secua Digital Triple LockYes - CentreYes</v>
      </c>
      <c r="BW208" s="38" t="str">
        <f t="shared" si="35"/>
        <v>PGSTDYY</v>
      </c>
    </row>
    <row r="209" spans="64:75" ht="14.4">
      <c r="BL209" s="38" t="s">
        <v>231</v>
      </c>
      <c r="BM209" s="38" t="s">
        <v>178</v>
      </c>
      <c r="BN209" s="38" t="s">
        <v>284</v>
      </c>
      <c r="BO209" s="38" t="s">
        <v>411</v>
      </c>
      <c r="BP209" s="38" t="s">
        <v>306</v>
      </c>
      <c r="BQ209" s="38" t="str">
        <f t="shared" si="36"/>
        <v>PG</v>
      </c>
      <c r="BR209" s="38" t="str">
        <f t="shared" si="30"/>
        <v>H</v>
      </c>
      <c r="BS209" s="38" t="str">
        <f t="shared" si="31"/>
        <v>B</v>
      </c>
      <c r="BT209" s="38" t="str">
        <f t="shared" si="32"/>
        <v>Y</v>
      </c>
      <c r="BU209" s="38" t="str">
        <f t="shared" si="33"/>
        <v>Y</v>
      </c>
      <c r="BV209" s="38" t="str">
        <f t="shared" si="34"/>
        <v>HingedPrivacy-GardBass LatchYes - CentreYes</v>
      </c>
      <c r="BW209" s="38" t="str">
        <f t="shared" si="35"/>
        <v>PGHBYY</v>
      </c>
    </row>
    <row r="210" spans="64:75" ht="14.4">
      <c r="BL210" s="38" t="s">
        <v>231</v>
      </c>
      <c r="BM210" s="38" t="s">
        <v>179</v>
      </c>
      <c r="BN210" s="38" t="s">
        <v>284</v>
      </c>
      <c r="BO210" s="38" t="s">
        <v>411</v>
      </c>
      <c r="BP210" s="38" t="s">
        <v>306</v>
      </c>
      <c r="BQ210" s="38" t="str">
        <f t="shared" si="36"/>
        <v>PG</v>
      </c>
      <c r="BR210" s="38" t="str">
        <f t="shared" si="30"/>
        <v>S</v>
      </c>
      <c r="BS210" s="38" t="str">
        <f t="shared" si="31"/>
        <v>B</v>
      </c>
      <c r="BT210" s="38" t="str">
        <f t="shared" si="32"/>
        <v>Y</v>
      </c>
      <c r="BU210" s="38" t="str">
        <f t="shared" si="33"/>
        <v>Y</v>
      </c>
      <c r="BV210" s="38" t="str">
        <f t="shared" si="34"/>
        <v>SlidingPrivacy-GardBass LatchYes - CentreYes</v>
      </c>
      <c r="BW210" s="38" t="str">
        <f t="shared" si="35"/>
        <v>PGSBYY</v>
      </c>
    </row>
    <row r="211" spans="64:75" ht="14.4">
      <c r="BL211" s="38" t="s">
        <v>231</v>
      </c>
      <c r="BM211" s="38" t="s">
        <v>220</v>
      </c>
      <c r="BN211" s="38" t="s">
        <v>284</v>
      </c>
      <c r="BO211" s="38" t="s">
        <v>411</v>
      </c>
      <c r="BP211" s="38" t="s">
        <v>306</v>
      </c>
      <c r="BQ211" s="38" t="str">
        <f t="shared" si="36"/>
        <v>PG</v>
      </c>
      <c r="BR211" s="38" t="str">
        <f t="shared" si="30"/>
        <v>ST</v>
      </c>
      <c r="BS211" s="38" t="str">
        <f t="shared" si="31"/>
        <v>B</v>
      </c>
      <c r="BT211" s="38" t="str">
        <f t="shared" si="32"/>
        <v>Y</v>
      </c>
      <c r="BU211" s="38" t="str">
        <f t="shared" si="33"/>
        <v>Y</v>
      </c>
      <c r="BV211" s="38" t="str">
        <f t="shared" si="34"/>
        <v>StackerPrivacy-GardBass LatchYes - CentreYes</v>
      </c>
      <c r="BW211" s="38" t="str">
        <f t="shared" si="35"/>
        <v>PGSTBYY</v>
      </c>
    </row>
    <row r="212" spans="64:75" ht="14.4">
      <c r="BL212" s="38" t="s">
        <v>231</v>
      </c>
      <c r="BM212" s="38" t="s">
        <v>178</v>
      </c>
      <c r="BN212" s="38" t="s">
        <v>279</v>
      </c>
      <c r="BO212" s="38" t="s">
        <v>306</v>
      </c>
      <c r="BP212" s="38" t="s">
        <v>306</v>
      </c>
      <c r="BQ212" s="38" t="str">
        <f t="shared" si="36"/>
        <v>PG</v>
      </c>
      <c r="BR212" s="38" t="str">
        <f t="shared" si="30"/>
        <v>H</v>
      </c>
      <c r="BS212" s="38" t="str">
        <f t="shared" si="31"/>
        <v>S</v>
      </c>
      <c r="BT212" s="38" t="str">
        <f t="shared" si="32"/>
        <v>Y</v>
      </c>
      <c r="BU212" s="38" t="str">
        <f t="shared" si="33"/>
        <v>Y</v>
      </c>
      <c r="BV212" s="38" t="str">
        <f t="shared" si="34"/>
        <v>HingedPrivacy-GardSingle LockYesYes</v>
      </c>
      <c r="BW212" s="38" t="str">
        <f t="shared" si="35"/>
        <v>PGHSYY</v>
      </c>
    </row>
    <row r="213" spans="64:75" ht="14.4">
      <c r="BL213" s="38" t="s">
        <v>231</v>
      </c>
      <c r="BM213" s="38" t="s">
        <v>179</v>
      </c>
      <c r="BN213" s="38" t="s">
        <v>279</v>
      </c>
      <c r="BO213" s="38" t="s">
        <v>306</v>
      </c>
      <c r="BP213" s="38" t="s">
        <v>306</v>
      </c>
      <c r="BQ213" s="38" t="str">
        <f t="shared" si="36"/>
        <v>PG</v>
      </c>
      <c r="BR213" s="38" t="str">
        <f t="shared" si="30"/>
        <v>S</v>
      </c>
      <c r="BS213" s="38" t="str">
        <f t="shared" si="31"/>
        <v>S</v>
      </c>
      <c r="BT213" s="38" t="str">
        <f t="shared" si="32"/>
        <v>Y</v>
      </c>
      <c r="BU213" s="38" t="str">
        <f t="shared" si="33"/>
        <v>Y</v>
      </c>
      <c r="BV213" s="38" t="str">
        <f t="shared" si="34"/>
        <v>SlidingPrivacy-GardSingle LockYesYes</v>
      </c>
      <c r="BW213" s="38" t="str">
        <f t="shared" si="35"/>
        <v>PGSSYY</v>
      </c>
    </row>
    <row r="214" spans="64:75" ht="14.4">
      <c r="BL214" s="38" t="s">
        <v>231</v>
      </c>
      <c r="BM214" s="38" t="s">
        <v>220</v>
      </c>
      <c r="BN214" s="38" t="s">
        <v>279</v>
      </c>
      <c r="BO214" s="38" t="s">
        <v>306</v>
      </c>
      <c r="BP214" s="38" t="s">
        <v>306</v>
      </c>
      <c r="BQ214" s="38" t="str">
        <f t="shared" si="36"/>
        <v>PG</v>
      </c>
      <c r="BR214" s="38" t="str">
        <f t="shared" si="30"/>
        <v>ST</v>
      </c>
      <c r="BS214" s="38" t="str">
        <f t="shared" si="31"/>
        <v>S</v>
      </c>
      <c r="BT214" s="38" t="str">
        <f t="shared" si="32"/>
        <v>Y</v>
      </c>
      <c r="BU214" s="38" t="str">
        <f t="shared" si="33"/>
        <v>Y</v>
      </c>
      <c r="BV214" s="38" t="str">
        <f t="shared" si="34"/>
        <v>StackerPrivacy-GardSingle LockYesYes</v>
      </c>
      <c r="BW214" s="38" t="str">
        <f t="shared" si="35"/>
        <v>PGSTSYY</v>
      </c>
    </row>
    <row r="215" spans="64:75" ht="14.4">
      <c r="BL215" s="38" t="s">
        <v>231</v>
      </c>
      <c r="BM215" s="38" t="s">
        <v>178</v>
      </c>
      <c r="BN215" s="38" t="s">
        <v>275</v>
      </c>
      <c r="BO215" s="38" t="s">
        <v>306</v>
      </c>
      <c r="BP215" s="38" t="s">
        <v>306</v>
      </c>
      <c r="BQ215" s="38" t="str">
        <f t="shared" si="36"/>
        <v>PG</v>
      </c>
      <c r="BR215" s="38" t="str">
        <f t="shared" si="30"/>
        <v>H</v>
      </c>
      <c r="BS215" s="38" t="str">
        <f t="shared" si="31"/>
        <v>T</v>
      </c>
      <c r="BT215" s="38" t="str">
        <f t="shared" si="32"/>
        <v>Y</v>
      </c>
      <c r="BU215" s="38" t="str">
        <f t="shared" si="33"/>
        <v>Y</v>
      </c>
      <c r="BV215" s="38" t="str">
        <f t="shared" si="34"/>
        <v>HingedPrivacy-GardTriple LockYesYes</v>
      </c>
      <c r="BW215" s="38" t="str">
        <f t="shared" si="35"/>
        <v>PGHTYY</v>
      </c>
    </row>
    <row r="216" spans="64:75" ht="14.4">
      <c r="BL216" s="38" t="s">
        <v>231</v>
      </c>
      <c r="BM216" s="38" t="s">
        <v>179</v>
      </c>
      <c r="BN216" s="38" t="s">
        <v>275</v>
      </c>
      <c r="BO216" s="38" t="s">
        <v>306</v>
      </c>
      <c r="BP216" s="38" t="s">
        <v>306</v>
      </c>
      <c r="BQ216" s="38" t="str">
        <f t="shared" si="36"/>
        <v>PG</v>
      </c>
      <c r="BR216" s="38" t="str">
        <f t="shared" si="30"/>
        <v>S</v>
      </c>
      <c r="BS216" s="38" t="str">
        <f t="shared" si="31"/>
        <v>T</v>
      </c>
      <c r="BT216" s="38" t="str">
        <f t="shared" si="32"/>
        <v>Y</v>
      </c>
      <c r="BU216" s="38" t="str">
        <f t="shared" si="33"/>
        <v>Y</v>
      </c>
      <c r="BV216" s="38" t="str">
        <f t="shared" si="34"/>
        <v>SlidingPrivacy-GardTriple LockYesYes</v>
      </c>
      <c r="BW216" s="38" t="str">
        <f t="shared" si="35"/>
        <v>PGSTYY</v>
      </c>
    </row>
    <row r="217" spans="64:75" ht="14.4">
      <c r="BL217" s="38" t="s">
        <v>231</v>
      </c>
      <c r="BM217" s="38" t="s">
        <v>220</v>
      </c>
      <c r="BN217" s="38" t="s">
        <v>275</v>
      </c>
      <c r="BO217" s="38" t="s">
        <v>306</v>
      </c>
      <c r="BP217" s="38" t="s">
        <v>306</v>
      </c>
      <c r="BQ217" s="38" t="str">
        <f t="shared" si="36"/>
        <v>PG</v>
      </c>
      <c r="BR217" s="38" t="str">
        <f t="shared" si="30"/>
        <v>ST</v>
      </c>
      <c r="BS217" s="38" t="str">
        <f t="shared" si="31"/>
        <v>T</v>
      </c>
      <c r="BT217" s="38" t="str">
        <f t="shared" si="32"/>
        <v>Y</v>
      </c>
      <c r="BU217" s="38" t="str">
        <f t="shared" si="33"/>
        <v>Y</v>
      </c>
      <c r="BV217" s="38" t="str">
        <f t="shared" si="34"/>
        <v>StackerPrivacy-GardTriple LockYesYes</v>
      </c>
      <c r="BW217" s="38" t="str">
        <f t="shared" si="35"/>
        <v>PGSTTYY</v>
      </c>
    </row>
    <row r="218" spans="64:75" ht="14.4">
      <c r="BL218" s="38" t="s">
        <v>231</v>
      </c>
      <c r="BM218" s="38" t="s">
        <v>178</v>
      </c>
      <c r="BN218" s="38" t="s">
        <v>410</v>
      </c>
      <c r="BO218" s="38" t="s">
        <v>306</v>
      </c>
      <c r="BP218" s="38" t="s">
        <v>306</v>
      </c>
      <c r="BQ218" s="38" t="str">
        <f t="shared" si="36"/>
        <v>PG</v>
      </c>
      <c r="BR218" s="38" t="str">
        <f t="shared" si="30"/>
        <v>H</v>
      </c>
      <c r="BS218" s="38" t="str">
        <f t="shared" si="31"/>
        <v>N</v>
      </c>
      <c r="BT218" s="38" t="str">
        <f t="shared" si="32"/>
        <v>Y</v>
      </c>
      <c r="BU218" s="38" t="str">
        <f t="shared" si="33"/>
        <v>Y</v>
      </c>
      <c r="BV218" s="38" t="str">
        <f t="shared" si="34"/>
        <v>HingedPrivacy-GardNot RequiredYesYes</v>
      </c>
      <c r="BW218" s="38" t="str">
        <f t="shared" si="35"/>
        <v>PGHNYY</v>
      </c>
    </row>
    <row r="219" spans="64:75" ht="14.4">
      <c r="BL219" s="38" t="s">
        <v>231</v>
      </c>
      <c r="BM219" s="38" t="s">
        <v>179</v>
      </c>
      <c r="BN219" s="38" t="s">
        <v>410</v>
      </c>
      <c r="BO219" s="38" t="s">
        <v>306</v>
      </c>
      <c r="BP219" s="38" t="s">
        <v>306</v>
      </c>
      <c r="BQ219" s="38" t="str">
        <f t="shared" si="36"/>
        <v>PG</v>
      </c>
      <c r="BR219" s="38" t="str">
        <f t="shared" si="30"/>
        <v>S</v>
      </c>
      <c r="BS219" s="38" t="str">
        <f t="shared" si="31"/>
        <v>N</v>
      </c>
      <c r="BT219" s="38" t="str">
        <f t="shared" si="32"/>
        <v>Y</v>
      </c>
      <c r="BU219" s="38" t="str">
        <f t="shared" si="33"/>
        <v>Y</v>
      </c>
      <c r="BV219" s="38" t="str">
        <f t="shared" si="34"/>
        <v>SlidingPrivacy-GardNot RequiredYesYes</v>
      </c>
      <c r="BW219" s="38" t="str">
        <f t="shared" si="35"/>
        <v>PGSNYY</v>
      </c>
    </row>
    <row r="220" spans="64:75" ht="14.4">
      <c r="BL220" s="38" t="s">
        <v>231</v>
      </c>
      <c r="BM220" s="38" t="s">
        <v>220</v>
      </c>
      <c r="BN220" s="38" t="s">
        <v>410</v>
      </c>
      <c r="BO220" s="38" t="s">
        <v>306</v>
      </c>
      <c r="BP220" s="38" t="s">
        <v>306</v>
      </c>
      <c r="BQ220" s="38" t="str">
        <f t="shared" si="36"/>
        <v>PG</v>
      </c>
      <c r="BR220" s="38" t="str">
        <f t="shared" si="30"/>
        <v>ST</v>
      </c>
      <c r="BS220" s="38" t="str">
        <f t="shared" si="31"/>
        <v>N</v>
      </c>
      <c r="BT220" s="38" t="str">
        <f t="shared" si="32"/>
        <v>Y</v>
      </c>
      <c r="BU220" s="38" t="str">
        <f t="shared" si="33"/>
        <v>Y</v>
      </c>
      <c r="BV220" s="38" t="str">
        <f t="shared" si="34"/>
        <v>StackerPrivacy-GardNot RequiredYesYes</v>
      </c>
      <c r="BW220" s="38" t="str">
        <f t="shared" si="35"/>
        <v>PGSTNYY</v>
      </c>
    </row>
    <row r="221" spans="64:75" ht="14.4">
      <c r="BL221" s="38" t="s">
        <v>231</v>
      </c>
      <c r="BM221" s="38" t="s">
        <v>178</v>
      </c>
      <c r="BN221" s="38" t="s">
        <v>383</v>
      </c>
      <c r="BO221" s="38" t="s">
        <v>306</v>
      </c>
      <c r="BP221" s="38" t="s">
        <v>306</v>
      </c>
      <c r="BQ221" s="38" t="str">
        <f t="shared" si="36"/>
        <v>PG</v>
      </c>
      <c r="BR221" s="38" t="str">
        <f t="shared" si="30"/>
        <v>H</v>
      </c>
      <c r="BS221" s="38" t="str">
        <f t="shared" si="31"/>
        <v>D</v>
      </c>
      <c r="BT221" s="38" t="str">
        <f t="shared" si="32"/>
        <v>Y</v>
      </c>
      <c r="BU221" s="38" t="str">
        <f t="shared" si="33"/>
        <v>Y</v>
      </c>
      <c r="BV221" s="38" t="str">
        <f t="shared" si="34"/>
        <v>HingedPrivacy-GardUltra Secua Digital Triple LockYesYes</v>
      </c>
      <c r="BW221" s="38" t="str">
        <f t="shared" si="35"/>
        <v>PGHDYY</v>
      </c>
    </row>
    <row r="222" spans="64:75" ht="14.4">
      <c r="BL222" s="38" t="s">
        <v>231</v>
      </c>
      <c r="BM222" s="38" t="s">
        <v>179</v>
      </c>
      <c r="BN222" s="38" t="s">
        <v>383</v>
      </c>
      <c r="BO222" s="38" t="s">
        <v>306</v>
      </c>
      <c r="BP222" s="38" t="s">
        <v>306</v>
      </c>
      <c r="BQ222" s="38" t="str">
        <f t="shared" si="36"/>
        <v>PG</v>
      </c>
      <c r="BR222" s="38" t="str">
        <f t="shared" si="30"/>
        <v>S</v>
      </c>
      <c r="BS222" s="38" t="str">
        <f t="shared" si="31"/>
        <v>D</v>
      </c>
      <c r="BT222" s="38" t="str">
        <f t="shared" si="32"/>
        <v>Y</v>
      </c>
      <c r="BU222" s="38" t="str">
        <f t="shared" si="33"/>
        <v>Y</v>
      </c>
      <c r="BV222" s="38" t="str">
        <f t="shared" si="34"/>
        <v>SlidingPrivacy-GardUltra Secua Digital Triple LockYesYes</v>
      </c>
      <c r="BW222" s="38" t="str">
        <f t="shared" si="35"/>
        <v>PGSDYY</v>
      </c>
    </row>
    <row r="223" spans="64:75" ht="14.4">
      <c r="BL223" s="38" t="s">
        <v>231</v>
      </c>
      <c r="BM223" s="38" t="s">
        <v>220</v>
      </c>
      <c r="BN223" s="38" t="s">
        <v>383</v>
      </c>
      <c r="BO223" s="38" t="s">
        <v>306</v>
      </c>
      <c r="BP223" s="38" t="s">
        <v>306</v>
      </c>
      <c r="BQ223" s="38" t="str">
        <f t="shared" si="36"/>
        <v>PG</v>
      </c>
      <c r="BR223" s="38" t="str">
        <f t="shared" si="30"/>
        <v>ST</v>
      </c>
      <c r="BS223" s="38" t="str">
        <f t="shared" si="31"/>
        <v>D</v>
      </c>
      <c r="BT223" s="38" t="str">
        <f t="shared" si="32"/>
        <v>Y</v>
      </c>
      <c r="BU223" s="38" t="str">
        <f t="shared" si="33"/>
        <v>Y</v>
      </c>
      <c r="BV223" s="38" t="str">
        <f t="shared" si="34"/>
        <v>StackerPrivacy-GardUltra Secua Digital Triple LockYesYes</v>
      </c>
      <c r="BW223" s="38" t="str">
        <f t="shared" si="35"/>
        <v>PGSTDYY</v>
      </c>
    </row>
    <row r="224" spans="64:75" ht="14.4">
      <c r="BL224" s="38" t="s">
        <v>231</v>
      </c>
      <c r="BM224" s="38" t="s">
        <v>178</v>
      </c>
      <c r="BN224" s="38" t="s">
        <v>284</v>
      </c>
      <c r="BO224" s="38" t="s">
        <v>306</v>
      </c>
      <c r="BP224" s="38" t="s">
        <v>306</v>
      </c>
      <c r="BQ224" s="38" t="str">
        <f t="shared" si="36"/>
        <v>PG</v>
      </c>
      <c r="BR224" s="38" t="str">
        <f t="shared" si="30"/>
        <v>H</v>
      </c>
      <c r="BS224" s="38" t="str">
        <f t="shared" si="31"/>
        <v>B</v>
      </c>
      <c r="BT224" s="38" t="str">
        <f t="shared" si="32"/>
        <v>Y</v>
      </c>
      <c r="BU224" s="38" t="str">
        <f t="shared" si="33"/>
        <v>Y</v>
      </c>
      <c r="BV224" s="38" t="str">
        <f t="shared" si="34"/>
        <v>HingedPrivacy-GardBass LatchYesYes</v>
      </c>
      <c r="BW224" s="38" t="str">
        <f t="shared" si="35"/>
        <v>PGHBYY</v>
      </c>
    </row>
    <row r="225" spans="64:75" ht="14.4">
      <c r="BL225" s="38" t="s">
        <v>231</v>
      </c>
      <c r="BM225" s="38" t="s">
        <v>179</v>
      </c>
      <c r="BN225" s="38" t="s">
        <v>284</v>
      </c>
      <c r="BO225" s="38" t="s">
        <v>306</v>
      </c>
      <c r="BP225" s="38" t="s">
        <v>306</v>
      </c>
      <c r="BQ225" s="38" t="str">
        <f t="shared" si="36"/>
        <v>PG</v>
      </c>
      <c r="BR225" s="38" t="str">
        <f t="shared" si="30"/>
        <v>S</v>
      </c>
      <c r="BS225" s="38" t="str">
        <f t="shared" si="31"/>
        <v>B</v>
      </c>
      <c r="BT225" s="38" t="str">
        <f t="shared" si="32"/>
        <v>Y</v>
      </c>
      <c r="BU225" s="38" t="str">
        <f t="shared" si="33"/>
        <v>Y</v>
      </c>
      <c r="BV225" s="38" t="str">
        <f t="shared" si="34"/>
        <v>SlidingPrivacy-GardBass LatchYesYes</v>
      </c>
      <c r="BW225" s="38" t="str">
        <f t="shared" si="35"/>
        <v>PGSBYY</v>
      </c>
    </row>
    <row r="226" spans="64:75" ht="14.4">
      <c r="BL226" s="38" t="s">
        <v>231</v>
      </c>
      <c r="BM226" s="38" t="s">
        <v>220</v>
      </c>
      <c r="BN226" s="38" t="s">
        <v>284</v>
      </c>
      <c r="BO226" s="38" t="s">
        <v>306</v>
      </c>
      <c r="BP226" s="38" t="s">
        <v>306</v>
      </c>
      <c r="BQ226" s="38" t="str">
        <f t="shared" si="36"/>
        <v>PG</v>
      </c>
      <c r="BR226" s="38" t="str">
        <f t="shared" si="30"/>
        <v>ST</v>
      </c>
      <c r="BS226" s="38" t="str">
        <f t="shared" si="31"/>
        <v>B</v>
      </c>
      <c r="BT226" s="38" t="str">
        <f t="shared" si="32"/>
        <v>Y</v>
      </c>
      <c r="BU226" s="38" t="str">
        <f t="shared" si="33"/>
        <v>Y</v>
      </c>
      <c r="BV226" s="38" t="str">
        <f t="shared" si="34"/>
        <v>StackerPrivacy-GardBass LatchYesYes</v>
      </c>
      <c r="BW226" s="38" t="str">
        <f t="shared" si="35"/>
        <v>PGSTBYY</v>
      </c>
    </row>
    <row r="227" spans="64:75" ht="14.4">
      <c r="BL227" s="38" t="s">
        <v>231</v>
      </c>
      <c r="BM227" s="38" t="s">
        <v>178</v>
      </c>
      <c r="BN227" s="38" t="s">
        <v>279</v>
      </c>
      <c r="BO227" s="38" t="s">
        <v>147</v>
      </c>
      <c r="BQ227" s="38" t="str">
        <f t="shared" si="36"/>
        <v>PG</v>
      </c>
      <c r="BR227" s="38" t="str">
        <f t="shared" si="30"/>
        <v>H</v>
      </c>
      <c r="BS227" s="38" t="str">
        <f t="shared" si="31"/>
        <v>S</v>
      </c>
      <c r="BT227" s="38" t="str">
        <f t="shared" si="32"/>
        <v>N</v>
      </c>
      <c r="BU227" s="38" t="str">
        <f t="shared" si="33"/>
        <v>N</v>
      </c>
      <c r="BV227" s="38" t="str">
        <f t="shared" si="34"/>
        <v>HingedPrivacy-GardSingle LockNo</v>
      </c>
      <c r="BW227" s="38" t="str">
        <f t="shared" si="35"/>
        <v>PGHSNN</v>
      </c>
    </row>
    <row r="228" spans="64:75" ht="14.4">
      <c r="BL228" s="38" t="s">
        <v>231</v>
      </c>
      <c r="BM228" s="38" t="s">
        <v>179</v>
      </c>
      <c r="BN228" s="38" t="s">
        <v>279</v>
      </c>
      <c r="BO228" s="38" t="s">
        <v>147</v>
      </c>
      <c r="BQ228" s="38" t="str">
        <f t="shared" si="36"/>
        <v>PG</v>
      </c>
      <c r="BR228" s="38" t="str">
        <f t="shared" si="30"/>
        <v>S</v>
      </c>
      <c r="BS228" s="38" t="str">
        <f t="shared" si="31"/>
        <v>S</v>
      </c>
      <c r="BT228" s="38" t="str">
        <f t="shared" si="32"/>
        <v>N</v>
      </c>
      <c r="BU228" s="38" t="str">
        <f t="shared" si="33"/>
        <v>N</v>
      </c>
      <c r="BV228" s="38" t="str">
        <f t="shared" si="34"/>
        <v>SlidingPrivacy-GardSingle LockNo</v>
      </c>
      <c r="BW228" s="38" t="str">
        <f t="shared" si="35"/>
        <v>PGSSNN</v>
      </c>
    </row>
    <row r="229" spans="64:75" ht="14.4">
      <c r="BL229" s="38" t="s">
        <v>231</v>
      </c>
      <c r="BM229" s="38" t="s">
        <v>220</v>
      </c>
      <c r="BN229" s="38" t="s">
        <v>279</v>
      </c>
      <c r="BO229" s="38" t="s">
        <v>147</v>
      </c>
      <c r="BQ229" s="38" t="str">
        <f t="shared" si="36"/>
        <v>PG</v>
      </c>
      <c r="BR229" s="38" t="str">
        <f t="shared" si="30"/>
        <v>ST</v>
      </c>
      <c r="BS229" s="38" t="str">
        <f t="shared" si="31"/>
        <v>S</v>
      </c>
      <c r="BT229" s="38" t="str">
        <f t="shared" si="32"/>
        <v>N</v>
      </c>
      <c r="BU229" s="38" t="str">
        <f t="shared" si="33"/>
        <v>N</v>
      </c>
      <c r="BV229" s="38" t="str">
        <f t="shared" si="34"/>
        <v>StackerPrivacy-GardSingle LockNo</v>
      </c>
      <c r="BW229" s="38" t="str">
        <f t="shared" si="35"/>
        <v>PGSTSNN</v>
      </c>
    </row>
    <row r="230" spans="64:75" ht="14.4">
      <c r="BL230" s="38" t="s">
        <v>231</v>
      </c>
      <c r="BM230" s="38" t="s">
        <v>178</v>
      </c>
      <c r="BN230" s="38" t="s">
        <v>275</v>
      </c>
      <c r="BO230" s="38" t="s">
        <v>147</v>
      </c>
      <c r="BQ230" s="38" t="str">
        <f t="shared" si="36"/>
        <v>PG</v>
      </c>
      <c r="BR230" s="38" t="str">
        <f t="shared" si="30"/>
        <v>H</v>
      </c>
      <c r="BS230" s="38" t="str">
        <f t="shared" si="31"/>
        <v>T</v>
      </c>
      <c r="BT230" s="38" t="str">
        <f t="shared" si="32"/>
        <v>N</v>
      </c>
      <c r="BU230" s="38" t="str">
        <f t="shared" si="33"/>
        <v>N</v>
      </c>
      <c r="BV230" s="38" t="str">
        <f t="shared" si="34"/>
        <v>HingedPrivacy-GardTriple LockNo</v>
      </c>
      <c r="BW230" s="38" t="str">
        <f t="shared" si="35"/>
        <v>PGHTNN</v>
      </c>
    </row>
    <row r="231" spans="64:75" ht="14.4">
      <c r="BL231" s="38" t="s">
        <v>231</v>
      </c>
      <c r="BM231" s="38" t="s">
        <v>179</v>
      </c>
      <c r="BN231" s="38" t="s">
        <v>275</v>
      </c>
      <c r="BO231" s="38" t="s">
        <v>147</v>
      </c>
      <c r="BQ231" s="38" t="str">
        <f t="shared" si="36"/>
        <v>PG</v>
      </c>
      <c r="BR231" s="38" t="str">
        <f t="shared" si="30"/>
        <v>S</v>
      </c>
      <c r="BS231" s="38" t="str">
        <f t="shared" si="31"/>
        <v>T</v>
      </c>
      <c r="BT231" s="38" t="str">
        <f t="shared" si="32"/>
        <v>N</v>
      </c>
      <c r="BU231" s="38" t="str">
        <f t="shared" si="33"/>
        <v>N</v>
      </c>
      <c r="BV231" s="38" t="str">
        <f t="shared" si="34"/>
        <v>SlidingPrivacy-GardTriple LockNo</v>
      </c>
      <c r="BW231" s="38" t="str">
        <f t="shared" si="35"/>
        <v>PGSTNN</v>
      </c>
    </row>
    <row r="232" spans="64:75" ht="14.4">
      <c r="BL232" s="38" t="s">
        <v>231</v>
      </c>
      <c r="BM232" s="38" t="s">
        <v>220</v>
      </c>
      <c r="BN232" s="38" t="s">
        <v>275</v>
      </c>
      <c r="BO232" s="38" t="s">
        <v>147</v>
      </c>
      <c r="BQ232" s="38" t="str">
        <f t="shared" si="36"/>
        <v>PG</v>
      </c>
      <c r="BR232" s="38" t="str">
        <f t="shared" si="30"/>
        <v>ST</v>
      </c>
      <c r="BS232" s="38" t="str">
        <f t="shared" si="31"/>
        <v>T</v>
      </c>
      <c r="BT232" s="38" t="str">
        <f t="shared" si="32"/>
        <v>N</v>
      </c>
      <c r="BU232" s="38" t="str">
        <f t="shared" si="33"/>
        <v>N</v>
      </c>
      <c r="BV232" s="38" t="str">
        <f t="shared" si="34"/>
        <v>StackerPrivacy-GardTriple LockNo</v>
      </c>
      <c r="BW232" s="38" t="str">
        <f t="shared" si="35"/>
        <v>PGSTTNN</v>
      </c>
    </row>
    <row r="233" spans="64:75" ht="14.4">
      <c r="BL233" s="38" t="s">
        <v>231</v>
      </c>
      <c r="BM233" s="38" t="s">
        <v>178</v>
      </c>
      <c r="BN233" s="38" t="s">
        <v>410</v>
      </c>
      <c r="BO233" s="38" t="s">
        <v>147</v>
      </c>
      <c r="BQ233" s="38" t="str">
        <f t="shared" si="36"/>
        <v>PG</v>
      </c>
      <c r="BR233" s="38" t="str">
        <f t="shared" si="30"/>
        <v>H</v>
      </c>
      <c r="BS233" s="38" t="str">
        <f t="shared" si="31"/>
        <v>N</v>
      </c>
      <c r="BT233" s="38" t="str">
        <f t="shared" si="32"/>
        <v>N</v>
      </c>
      <c r="BU233" s="38" t="str">
        <f t="shared" si="33"/>
        <v>N</v>
      </c>
      <c r="BV233" s="38" t="str">
        <f t="shared" si="34"/>
        <v>HingedPrivacy-GardNot RequiredNo</v>
      </c>
      <c r="BW233" s="38" t="str">
        <f t="shared" si="35"/>
        <v>PGHNNN</v>
      </c>
    </row>
    <row r="234" spans="64:75" ht="14.4">
      <c r="BL234" s="38" t="s">
        <v>231</v>
      </c>
      <c r="BM234" s="38" t="s">
        <v>179</v>
      </c>
      <c r="BN234" s="38" t="s">
        <v>410</v>
      </c>
      <c r="BO234" s="38" t="s">
        <v>147</v>
      </c>
      <c r="BQ234" s="38" t="str">
        <f t="shared" si="36"/>
        <v>PG</v>
      </c>
      <c r="BR234" s="38" t="str">
        <f t="shared" si="30"/>
        <v>S</v>
      </c>
      <c r="BS234" s="38" t="str">
        <f t="shared" si="31"/>
        <v>N</v>
      </c>
      <c r="BT234" s="38" t="str">
        <f t="shared" si="32"/>
        <v>N</v>
      </c>
      <c r="BU234" s="38" t="str">
        <f t="shared" si="33"/>
        <v>N</v>
      </c>
      <c r="BV234" s="38" t="str">
        <f t="shared" si="34"/>
        <v>SlidingPrivacy-GardNot RequiredNo</v>
      </c>
      <c r="BW234" s="38" t="str">
        <f t="shared" si="35"/>
        <v>PGSNNN</v>
      </c>
    </row>
    <row r="235" spans="64:75" ht="14.4">
      <c r="BL235" s="38" t="s">
        <v>231</v>
      </c>
      <c r="BM235" s="38" t="s">
        <v>220</v>
      </c>
      <c r="BN235" s="38" t="s">
        <v>410</v>
      </c>
      <c r="BO235" s="38" t="s">
        <v>147</v>
      </c>
      <c r="BQ235" s="38" t="str">
        <f t="shared" si="36"/>
        <v>PG</v>
      </c>
      <c r="BR235" s="38" t="str">
        <f t="shared" si="30"/>
        <v>ST</v>
      </c>
      <c r="BS235" s="38" t="str">
        <f t="shared" si="31"/>
        <v>N</v>
      </c>
      <c r="BT235" s="38" t="str">
        <f t="shared" si="32"/>
        <v>N</v>
      </c>
      <c r="BU235" s="38" t="str">
        <f t="shared" si="33"/>
        <v>N</v>
      </c>
      <c r="BV235" s="38" t="str">
        <f t="shared" si="34"/>
        <v>StackerPrivacy-GardNot RequiredNo</v>
      </c>
      <c r="BW235" s="38" t="str">
        <f t="shared" si="35"/>
        <v>PGSTNNN</v>
      </c>
    </row>
    <row r="236" spans="64:75" ht="14.4">
      <c r="BL236" s="38" t="s">
        <v>231</v>
      </c>
      <c r="BM236" s="38" t="s">
        <v>178</v>
      </c>
      <c r="BN236" s="38" t="s">
        <v>383</v>
      </c>
      <c r="BO236" s="38" t="s">
        <v>147</v>
      </c>
      <c r="BQ236" s="38" t="str">
        <f t="shared" si="36"/>
        <v>PG</v>
      </c>
      <c r="BR236" s="38" t="str">
        <f t="shared" si="30"/>
        <v>H</v>
      </c>
      <c r="BS236" s="38" t="str">
        <f t="shared" si="31"/>
        <v>D</v>
      </c>
      <c r="BT236" s="38" t="str">
        <f t="shared" si="32"/>
        <v>N</v>
      </c>
      <c r="BU236" s="38" t="str">
        <f t="shared" si="33"/>
        <v>N</v>
      </c>
      <c r="BV236" s="38" t="str">
        <f t="shared" si="34"/>
        <v>HingedPrivacy-GardUltra Secua Digital Triple LockNo</v>
      </c>
      <c r="BW236" s="38" t="str">
        <f t="shared" si="35"/>
        <v>PGHDNN</v>
      </c>
    </row>
    <row r="237" spans="64:75" ht="14.4">
      <c r="BL237" s="38" t="s">
        <v>231</v>
      </c>
      <c r="BM237" s="38" t="s">
        <v>179</v>
      </c>
      <c r="BN237" s="38" t="s">
        <v>383</v>
      </c>
      <c r="BO237" s="38" t="s">
        <v>147</v>
      </c>
      <c r="BQ237" s="38" t="str">
        <f t="shared" si="36"/>
        <v>PG</v>
      </c>
      <c r="BR237" s="38" t="str">
        <f t="shared" si="30"/>
        <v>S</v>
      </c>
      <c r="BS237" s="38" t="str">
        <f t="shared" si="31"/>
        <v>D</v>
      </c>
      <c r="BT237" s="38" t="str">
        <f t="shared" si="32"/>
        <v>N</v>
      </c>
      <c r="BU237" s="38" t="str">
        <f t="shared" si="33"/>
        <v>N</v>
      </c>
      <c r="BV237" s="38" t="str">
        <f t="shared" si="34"/>
        <v>SlidingPrivacy-GardUltra Secua Digital Triple LockNo</v>
      </c>
      <c r="BW237" s="38" t="str">
        <f t="shared" si="35"/>
        <v>PGSDNN</v>
      </c>
    </row>
    <row r="238" spans="64:75" ht="14.4">
      <c r="BL238" s="38" t="s">
        <v>231</v>
      </c>
      <c r="BM238" s="38" t="s">
        <v>220</v>
      </c>
      <c r="BN238" s="38" t="s">
        <v>383</v>
      </c>
      <c r="BO238" s="38" t="s">
        <v>147</v>
      </c>
      <c r="BQ238" s="38" t="str">
        <f t="shared" si="36"/>
        <v>PG</v>
      </c>
      <c r="BR238" s="38" t="str">
        <f t="shared" si="30"/>
        <v>ST</v>
      </c>
      <c r="BS238" s="38" t="str">
        <f t="shared" si="31"/>
        <v>D</v>
      </c>
      <c r="BT238" s="38" t="str">
        <f t="shared" si="32"/>
        <v>N</v>
      </c>
      <c r="BU238" s="38" t="str">
        <f t="shared" si="33"/>
        <v>N</v>
      </c>
      <c r="BV238" s="38" t="str">
        <f t="shared" si="34"/>
        <v>StackerPrivacy-GardUltra Secua Digital Triple LockNo</v>
      </c>
      <c r="BW238" s="38" t="str">
        <f t="shared" si="35"/>
        <v>PGSTDNN</v>
      </c>
    </row>
    <row r="239" spans="64:75" ht="14.4">
      <c r="BL239" s="38" t="s">
        <v>231</v>
      </c>
      <c r="BM239" s="38" t="s">
        <v>178</v>
      </c>
      <c r="BN239" s="38" t="s">
        <v>284</v>
      </c>
      <c r="BO239" s="38" t="s">
        <v>147</v>
      </c>
      <c r="BQ239" s="38" t="str">
        <f t="shared" si="36"/>
        <v>PG</v>
      </c>
      <c r="BR239" s="38" t="str">
        <f t="shared" si="30"/>
        <v>H</v>
      </c>
      <c r="BS239" s="38" t="str">
        <f t="shared" si="31"/>
        <v>B</v>
      </c>
      <c r="BT239" s="38" t="str">
        <f t="shared" si="32"/>
        <v>N</v>
      </c>
      <c r="BU239" s="38" t="str">
        <f t="shared" si="33"/>
        <v>N</v>
      </c>
      <c r="BV239" s="38" t="str">
        <f t="shared" si="34"/>
        <v>HingedPrivacy-GardBass LatchNo</v>
      </c>
      <c r="BW239" s="38" t="str">
        <f t="shared" si="35"/>
        <v>PGHBNN</v>
      </c>
    </row>
    <row r="240" spans="64:75" ht="14.4">
      <c r="BL240" s="38" t="s">
        <v>231</v>
      </c>
      <c r="BM240" s="38" t="s">
        <v>179</v>
      </c>
      <c r="BN240" s="38" t="s">
        <v>284</v>
      </c>
      <c r="BO240" s="38" t="s">
        <v>147</v>
      </c>
      <c r="BQ240" s="38" t="str">
        <f t="shared" si="36"/>
        <v>PG</v>
      </c>
      <c r="BR240" s="38" t="str">
        <f t="shared" si="30"/>
        <v>S</v>
      </c>
      <c r="BS240" s="38" t="str">
        <f t="shared" si="31"/>
        <v>B</v>
      </c>
      <c r="BT240" s="38" t="str">
        <f t="shared" si="32"/>
        <v>N</v>
      </c>
      <c r="BU240" s="38" t="str">
        <f t="shared" si="33"/>
        <v>N</v>
      </c>
      <c r="BV240" s="38" t="str">
        <f t="shared" si="34"/>
        <v>SlidingPrivacy-GardBass LatchNo</v>
      </c>
      <c r="BW240" s="38" t="str">
        <f t="shared" si="35"/>
        <v>PGSBNN</v>
      </c>
    </row>
    <row r="241" spans="64:75" ht="14.4">
      <c r="BL241" s="38" t="s">
        <v>231</v>
      </c>
      <c r="BM241" s="38" t="s">
        <v>220</v>
      </c>
      <c r="BN241" s="38" t="s">
        <v>284</v>
      </c>
      <c r="BO241" s="38" t="s">
        <v>147</v>
      </c>
      <c r="BQ241" s="38" t="str">
        <f t="shared" si="36"/>
        <v>PG</v>
      </c>
      <c r="BR241" s="38" t="str">
        <f t="shared" si="30"/>
        <v>ST</v>
      </c>
      <c r="BS241" s="38" t="str">
        <f t="shared" si="31"/>
        <v>B</v>
      </c>
      <c r="BT241" s="38" t="str">
        <f t="shared" si="32"/>
        <v>N</v>
      </c>
      <c r="BU241" s="38" t="str">
        <f t="shared" si="33"/>
        <v>N</v>
      </c>
      <c r="BV241" s="38" t="str">
        <f t="shared" si="34"/>
        <v>StackerPrivacy-GardBass LatchNo</v>
      </c>
      <c r="BW241" s="38" t="str">
        <f t="shared" si="35"/>
        <v>PGSTBNN</v>
      </c>
    </row>
    <row r="242" spans="64:75" ht="14.4">
      <c r="BL242" s="38" t="s">
        <v>231</v>
      </c>
      <c r="BM242" s="38" t="s">
        <v>178</v>
      </c>
      <c r="BN242" s="38" t="s">
        <v>279</v>
      </c>
      <c r="BO242" s="38" t="s">
        <v>411</v>
      </c>
      <c r="BQ242" s="38" t="str">
        <f t="shared" si="36"/>
        <v>PG</v>
      </c>
      <c r="BR242" s="38" t="str">
        <f t="shared" si="30"/>
        <v>H</v>
      </c>
      <c r="BS242" s="38" t="str">
        <f t="shared" si="31"/>
        <v>S</v>
      </c>
      <c r="BT242" s="38" t="str">
        <f t="shared" si="32"/>
        <v>Y</v>
      </c>
      <c r="BU242" s="38" t="str">
        <f t="shared" si="33"/>
        <v>N</v>
      </c>
      <c r="BV242" s="38" t="str">
        <f t="shared" si="34"/>
        <v>HingedPrivacy-GardSingle LockYes - Centre</v>
      </c>
      <c r="BW242" s="38" t="str">
        <f t="shared" si="35"/>
        <v>PGHSYN</v>
      </c>
    </row>
    <row r="243" spans="64:75" ht="14.4">
      <c r="BL243" s="38" t="s">
        <v>231</v>
      </c>
      <c r="BM243" s="38" t="s">
        <v>179</v>
      </c>
      <c r="BN243" s="38" t="s">
        <v>279</v>
      </c>
      <c r="BO243" s="38" t="s">
        <v>411</v>
      </c>
      <c r="BQ243" s="38" t="str">
        <f t="shared" si="36"/>
        <v>PG</v>
      </c>
      <c r="BR243" s="38" t="str">
        <f t="shared" si="30"/>
        <v>S</v>
      </c>
      <c r="BS243" s="38" t="str">
        <f t="shared" si="31"/>
        <v>S</v>
      </c>
      <c r="BT243" s="38" t="str">
        <f t="shared" si="32"/>
        <v>Y</v>
      </c>
      <c r="BU243" s="38" t="str">
        <f t="shared" si="33"/>
        <v>N</v>
      </c>
      <c r="BV243" s="38" t="str">
        <f t="shared" si="34"/>
        <v>SlidingPrivacy-GardSingle LockYes - Centre</v>
      </c>
      <c r="BW243" s="38" t="str">
        <f t="shared" si="35"/>
        <v>PGSSYN</v>
      </c>
    </row>
    <row r="244" spans="64:75" ht="14.4">
      <c r="BL244" s="38" t="s">
        <v>231</v>
      </c>
      <c r="BM244" s="38" t="s">
        <v>220</v>
      </c>
      <c r="BN244" s="38" t="s">
        <v>279</v>
      </c>
      <c r="BO244" s="38" t="s">
        <v>411</v>
      </c>
      <c r="BQ244" s="38" t="str">
        <f t="shared" si="36"/>
        <v>PG</v>
      </c>
      <c r="BR244" s="38" t="str">
        <f t="shared" si="30"/>
        <v>ST</v>
      </c>
      <c r="BS244" s="38" t="str">
        <f t="shared" si="31"/>
        <v>S</v>
      </c>
      <c r="BT244" s="38" t="str">
        <f t="shared" si="32"/>
        <v>Y</v>
      </c>
      <c r="BU244" s="38" t="str">
        <f t="shared" si="33"/>
        <v>N</v>
      </c>
      <c r="BV244" s="38" t="str">
        <f t="shared" si="34"/>
        <v>StackerPrivacy-GardSingle LockYes - Centre</v>
      </c>
      <c r="BW244" s="38" t="str">
        <f t="shared" si="35"/>
        <v>PGSTSYN</v>
      </c>
    </row>
    <row r="245" spans="64:75" ht="14.4">
      <c r="BL245" s="38" t="s">
        <v>231</v>
      </c>
      <c r="BM245" s="38" t="s">
        <v>178</v>
      </c>
      <c r="BN245" s="38" t="s">
        <v>275</v>
      </c>
      <c r="BO245" s="38" t="s">
        <v>411</v>
      </c>
      <c r="BQ245" s="38" t="str">
        <f t="shared" si="36"/>
        <v>PG</v>
      </c>
      <c r="BR245" s="38" t="str">
        <f t="shared" si="30"/>
        <v>H</v>
      </c>
      <c r="BS245" s="38" t="str">
        <f t="shared" si="31"/>
        <v>T</v>
      </c>
      <c r="BT245" s="38" t="str">
        <f t="shared" si="32"/>
        <v>Y</v>
      </c>
      <c r="BU245" s="38" t="str">
        <f t="shared" si="33"/>
        <v>N</v>
      </c>
      <c r="BV245" s="38" t="str">
        <f t="shared" si="34"/>
        <v>HingedPrivacy-GardTriple LockYes - Centre</v>
      </c>
      <c r="BW245" s="38" t="str">
        <f t="shared" si="35"/>
        <v>PGHTYN</v>
      </c>
    </row>
    <row r="246" spans="64:75" ht="14.4">
      <c r="BL246" s="38" t="s">
        <v>231</v>
      </c>
      <c r="BM246" s="38" t="s">
        <v>179</v>
      </c>
      <c r="BN246" s="38" t="s">
        <v>275</v>
      </c>
      <c r="BO246" s="38" t="s">
        <v>411</v>
      </c>
      <c r="BQ246" s="38" t="str">
        <f t="shared" si="36"/>
        <v>PG</v>
      </c>
      <c r="BR246" s="38" t="str">
        <f t="shared" si="30"/>
        <v>S</v>
      </c>
      <c r="BS246" s="38" t="str">
        <f t="shared" si="31"/>
        <v>T</v>
      </c>
      <c r="BT246" s="38" t="str">
        <f t="shared" si="32"/>
        <v>Y</v>
      </c>
      <c r="BU246" s="38" t="str">
        <f t="shared" si="33"/>
        <v>N</v>
      </c>
      <c r="BV246" s="38" t="str">
        <f t="shared" si="34"/>
        <v>SlidingPrivacy-GardTriple LockYes - Centre</v>
      </c>
      <c r="BW246" s="38" t="str">
        <f t="shared" si="35"/>
        <v>PGSTYN</v>
      </c>
    </row>
    <row r="247" spans="64:75" ht="14.4">
      <c r="BL247" s="38" t="s">
        <v>231</v>
      </c>
      <c r="BM247" s="38" t="s">
        <v>220</v>
      </c>
      <c r="BN247" s="38" t="s">
        <v>275</v>
      </c>
      <c r="BO247" s="38" t="s">
        <v>411</v>
      </c>
      <c r="BQ247" s="38" t="str">
        <f t="shared" si="36"/>
        <v>PG</v>
      </c>
      <c r="BR247" s="38" t="str">
        <f t="shared" si="30"/>
        <v>ST</v>
      </c>
      <c r="BS247" s="38" t="str">
        <f t="shared" si="31"/>
        <v>T</v>
      </c>
      <c r="BT247" s="38" t="str">
        <f t="shared" si="32"/>
        <v>Y</v>
      </c>
      <c r="BU247" s="38" t="str">
        <f t="shared" si="33"/>
        <v>N</v>
      </c>
      <c r="BV247" s="38" t="str">
        <f t="shared" si="34"/>
        <v>StackerPrivacy-GardTriple LockYes - Centre</v>
      </c>
      <c r="BW247" s="38" t="str">
        <f t="shared" si="35"/>
        <v>PGSTTYN</v>
      </c>
    </row>
    <row r="248" spans="64:75" ht="14.4">
      <c r="BL248" s="38" t="s">
        <v>231</v>
      </c>
      <c r="BM248" s="38" t="s">
        <v>178</v>
      </c>
      <c r="BN248" s="38" t="s">
        <v>410</v>
      </c>
      <c r="BO248" s="38" t="s">
        <v>411</v>
      </c>
      <c r="BQ248" s="38" t="str">
        <f t="shared" si="36"/>
        <v>PG</v>
      </c>
      <c r="BR248" s="38" t="str">
        <f t="shared" si="30"/>
        <v>H</v>
      </c>
      <c r="BS248" s="38" t="str">
        <f t="shared" si="31"/>
        <v>N</v>
      </c>
      <c r="BT248" s="38" t="str">
        <f t="shared" si="32"/>
        <v>Y</v>
      </c>
      <c r="BU248" s="38" t="str">
        <f t="shared" si="33"/>
        <v>N</v>
      </c>
      <c r="BV248" s="38" t="str">
        <f t="shared" si="34"/>
        <v>HingedPrivacy-GardNot RequiredYes - Centre</v>
      </c>
      <c r="BW248" s="38" t="str">
        <f t="shared" si="35"/>
        <v>PGHNYN</v>
      </c>
    </row>
    <row r="249" spans="64:75" ht="14.4">
      <c r="BL249" s="38" t="s">
        <v>231</v>
      </c>
      <c r="BM249" s="38" t="s">
        <v>179</v>
      </c>
      <c r="BN249" s="38" t="s">
        <v>410</v>
      </c>
      <c r="BO249" s="38" t="s">
        <v>411</v>
      </c>
      <c r="BQ249" s="38" t="str">
        <f t="shared" si="36"/>
        <v>PG</v>
      </c>
      <c r="BR249" s="38" t="str">
        <f t="shared" si="30"/>
        <v>S</v>
      </c>
      <c r="BS249" s="38" t="str">
        <f t="shared" si="31"/>
        <v>N</v>
      </c>
      <c r="BT249" s="38" t="str">
        <f t="shared" si="32"/>
        <v>Y</v>
      </c>
      <c r="BU249" s="38" t="str">
        <f t="shared" si="33"/>
        <v>N</v>
      </c>
      <c r="BV249" s="38" t="str">
        <f t="shared" si="34"/>
        <v>SlidingPrivacy-GardNot RequiredYes - Centre</v>
      </c>
      <c r="BW249" s="38" t="str">
        <f t="shared" si="35"/>
        <v>PGSNYN</v>
      </c>
    </row>
    <row r="250" spans="64:75" ht="14.4">
      <c r="BL250" s="38" t="s">
        <v>231</v>
      </c>
      <c r="BM250" s="38" t="s">
        <v>220</v>
      </c>
      <c r="BN250" s="38" t="s">
        <v>410</v>
      </c>
      <c r="BO250" s="38" t="s">
        <v>411</v>
      </c>
      <c r="BQ250" s="38" t="str">
        <f t="shared" si="36"/>
        <v>PG</v>
      </c>
      <c r="BR250" s="38" t="str">
        <f t="shared" si="30"/>
        <v>ST</v>
      </c>
      <c r="BS250" s="38" t="str">
        <f t="shared" si="31"/>
        <v>N</v>
      </c>
      <c r="BT250" s="38" t="str">
        <f t="shared" si="32"/>
        <v>Y</v>
      </c>
      <c r="BU250" s="38" t="str">
        <f t="shared" si="33"/>
        <v>N</v>
      </c>
      <c r="BV250" s="38" t="str">
        <f t="shared" si="34"/>
        <v>StackerPrivacy-GardNot RequiredYes - Centre</v>
      </c>
      <c r="BW250" s="38" t="str">
        <f t="shared" si="35"/>
        <v>PGSTNYN</v>
      </c>
    </row>
    <row r="251" spans="64:75" ht="14.4">
      <c r="BL251" s="38" t="s">
        <v>231</v>
      </c>
      <c r="BM251" s="38" t="s">
        <v>178</v>
      </c>
      <c r="BN251" s="38" t="s">
        <v>383</v>
      </c>
      <c r="BO251" s="38" t="s">
        <v>411</v>
      </c>
      <c r="BQ251" s="38" t="str">
        <f t="shared" si="36"/>
        <v>PG</v>
      </c>
      <c r="BR251" s="38" t="str">
        <f t="shared" si="30"/>
        <v>H</v>
      </c>
      <c r="BS251" s="38" t="str">
        <f t="shared" si="31"/>
        <v>D</v>
      </c>
      <c r="BT251" s="38" t="str">
        <f t="shared" si="32"/>
        <v>Y</v>
      </c>
      <c r="BU251" s="38" t="str">
        <f t="shared" si="33"/>
        <v>N</v>
      </c>
      <c r="BV251" s="38" t="str">
        <f t="shared" si="34"/>
        <v>HingedPrivacy-GardUltra Secua Digital Triple LockYes - Centre</v>
      </c>
      <c r="BW251" s="38" t="str">
        <f t="shared" si="35"/>
        <v>PGHDYN</v>
      </c>
    </row>
    <row r="252" spans="64:75" ht="14.4">
      <c r="BL252" s="38" t="s">
        <v>231</v>
      </c>
      <c r="BM252" s="38" t="s">
        <v>179</v>
      </c>
      <c r="BN252" s="38" t="s">
        <v>383</v>
      </c>
      <c r="BO252" s="38" t="s">
        <v>411</v>
      </c>
      <c r="BQ252" s="38" t="str">
        <f t="shared" si="36"/>
        <v>PG</v>
      </c>
      <c r="BR252" s="38" t="str">
        <f t="shared" si="30"/>
        <v>S</v>
      </c>
      <c r="BS252" s="38" t="str">
        <f t="shared" si="31"/>
        <v>D</v>
      </c>
      <c r="BT252" s="38" t="str">
        <f t="shared" si="32"/>
        <v>Y</v>
      </c>
      <c r="BU252" s="38" t="str">
        <f t="shared" si="33"/>
        <v>N</v>
      </c>
      <c r="BV252" s="38" t="str">
        <f t="shared" si="34"/>
        <v>SlidingPrivacy-GardUltra Secua Digital Triple LockYes - Centre</v>
      </c>
      <c r="BW252" s="38" t="str">
        <f t="shared" si="35"/>
        <v>PGSDYN</v>
      </c>
    </row>
    <row r="253" spans="64:75" ht="14.4">
      <c r="BL253" s="38" t="s">
        <v>231</v>
      </c>
      <c r="BM253" s="38" t="s">
        <v>220</v>
      </c>
      <c r="BN253" s="38" t="s">
        <v>383</v>
      </c>
      <c r="BO253" s="38" t="s">
        <v>411</v>
      </c>
      <c r="BQ253" s="38" t="str">
        <f t="shared" si="36"/>
        <v>PG</v>
      </c>
      <c r="BR253" s="38" t="str">
        <f t="shared" si="30"/>
        <v>ST</v>
      </c>
      <c r="BS253" s="38" t="str">
        <f t="shared" si="31"/>
        <v>D</v>
      </c>
      <c r="BT253" s="38" t="str">
        <f t="shared" si="32"/>
        <v>Y</v>
      </c>
      <c r="BU253" s="38" t="str">
        <f t="shared" si="33"/>
        <v>N</v>
      </c>
      <c r="BV253" s="38" t="str">
        <f t="shared" si="34"/>
        <v>StackerPrivacy-GardUltra Secua Digital Triple LockYes - Centre</v>
      </c>
      <c r="BW253" s="38" t="str">
        <f t="shared" si="35"/>
        <v>PGSTDYN</v>
      </c>
    </row>
    <row r="254" spans="64:75" ht="14.4">
      <c r="BL254" s="38" t="s">
        <v>231</v>
      </c>
      <c r="BM254" s="38" t="s">
        <v>178</v>
      </c>
      <c r="BN254" s="38" t="s">
        <v>284</v>
      </c>
      <c r="BO254" s="38" t="s">
        <v>411</v>
      </c>
      <c r="BQ254" s="38" t="str">
        <f t="shared" si="36"/>
        <v>PG</v>
      </c>
      <c r="BR254" s="38" t="str">
        <f t="shared" si="30"/>
        <v>H</v>
      </c>
      <c r="BS254" s="38" t="str">
        <f t="shared" si="31"/>
        <v>B</v>
      </c>
      <c r="BT254" s="38" t="str">
        <f t="shared" si="32"/>
        <v>Y</v>
      </c>
      <c r="BU254" s="38" t="str">
        <f t="shared" si="33"/>
        <v>N</v>
      </c>
      <c r="BV254" s="38" t="str">
        <f t="shared" si="34"/>
        <v>HingedPrivacy-GardBass LatchYes - Centre</v>
      </c>
      <c r="BW254" s="38" t="str">
        <f t="shared" si="35"/>
        <v>PGHBYN</v>
      </c>
    </row>
    <row r="255" spans="64:75" ht="14.4">
      <c r="BL255" s="38" t="s">
        <v>231</v>
      </c>
      <c r="BM255" s="38" t="s">
        <v>179</v>
      </c>
      <c r="BN255" s="38" t="s">
        <v>284</v>
      </c>
      <c r="BO255" s="38" t="s">
        <v>411</v>
      </c>
      <c r="BQ255" s="38" t="str">
        <f t="shared" si="36"/>
        <v>PG</v>
      </c>
      <c r="BR255" s="38" t="str">
        <f t="shared" si="30"/>
        <v>S</v>
      </c>
      <c r="BS255" s="38" t="str">
        <f t="shared" si="31"/>
        <v>B</v>
      </c>
      <c r="BT255" s="38" t="str">
        <f t="shared" si="32"/>
        <v>Y</v>
      </c>
      <c r="BU255" s="38" t="str">
        <f t="shared" si="33"/>
        <v>N</v>
      </c>
      <c r="BV255" s="38" t="str">
        <f t="shared" si="34"/>
        <v>SlidingPrivacy-GardBass LatchYes - Centre</v>
      </c>
      <c r="BW255" s="38" t="str">
        <f t="shared" si="35"/>
        <v>PGSBYN</v>
      </c>
    </row>
    <row r="256" spans="64:75" ht="14.4">
      <c r="BL256" s="38" t="s">
        <v>231</v>
      </c>
      <c r="BM256" s="38" t="s">
        <v>220</v>
      </c>
      <c r="BN256" s="38" t="s">
        <v>284</v>
      </c>
      <c r="BO256" s="38" t="s">
        <v>411</v>
      </c>
      <c r="BQ256" s="38" t="str">
        <f t="shared" si="36"/>
        <v>PG</v>
      </c>
      <c r="BR256" s="38" t="str">
        <f t="shared" si="30"/>
        <v>ST</v>
      </c>
      <c r="BS256" s="38" t="str">
        <f t="shared" si="31"/>
        <v>B</v>
      </c>
      <c r="BT256" s="38" t="str">
        <f t="shared" si="32"/>
        <v>Y</v>
      </c>
      <c r="BU256" s="38" t="str">
        <f t="shared" si="33"/>
        <v>N</v>
      </c>
      <c r="BV256" s="38" t="str">
        <f t="shared" si="34"/>
        <v>StackerPrivacy-GardBass LatchYes - Centre</v>
      </c>
      <c r="BW256" s="38" t="str">
        <f t="shared" si="35"/>
        <v>PGSTBYN</v>
      </c>
    </row>
    <row r="257" spans="64:75" ht="14.4">
      <c r="BL257" s="38" t="s">
        <v>231</v>
      </c>
      <c r="BM257" s="38" t="s">
        <v>178</v>
      </c>
      <c r="BN257" s="38" t="s">
        <v>279</v>
      </c>
      <c r="BO257" s="38" t="s">
        <v>306</v>
      </c>
      <c r="BQ257" s="38" t="str">
        <f t="shared" si="36"/>
        <v>PG</v>
      </c>
      <c r="BR257" s="38" t="str">
        <f t="shared" si="30"/>
        <v>H</v>
      </c>
      <c r="BS257" s="38" t="str">
        <f t="shared" si="31"/>
        <v>S</v>
      </c>
      <c r="BT257" s="38" t="str">
        <f t="shared" si="32"/>
        <v>Y</v>
      </c>
      <c r="BU257" s="38" t="str">
        <f t="shared" si="33"/>
        <v>N</v>
      </c>
      <c r="BV257" s="38" t="str">
        <f t="shared" si="34"/>
        <v>HingedPrivacy-GardSingle LockYes</v>
      </c>
      <c r="BW257" s="38" t="str">
        <f t="shared" si="35"/>
        <v>PGHSYN</v>
      </c>
    </row>
    <row r="258" spans="64:75" ht="14.4">
      <c r="BL258" s="38" t="s">
        <v>231</v>
      </c>
      <c r="BM258" s="38" t="s">
        <v>179</v>
      </c>
      <c r="BN258" s="38" t="s">
        <v>279</v>
      </c>
      <c r="BO258" s="38" t="s">
        <v>306</v>
      </c>
      <c r="BQ258" s="38" t="str">
        <f t="shared" si="36"/>
        <v>PG</v>
      </c>
      <c r="BR258" s="38" t="str">
        <f t="shared" si="37" ref="BR258:BR321">IF(BM258="Hinged","H",IF(BM258="Sliding","S",IF(BM258="Stacker","ST")))</f>
        <v>S</v>
      </c>
      <c r="BS258" s="38" t="str">
        <f t="shared" si="38" ref="BS258:BS321">IF(BN258="Single Lock","S",IF(BN258="Triple Lock","T",IF(BN258="Not Required","N",IF(BN258="Ultra Secua Digital Triple Lock","D",IF(BN258="Bass Latch","B")))))</f>
        <v>S</v>
      </c>
      <c r="BT258" s="38" t="str">
        <f t="shared" si="39" ref="BT258:BT321">IF(BO258="No","N",IF(BO258="Yes","Y",IF(BO258="Not Required","N",IF(BO258="Yes - Centre","Y"))))</f>
        <v>Y</v>
      </c>
      <c r="BU258" s="38" t="str">
        <f t="shared" si="40" ref="BU258:BU321">IF(BP258="","N",IF(BP258="Yes","Y"))</f>
        <v>N</v>
      </c>
      <c r="BV258" s="38" t="str">
        <f t="shared" si="41" ref="BV258:BV321">CONCATENATE(BM258,BL258,BN258,BO258,BP258,)</f>
        <v>SlidingPrivacy-GardSingle LockYes</v>
      </c>
      <c r="BW258" s="38" t="str">
        <f t="shared" si="42" ref="BW258:BW321">CONCATENATE(BQ258,BR258,BS258,BT258,BU258)</f>
        <v>PGSSYN</v>
      </c>
    </row>
    <row r="259" spans="64:75" ht="14.4">
      <c r="BL259" s="38" t="s">
        <v>231</v>
      </c>
      <c r="BM259" s="38" t="s">
        <v>220</v>
      </c>
      <c r="BN259" s="38" t="s">
        <v>279</v>
      </c>
      <c r="BO259" s="38" t="s">
        <v>306</v>
      </c>
      <c r="BQ259" s="38" t="str">
        <f t="shared" si="43" ref="BQ259:BQ322">IF(BL259="Standard Diamond","SD",IF(BL259="Decorative Diamond","DD",IF(BL259="Privacy-Gard","PG",IF(BL259="Flyscreen","FW",IF(BL259="Woven Stainless Steel","SS",IF(BL259="Alu-Gard Perforated Aluminium","PA",IF(BL259="Invisi-Gard Woven Stainless Steel","IG")))))))</f>
        <v>PG</v>
      </c>
      <c r="BR259" s="38" t="str">
        <f t="shared" si="37"/>
        <v>ST</v>
      </c>
      <c r="BS259" s="38" t="str">
        <f t="shared" si="38"/>
        <v>S</v>
      </c>
      <c r="BT259" s="38" t="str">
        <f t="shared" si="39"/>
        <v>Y</v>
      </c>
      <c r="BU259" s="38" t="str">
        <f t="shared" si="40"/>
        <v>N</v>
      </c>
      <c r="BV259" s="38" t="str">
        <f t="shared" si="41"/>
        <v>StackerPrivacy-GardSingle LockYes</v>
      </c>
      <c r="BW259" s="38" t="str">
        <f t="shared" si="42"/>
        <v>PGSTSYN</v>
      </c>
    </row>
    <row r="260" spans="64:75" ht="14.4">
      <c r="BL260" s="38" t="s">
        <v>231</v>
      </c>
      <c r="BM260" s="38" t="s">
        <v>178</v>
      </c>
      <c r="BN260" s="38" t="s">
        <v>275</v>
      </c>
      <c r="BO260" s="38" t="s">
        <v>306</v>
      </c>
      <c r="BQ260" s="38" t="str">
        <f t="shared" si="43"/>
        <v>PG</v>
      </c>
      <c r="BR260" s="38" t="str">
        <f t="shared" si="37"/>
        <v>H</v>
      </c>
      <c r="BS260" s="38" t="str">
        <f t="shared" si="38"/>
        <v>T</v>
      </c>
      <c r="BT260" s="38" t="str">
        <f t="shared" si="39"/>
        <v>Y</v>
      </c>
      <c r="BU260" s="38" t="str">
        <f t="shared" si="40"/>
        <v>N</v>
      </c>
      <c r="BV260" s="38" t="str">
        <f t="shared" si="41"/>
        <v>HingedPrivacy-GardTriple LockYes</v>
      </c>
      <c r="BW260" s="38" t="str">
        <f t="shared" si="42"/>
        <v>PGHTYN</v>
      </c>
    </row>
    <row r="261" spans="64:75" ht="14.4">
      <c r="BL261" s="38" t="s">
        <v>231</v>
      </c>
      <c r="BM261" s="38" t="s">
        <v>179</v>
      </c>
      <c r="BN261" s="38" t="s">
        <v>275</v>
      </c>
      <c r="BO261" s="38" t="s">
        <v>306</v>
      </c>
      <c r="BQ261" s="38" t="str">
        <f t="shared" si="43"/>
        <v>PG</v>
      </c>
      <c r="BR261" s="38" t="str">
        <f t="shared" si="37"/>
        <v>S</v>
      </c>
      <c r="BS261" s="38" t="str">
        <f t="shared" si="38"/>
        <v>T</v>
      </c>
      <c r="BT261" s="38" t="str">
        <f t="shared" si="39"/>
        <v>Y</v>
      </c>
      <c r="BU261" s="38" t="str">
        <f t="shared" si="40"/>
        <v>N</v>
      </c>
      <c r="BV261" s="38" t="str">
        <f t="shared" si="41"/>
        <v>SlidingPrivacy-GardTriple LockYes</v>
      </c>
      <c r="BW261" s="38" t="str">
        <f t="shared" si="42"/>
        <v>PGSTYN</v>
      </c>
    </row>
    <row r="262" spans="64:75" ht="14.4">
      <c r="BL262" s="38" t="s">
        <v>231</v>
      </c>
      <c r="BM262" s="38" t="s">
        <v>220</v>
      </c>
      <c r="BN262" s="38" t="s">
        <v>275</v>
      </c>
      <c r="BO262" s="38" t="s">
        <v>306</v>
      </c>
      <c r="BQ262" s="38" t="str">
        <f t="shared" si="43"/>
        <v>PG</v>
      </c>
      <c r="BR262" s="38" t="str">
        <f t="shared" si="37"/>
        <v>ST</v>
      </c>
      <c r="BS262" s="38" t="str">
        <f t="shared" si="38"/>
        <v>T</v>
      </c>
      <c r="BT262" s="38" t="str">
        <f t="shared" si="39"/>
        <v>Y</v>
      </c>
      <c r="BU262" s="38" t="str">
        <f t="shared" si="40"/>
        <v>N</v>
      </c>
      <c r="BV262" s="38" t="str">
        <f t="shared" si="41"/>
        <v>StackerPrivacy-GardTriple LockYes</v>
      </c>
      <c r="BW262" s="38" t="str">
        <f t="shared" si="42"/>
        <v>PGSTTYN</v>
      </c>
    </row>
    <row r="263" spans="64:75" ht="14.4">
      <c r="BL263" s="38" t="s">
        <v>231</v>
      </c>
      <c r="BM263" s="38" t="s">
        <v>178</v>
      </c>
      <c r="BN263" s="38" t="s">
        <v>410</v>
      </c>
      <c r="BO263" s="38" t="s">
        <v>306</v>
      </c>
      <c r="BQ263" s="38" t="str">
        <f t="shared" si="43"/>
        <v>PG</v>
      </c>
      <c r="BR263" s="38" t="str">
        <f t="shared" si="37"/>
        <v>H</v>
      </c>
      <c r="BS263" s="38" t="str">
        <f t="shared" si="38"/>
        <v>N</v>
      </c>
      <c r="BT263" s="38" t="str">
        <f t="shared" si="39"/>
        <v>Y</v>
      </c>
      <c r="BU263" s="38" t="str">
        <f t="shared" si="40"/>
        <v>N</v>
      </c>
      <c r="BV263" s="38" t="str">
        <f t="shared" si="41"/>
        <v>HingedPrivacy-GardNot RequiredYes</v>
      </c>
      <c r="BW263" s="38" t="str">
        <f t="shared" si="42"/>
        <v>PGHNYN</v>
      </c>
    </row>
    <row r="264" spans="64:75" ht="14.4">
      <c r="BL264" s="38" t="s">
        <v>231</v>
      </c>
      <c r="BM264" s="38" t="s">
        <v>179</v>
      </c>
      <c r="BN264" s="38" t="s">
        <v>410</v>
      </c>
      <c r="BO264" s="38" t="s">
        <v>306</v>
      </c>
      <c r="BQ264" s="38" t="str">
        <f t="shared" si="43"/>
        <v>PG</v>
      </c>
      <c r="BR264" s="38" t="str">
        <f t="shared" si="37"/>
        <v>S</v>
      </c>
      <c r="BS264" s="38" t="str">
        <f t="shared" si="38"/>
        <v>N</v>
      </c>
      <c r="BT264" s="38" t="str">
        <f t="shared" si="39"/>
        <v>Y</v>
      </c>
      <c r="BU264" s="38" t="str">
        <f t="shared" si="40"/>
        <v>N</v>
      </c>
      <c r="BV264" s="38" t="str">
        <f t="shared" si="41"/>
        <v>SlidingPrivacy-GardNot RequiredYes</v>
      </c>
      <c r="BW264" s="38" t="str">
        <f t="shared" si="42"/>
        <v>PGSNYN</v>
      </c>
    </row>
    <row r="265" spans="64:75" ht="14.4">
      <c r="BL265" s="38" t="s">
        <v>231</v>
      </c>
      <c r="BM265" s="38" t="s">
        <v>220</v>
      </c>
      <c r="BN265" s="38" t="s">
        <v>410</v>
      </c>
      <c r="BO265" s="38" t="s">
        <v>306</v>
      </c>
      <c r="BQ265" s="38" t="str">
        <f t="shared" si="43"/>
        <v>PG</v>
      </c>
      <c r="BR265" s="38" t="str">
        <f t="shared" si="37"/>
        <v>ST</v>
      </c>
      <c r="BS265" s="38" t="str">
        <f t="shared" si="38"/>
        <v>N</v>
      </c>
      <c r="BT265" s="38" t="str">
        <f t="shared" si="39"/>
        <v>Y</v>
      </c>
      <c r="BU265" s="38" t="str">
        <f t="shared" si="40"/>
        <v>N</v>
      </c>
      <c r="BV265" s="38" t="str">
        <f t="shared" si="41"/>
        <v>StackerPrivacy-GardNot RequiredYes</v>
      </c>
      <c r="BW265" s="38" t="str">
        <f t="shared" si="42"/>
        <v>PGSTNYN</v>
      </c>
    </row>
    <row r="266" spans="64:75" ht="14.4">
      <c r="BL266" s="38" t="s">
        <v>231</v>
      </c>
      <c r="BM266" s="38" t="s">
        <v>178</v>
      </c>
      <c r="BN266" s="38" t="s">
        <v>383</v>
      </c>
      <c r="BO266" s="38" t="s">
        <v>306</v>
      </c>
      <c r="BQ266" s="38" t="str">
        <f t="shared" si="43"/>
        <v>PG</v>
      </c>
      <c r="BR266" s="38" t="str">
        <f t="shared" si="37"/>
        <v>H</v>
      </c>
      <c r="BS266" s="38" t="str">
        <f t="shared" si="38"/>
        <v>D</v>
      </c>
      <c r="BT266" s="38" t="str">
        <f t="shared" si="39"/>
        <v>Y</v>
      </c>
      <c r="BU266" s="38" t="str">
        <f t="shared" si="40"/>
        <v>N</v>
      </c>
      <c r="BV266" s="38" t="str">
        <f t="shared" si="41"/>
        <v>HingedPrivacy-GardUltra Secua Digital Triple LockYes</v>
      </c>
      <c r="BW266" s="38" t="str">
        <f t="shared" si="42"/>
        <v>PGHDYN</v>
      </c>
    </row>
    <row r="267" spans="64:75" ht="14.4">
      <c r="BL267" s="38" t="s">
        <v>231</v>
      </c>
      <c r="BM267" s="38" t="s">
        <v>179</v>
      </c>
      <c r="BN267" s="38" t="s">
        <v>383</v>
      </c>
      <c r="BO267" s="38" t="s">
        <v>306</v>
      </c>
      <c r="BQ267" s="38" t="str">
        <f t="shared" si="43"/>
        <v>PG</v>
      </c>
      <c r="BR267" s="38" t="str">
        <f t="shared" si="37"/>
        <v>S</v>
      </c>
      <c r="BS267" s="38" t="str">
        <f t="shared" si="38"/>
        <v>D</v>
      </c>
      <c r="BT267" s="38" t="str">
        <f t="shared" si="39"/>
        <v>Y</v>
      </c>
      <c r="BU267" s="38" t="str">
        <f t="shared" si="40"/>
        <v>N</v>
      </c>
      <c r="BV267" s="38" t="str">
        <f t="shared" si="41"/>
        <v>SlidingPrivacy-GardUltra Secua Digital Triple LockYes</v>
      </c>
      <c r="BW267" s="38" t="str">
        <f t="shared" si="42"/>
        <v>PGSDYN</v>
      </c>
    </row>
    <row r="268" spans="64:75" ht="14.4">
      <c r="BL268" s="38" t="s">
        <v>231</v>
      </c>
      <c r="BM268" s="38" t="s">
        <v>220</v>
      </c>
      <c r="BN268" s="38" t="s">
        <v>383</v>
      </c>
      <c r="BO268" s="38" t="s">
        <v>306</v>
      </c>
      <c r="BQ268" s="38" t="str">
        <f t="shared" si="43"/>
        <v>PG</v>
      </c>
      <c r="BR268" s="38" t="str">
        <f t="shared" si="37"/>
        <v>ST</v>
      </c>
      <c r="BS268" s="38" t="str">
        <f t="shared" si="38"/>
        <v>D</v>
      </c>
      <c r="BT268" s="38" t="str">
        <f t="shared" si="39"/>
        <v>Y</v>
      </c>
      <c r="BU268" s="38" t="str">
        <f t="shared" si="40"/>
        <v>N</v>
      </c>
      <c r="BV268" s="38" t="str">
        <f t="shared" si="41"/>
        <v>StackerPrivacy-GardUltra Secua Digital Triple LockYes</v>
      </c>
      <c r="BW268" s="38" t="str">
        <f t="shared" si="42"/>
        <v>PGSTDYN</v>
      </c>
    </row>
    <row r="269" spans="64:75" ht="14.4">
      <c r="BL269" s="38" t="s">
        <v>231</v>
      </c>
      <c r="BM269" s="38" t="s">
        <v>178</v>
      </c>
      <c r="BN269" s="38" t="s">
        <v>284</v>
      </c>
      <c r="BO269" s="38" t="s">
        <v>306</v>
      </c>
      <c r="BQ269" s="38" t="str">
        <f t="shared" si="43"/>
        <v>PG</v>
      </c>
      <c r="BR269" s="38" t="str">
        <f t="shared" si="37"/>
        <v>H</v>
      </c>
      <c r="BS269" s="38" t="str">
        <f t="shared" si="38"/>
        <v>B</v>
      </c>
      <c r="BT269" s="38" t="str">
        <f t="shared" si="39"/>
        <v>Y</v>
      </c>
      <c r="BU269" s="38" t="str">
        <f t="shared" si="40"/>
        <v>N</v>
      </c>
      <c r="BV269" s="38" t="str">
        <f t="shared" si="41"/>
        <v>HingedPrivacy-GardBass LatchYes</v>
      </c>
      <c r="BW269" s="38" t="str">
        <f t="shared" si="42"/>
        <v>PGHBYN</v>
      </c>
    </row>
    <row r="270" spans="64:75" ht="14.4">
      <c r="BL270" s="38" t="s">
        <v>231</v>
      </c>
      <c r="BM270" s="38" t="s">
        <v>179</v>
      </c>
      <c r="BN270" s="38" t="s">
        <v>284</v>
      </c>
      <c r="BO270" s="38" t="s">
        <v>306</v>
      </c>
      <c r="BQ270" s="38" t="str">
        <f t="shared" si="43"/>
        <v>PG</v>
      </c>
      <c r="BR270" s="38" t="str">
        <f t="shared" si="37"/>
        <v>S</v>
      </c>
      <c r="BS270" s="38" t="str">
        <f t="shared" si="38"/>
        <v>B</v>
      </c>
      <c r="BT270" s="38" t="str">
        <f t="shared" si="39"/>
        <v>Y</v>
      </c>
      <c r="BU270" s="38" t="str">
        <f t="shared" si="40"/>
        <v>N</v>
      </c>
      <c r="BV270" s="38" t="str">
        <f t="shared" si="41"/>
        <v>SlidingPrivacy-GardBass LatchYes</v>
      </c>
      <c r="BW270" s="38" t="str">
        <f t="shared" si="42"/>
        <v>PGSBYN</v>
      </c>
    </row>
    <row r="271" spans="64:75" ht="14.4">
      <c r="BL271" s="38" t="s">
        <v>231</v>
      </c>
      <c r="BM271" s="38" t="s">
        <v>220</v>
      </c>
      <c r="BN271" s="38" t="s">
        <v>284</v>
      </c>
      <c r="BO271" s="38" t="s">
        <v>306</v>
      </c>
      <c r="BQ271" s="38" t="str">
        <f t="shared" si="43"/>
        <v>PG</v>
      </c>
      <c r="BR271" s="38" t="str">
        <f t="shared" si="37"/>
        <v>ST</v>
      </c>
      <c r="BS271" s="38" t="str">
        <f t="shared" si="38"/>
        <v>B</v>
      </c>
      <c r="BT271" s="38" t="str">
        <f t="shared" si="39"/>
        <v>Y</v>
      </c>
      <c r="BU271" s="38" t="str">
        <f t="shared" si="40"/>
        <v>N</v>
      </c>
      <c r="BV271" s="38" t="str">
        <f t="shared" si="41"/>
        <v>StackerPrivacy-GardBass LatchYes</v>
      </c>
      <c r="BW271" s="38" t="str">
        <f t="shared" si="42"/>
        <v>PGSTBYN</v>
      </c>
    </row>
    <row r="272" spans="64:75" ht="14.4">
      <c r="BL272" s="38" t="s">
        <v>223</v>
      </c>
      <c r="BM272" s="38" t="s">
        <v>178</v>
      </c>
      <c r="BN272" s="38" t="s">
        <v>279</v>
      </c>
      <c r="BO272" s="38" t="s">
        <v>147</v>
      </c>
      <c r="BP272" s="38" t="s">
        <v>306</v>
      </c>
      <c r="BQ272" s="38" t="str">
        <f t="shared" si="43"/>
        <v>SS</v>
      </c>
      <c r="BR272" s="38" t="str">
        <f t="shared" si="37"/>
        <v>H</v>
      </c>
      <c r="BS272" s="38" t="str">
        <f t="shared" si="38"/>
        <v>S</v>
      </c>
      <c r="BT272" s="38" t="str">
        <f t="shared" si="39"/>
        <v>N</v>
      </c>
      <c r="BU272" s="38" t="str">
        <f t="shared" si="40"/>
        <v>Y</v>
      </c>
      <c r="BV272" s="38" t="str">
        <f t="shared" si="41"/>
        <v>HingedWoven Stainless SteelSingle LockNoYes</v>
      </c>
      <c r="BW272" s="38" t="str">
        <f t="shared" si="42"/>
        <v>SSHSNY</v>
      </c>
    </row>
    <row r="273" spans="64:75" ht="14.4">
      <c r="BL273" s="38" t="s">
        <v>223</v>
      </c>
      <c r="BM273" s="38" t="s">
        <v>179</v>
      </c>
      <c r="BN273" s="38" t="s">
        <v>279</v>
      </c>
      <c r="BO273" s="38" t="s">
        <v>147</v>
      </c>
      <c r="BP273" s="38" t="s">
        <v>306</v>
      </c>
      <c r="BQ273" s="38" t="str">
        <f t="shared" si="43"/>
        <v>SS</v>
      </c>
      <c r="BR273" s="38" t="str">
        <f t="shared" si="37"/>
        <v>S</v>
      </c>
      <c r="BS273" s="38" t="str">
        <f t="shared" si="38"/>
        <v>S</v>
      </c>
      <c r="BT273" s="38" t="str">
        <f t="shared" si="39"/>
        <v>N</v>
      </c>
      <c r="BU273" s="38" t="str">
        <f t="shared" si="40"/>
        <v>Y</v>
      </c>
      <c r="BV273" s="38" t="str">
        <f t="shared" si="41"/>
        <v>SlidingWoven Stainless SteelSingle LockNoYes</v>
      </c>
      <c r="BW273" s="38" t="str">
        <f t="shared" si="42"/>
        <v>SSSSNY</v>
      </c>
    </row>
    <row r="274" spans="64:75" ht="14.4">
      <c r="BL274" s="38" t="s">
        <v>223</v>
      </c>
      <c r="BM274" s="38" t="s">
        <v>220</v>
      </c>
      <c r="BN274" s="38" t="s">
        <v>279</v>
      </c>
      <c r="BO274" s="38" t="s">
        <v>147</v>
      </c>
      <c r="BP274" s="38" t="s">
        <v>306</v>
      </c>
      <c r="BQ274" s="38" t="str">
        <f t="shared" si="43"/>
        <v>SS</v>
      </c>
      <c r="BR274" s="38" t="str">
        <f t="shared" si="37"/>
        <v>ST</v>
      </c>
      <c r="BS274" s="38" t="str">
        <f t="shared" si="38"/>
        <v>S</v>
      </c>
      <c r="BT274" s="38" t="str">
        <f t="shared" si="39"/>
        <v>N</v>
      </c>
      <c r="BU274" s="38" t="str">
        <f t="shared" si="40"/>
        <v>Y</v>
      </c>
      <c r="BV274" s="38" t="str">
        <f t="shared" si="41"/>
        <v>StackerWoven Stainless SteelSingle LockNoYes</v>
      </c>
      <c r="BW274" s="38" t="str">
        <f t="shared" si="42"/>
        <v>SSSTSNY</v>
      </c>
    </row>
    <row r="275" spans="64:75" ht="14.4">
      <c r="BL275" s="38" t="s">
        <v>223</v>
      </c>
      <c r="BM275" s="38" t="s">
        <v>178</v>
      </c>
      <c r="BN275" s="38" t="s">
        <v>275</v>
      </c>
      <c r="BO275" s="38" t="s">
        <v>147</v>
      </c>
      <c r="BP275" s="38" t="s">
        <v>306</v>
      </c>
      <c r="BQ275" s="38" t="str">
        <f t="shared" si="43"/>
        <v>SS</v>
      </c>
      <c r="BR275" s="38" t="str">
        <f t="shared" si="37"/>
        <v>H</v>
      </c>
      <c r="BS275" s="38" t="str">
        <f t="shared" si="38"/>
        <v>T</v>
      </c>
      <c r="BT275" s="38" t="str">
        <f t="shared" si="39"/>
        <v>N</v>
      </c>
      <c r="BU275" s="38" t="str">
        <f t="shared" si="40"/>
        <v>Y</v>
      </c>
      <c r="BV275" s="38" t="str">
        <f t="shared" si="41"/>
        <v>HingedWoven Stainless SteelTriple LockNoYes</v>
      </c>
      <c r="BW275" s="38" t="str">
        <f t="shared" si="42"/>
        <v>SSHTNY</v>
      </c>
    </row>
    <row r="276" spans="64:75" ht="14.4">
      <c r="BL276" s="38" t="s">
        <v>223</v>
      </c>
      <c r="BM276" s="38" t="s">
        <v>179</v>
      </c>
      <c r="BN276" s="38" t="s">
        <v>275</v>
      </c>
      <c r="BO276" s="38" t="s">
        <v>147</v>
      </c>
      <c r="BP276" s="38" t="s">
        <v>306</v>
      </c>
      <c r="BQ276" s="38" t="str">
        <f t="shared" si="43"/>
        <v>SS</v>
      </c>
      <c r="BR276" s="38" t="str">
        <f t="shared" si="37"/>
        <v>S</v>
      </c>
      <c r="BS276" s="38" t="str">
        <f t="shared" si="38"/>
        <v>T</v>
      </c>
      <c r="BT276" s="38" t="str">
        <f t="shared" si="39"/>
        <v>N</v>
      </c>
      <c r="BU276" s="38" t="str">
        <f t="shared" si="40"/>
        <v>Y</v>
      </c>
      <c r="BV276" s="38" t="str">
        <f t="shared" si="41"/>
        <v>SlidingWoven Stainless SteelTriple LockNoYes</v>
      </c>
      <c r="BW276" s="38" t="str">
        <f t="shared" si="42"/>
        <v>SSSTNY</v>
      </c>
    </row>
    <row r="277" spans="64:75" ht="14.4">
      <c r="BL277" s="38" t="s">
        <v>223</v>
      </c>
      <c r="BM277" s="38" t="s">
        <v>220</v>
      </c>
      <c r="BN277" s="38" t="s">
        <v>275</v>
      </c>
      <c r="BO277" s="38" t="s">
        <v>147</v>
      </c>
      <c r="BP277" s="38" t="s">
        <v>306</v>
      </c>
      <c r="BQ277" s="38" t="str">
        <f t="shared" si="43"/>
        <v>SS</v>
      </c>
      <c r="BR277" s="38" t="str">
        <f t="shared" si="37"/>
        <v>ST</v>
      </c>
      <c r="BS277" s="38" t="str">
        <f t="shared" si="38"/>
        <v>T</v>
      </c>
      <c r="BT277" s="38" t="str">
        <f t="shared" si="39"/>
        <v>N</v>
      </c>
      <c r="BU277" s="38" t="str">
        <f t="shared" si="40"/>
        <v>Y</v>
      </c>
      <c r="BV277" s="38" t="str">
        <f t="shared" si="41"/>
        <v>StackerWoven Stainless SteelTriple LockNoYes</v>
      </c>
      <c r="BW277" s="38" t="str">
        <f t="shared" si="42"/>
        <v>SSSTTNY</v>
      </c>
    </row>
    <row r="278" spans="64:75" ht="14.4">
      <c r="BL278" s="38" t="s">
        <v>223</v>
      </c>
      <c r="BM278" s="38" t="s">
        <v>178</v>
      </c>
      <c r="BN278" s="38" t="s">
        <v>410</v>
      </c>
      <c r="BO278" s="38" t="s">
        <v>147</v>
      </c>
      <c r="BP278" s="38" t="s">
        <v>306</v>
      </c>
      <c r="BQ278" s="38" t="str">
        <f t="shared" si="43"/>
        <v>SS</v>
      </c>
      <c r="BR278" s="38" t="str">
        <f t="shared" si="37"/>
        <v>H</v>
      </c>
      <c r="BS278" s="38" t="str">
        <f t="shared" si="38"/>
        <v>N</v>
      </c>
      <c r="BT278" s="38" t="str">
        <f t="shared" si="39"/>
        <v>N</v>
      </c>
      <c r="BU278" s="38" t="str">
        <f t="shared" si="40"/>
        <v>Y</v>
      </c>
      <c r="BV278" s="38" t="str">
        <f t="shared" si="41"/>
        <v>HingedWoven Stainless SteelNot RequiredNoYes</v>
      </c>
      <c r="BW278" s="38" t="str">
        <f t="shared" si="42"/>
        <v>SSHNNY</v>
      </c>
    </row>
    <row r="279" spans="64:75" ht="14.4">
      <c r="BL279" s="38" t="s">
        <v>223</v>
      </c>
      <c r="BM279" s="38" t="s">
        <v>179</v>
      </c>
      <c r="BN279" s="38" t="s">
        <v>410</v>
      </c>
      <c r="BO279" s="38" t="s">
        <v>147</v>
      </c>
      <c r="BP279" s="38" t="s">
        <v>306</v>
      </c>
      <c r="BQ279" s="38" t="str">
        <f t="shared" si="43"/>
        <v>SS</v>
      </c>
      <c r="BR279" s="38" t="str">
        <f t="shared" si="37"/>
        <v>S</v>
      </c>
      <c r="BS279" s="38" t="str">
        <f t="shared" si="38"/>
        <v>N</v>
      </c>
      <c r="BT279" s="38" t="str">
        <f t="shared" si="39"/>
        <v>N</v>
      </c>
      <c r="BU279" s="38" t="str">
        <f t="shared" si="40"/>
        <v>Y</v>
      </c>
      <c r="BV279" s="38" t="str">
        <f t="shared" si="41"/>
        <v>SlidingWoven Stainless SteelNot RequiredNoYes</v>
      </c>
      <c r="BW279" s="38" t="str">
        <f t="shared" si="42"/>
        <v>SSSNNY</v>
      </c>
    </row>
    <row r="280" spans="64:75" ht="14.4">
      <c r="BL280" s="38" t="s">
        <v>223</v>
      </c>
      <c r="BM280" s="38" t="s">
        <v>220</v>
      </c>
      <c r="BN280" s="38" t="s">
        <v>410</v>
      </c>
      <c r="BO280" s="38" t="s">
        <v>147</v>
      </c>
      <c r="BP280" s="38" t="s">
        <v>306</v>
      </c>
      <c r="BQ280" s="38" t="str">
        <f t="shared" si="43"/>
        <v>SS</v>
      </c>
      <c r="BR280" s="38" t="str">
        <f t="shared" si="37"/>
        <v>ST</v>
      </c>
      <c r="BS280" s="38" t="str">
        <f t="shared" si="38"/>
        <v>N</v>
      </c>
      <c r="BT280" s="38" t="str">
        <f t="shared" si="39"/>
        <v>N</v>
      </c>
      <c r="BU280" s="38" t="str">
        <f t="shared" si="40"/>
        <v>Y</v>
      </c>
      <c r="BV280" s="38" t="str">
        <f t="shared" si="41"/>
        <v>StackerWoven Stainless SteelNot RequiredNoYes</v>
      </c>
      <c r="BW280" s="38" t="str">
        <f t="shared" si="42"/>
        <v>SSSTNNY</v>
      </c>
    </row>
    <row r="281" spans="64:75" ht="14.4">
      <c r="BL281" s="38" t="s">
        <v>223</v>
      </c>
      <c r="BM281" s="38" t="s">
        <v>178</v>
      </c>
      <c r="BN281" s="38" t="s">
        <v>383</v>
      </c>
      <c r="BO281" s="38" t="s">
        <v>147</v>
      </c>
      <c r="BP281" s="38" t="s">
        <v>306</v>
      </c>
      <c r="BQ281" s="38" t="str">
        <f t="shared" si="43"/>
        <v>SS</v>
      </c>
      <c r="BR281" s="38" t="str">
        <f t="shared" si="37"/>
        <v>H</v>
      </c>
      <c r="BS281" s="38" t="str">
        <f t="shared" si="38"/>
        <v>D</v>
      </c>
      <c r="BT281" s="38" t="str">
        <f t="shared" si="39"/>
        <v>N</v>
      </c>
      <c r="BU281" s="38" t="str">
        <f t="shared" si="40"/>
        <v>Y</v>
      </c>
      <c r="BV281" s="38" t="str">
        <f t="shared" si="41"/>
        <v>HingedWoven Stainless SteelUltra Secua Digital Triple LockNoYes</v>
      </c>
      <c r="BW281" s="38" t="str">
        <f t="shared" si="42"/>
        <v>SSHDNY</v>
      </c>
    </row>
    <row r="282" spans="64:75" ht="14.4">
      <c r="BL282" s="38" t="s">
        <v>223</v>
      </c>
      <c r="BM282" s="38" t="s">
        <v>179</v>
      </c>
      <c r="BN282" s="38" t="s">
        <v>383</v>
      </c>
      <c r="BO282" s="38" t="s">
        <v>147</v>
      </c>
      <c r="BP282" s="38" t="s">
        <v>306</v>
      </c>
      <c r="BQ282" s="38" t="str">
        <f t="shared" si="43"/>
        <v>SS</v>
      </c>
      <c r="BR282" s="38" t="str">
        <f t="shared" si="37"/>
        <v>S</v>
      </c>
      <c r="BS282" s="38" t="str">
        <f t="shared" si="38"/>
        <v>D</v>
      </c>
      <c r="BT282" s="38" t="str">
        <f t="shared" si="39"/>
        <v>N</v>
      </c>
      <c r="BU282" s="38" t="str">
        <f t="shared" si="40"/>
        <v>Y</v>
      </c>
      <c r="BV282" s="38" t="str">
        <f t="shared" si="41"/>
        <v>SlidingWoven Stainless SteelUltra Secua Digital Triple LockNoYes</v>
      </c>
      <c r="BW282" s="38" t="str">
        <f t="shared" si="42"/>
        <v>SSSDNY</v>
      </c>
    </row>
    <row r="283" spans="64:75" ht="14.4">
      <c r="BL283" s="38" t="s">
        <v>223</v>
      </c>
      <c r="BM283" s="38" t="s">
        <v>220</v>
      </c>
      <c r="BN283" s="38" t="s">
        <v>383</v>
      </c>
      <c r="BO283" s="38" t="s">
        <v>147</v>
      </c>
      <c r="BP283" s="38" t="s">
        <v>306</v>
      </c>
      <c r="BQ283" s="38" t="str">
        <f t="shared" si="43"/>
        <v>SS</v>
      </c>
      <c r="BR283" s="38" t="str">
        <f t="shared" si="37"/>
        <v>ST</v>
      </c>
      <c r="BS283" s="38" t="str">
        <f t="shared" si="38"/>
        <v>D</v>
      </c>
      <c r="BT283" s="38" t="str">
        <f t="shared" si="39"/>
        <v>N</v>
      </c>
      <c r="BU283" s="38" t="str">
        <f t="shared" si="40"/>
        <v>Y</v>
      </c>
      <c r="BV283" s="38" t="str">
        <f t="shared" si="41"/>
        <v>StackerWoven Stainless SteelUltra Secua Digital Triple LockNoYes</v>
      </c>
      <c r="BW283" s="38" t="str">
        <f t="shared" si="42"/>
        <v>SSSTDNY</v>
      </c>
    </row>
    <row r="284" spans="64:75" ht="14.4">
      <c r="BL284" s="38" t="s">
        <v>223</v>
      </c>
      <c r="BM284" s="38" t="s">
        <v>178</v>
      </c>
      <c r="BN284" s="38" t="s">
        <v>284</v>
      </c>
      <c r="BO284" s="38" t="s">
        <v>147</v>
      </c>
      <c r="BP284" s="38" t="s">
        <v>306</v>
      </c>
      <c r="BQ284" s="38" t="str">
        <f t="shared" si="43"/>
        <v>SS</v>
      </c>
      <c r="BR284" s="38" t="str">
        <f t="shared" si="37"/>
        <v>H</v>
      </c>
      <c r="BS284" s="38" t="str">
        <f t="shared" si="38"/>
        <v>B</v>
      </c>
      <c r="BT284" s="38" t="str">
        <f t="shared" si="39"/>
        <v>N</v>
      </c>
      <c r="BU284" s="38" t="str">
        <f t="shared" si="40"/>
        <v>Y</v>
      </c>
      <c r="BV284" s="38" t="str">
        <f t="shared" si="41"/>
        <v>HingedWoven Stainless SteelBass LatchNoYes</v>
      </c>
      <c r="BW284" s="38" t="str">
        <f t="shared" si="42"/>
        <v>SSHBNY</v>
      </c>
    </row>
    <row r="285" spans="64:75" ht="14.4">
      <c r="BL285" s="38" t="s">
        <v>223</v>
      </c>
      <c r="BM285" s="38" t="s">
        <v>179</v>
      </c>
      <c r="BN285" s="38" t="s">
        <v>284</v>
      </c>
      <c r="BO285" s="38" t="s">
        <v>147</v>
      </c>
      <c r="BP285" s="38" t="s">
        <v>306</v>
      </c>
      <c r="BQ285" s="38" t="str">
        <f t="shared" si="43"/>
        <v>SS</v>
      </c>
      <c r="BR285" s="38" t="str">
        <f t="shared" si="37"/>
        <v>S</v>
      </c>
      <c r="BS285" s="38" t="str">
        <f t="shared" si="38"/>
        <v>B</v>
      </c>
      <c r="BT285" s="38" t="str">
        <f t="shared" si="39"/>
        <v>N</v>
      </c>
      <c r="BU285" s="38" t="str">
        <f t="shared" si="40"/>
        <v>Y</v>
      </c>
      <c r="BV285" s="38" t="str">
        <f t="shared" si="41"/>
        <v>SlidingWoven Stainless SteelBass LatchNoYes</v>
      </c>
      <c r="BW285" s="38" t="str">
        <f t="shared" si="42"/>
        <v>SSSBNY</v>
      </c>
    </row>
    <row r="286" spans="64:75" ht="14.4">
      <c r="BL286" s="38" t="s">
        <v>223</v>
      </c>
      <c r="BM286" s="38" t="s">
        <v>220</v>
      </c>
      <c r="BN286" s="38" t="s">
        <v>284</v>
      </c>
      <c r="BO286" s="38" t="s">
        <v>147</v>
      </c>
      <c r="BP286" s="38" t="s">
        <v>306</v>
      </c>
      <c r="BQ286" s="38" t="str">
        <f t="shared" si="43"/>
        <v>SS</v>
      </c>
      <c r="BR286" s="38" t="str">
        <f t="shared" si="37"/>
        <v>ST</v>
      </c>
      <c r="BS286" s="38" t="str">
        <f t="shared" si="38"/>
        <v>B</v>
      </c>
      <c r="BT286" s="38" t="str">
        <f t="shared" si="39"/>
        <v>N</v>
      </c>
      <c r="BU286" s="38" t="str">
        <f t="shared" si="40"/>
        <v>Y</v>
      </c>
      <c r="BV286" s="38" t="str">
        <f t="shared" si="41"/>
        <v>StackerWoven Stainless SteelBass LatchNoYes</v>
      </c>
      <c r="BW286" s="38" t="str">
        <f t="shared" si="42"/>
        <v>SSSTBNY</v>
      </c>
    </row>
    <row r="287" spans="64:75" ht="14.4">
      <c r="BL287" s="38" t="s">
        <v>223</v>
      </c>
      <c r="BM287" s="38" t="s">
        <v>178</v>
      </c>
      <c r="BN287" s="38" t="s">
        <v>279</v>
      </c>
      <c r="BO287" s="38" t="s">
        <v>411</v>
      </c>
      <c r="BP287" s="38" t="s">
        <v>306</v>
      </c>
      <c r="BQ287" s="38" t="str">
        <f t="shared" si="43"/>
        <v>SS</v>
      </c>
      <c r="BR287" s="38" t="str">
        <f t="shared" si="37"/>
        <v>H</v>
      </c>
      <c r="BS287" s="38" t="str">
        <f t="shared" si="38"/>
        <v>S</v>
      </c>
      <c r="BT287" s="38" t="str">
        <f t="shared" si="39"/>
        <v>Y</v>
      </c>
      <c r="BU287" s="38" t="str">
        <f t="shared" si="40"/>
        <v>Y</v>
      </c>
      <c r="BV287" s="38" t="str">
        <f t="shared" si="41"/>
        <v>HingedWoven Stainless SteelSingle LockYes - CentreYes</v>
      </c>
      <c r="BW287" s="38" t="str">
        <f t="shared" si="42"/>
        <v>SSHSYY</v>
      </c>
    </row>
    <row r="288" spans="64:75" ht="14.4">
      <c r="BL288" s="38" t="s">
        <v>223</v>
      </c>
      <c r="BM288" s="38" t="s">
        <v>179</v>
      </c>
      <c r="BN288" s="38" t="s">
        <v>279</v>
      </c>
      <c r="BO288" s="38" t="s">
        <v>411</v>
      </c>
      <c r="BP288" s="38" t="s">
        <v>306</v>
      </c>
      <c r="BQ288" s="38" t="str">
        <f t="shared" si="43"/>
        <v>SS</v>
      </c>
      <c r="BR288" s="38" t="str">
        <f t="shared" si="37"/>
        <v>S</v>
      </c>
      <c r="BS288" s="38" t="str">
        <f t="shared" si="38"/>
        <v>S</v>
      </c>
      <c r="BT288" s="38" t="str">
        <f t="shared" si="39"/>
        <v>Y</v>
      </c>
      <c r="BU288" s="38" t="str">
        <f t="shared" si="40"/>
        <v>Y</v>
      </c>
      <c r="BV288" s="38" t="str">
        <f t="shared" si="41"/>
        <v>SlidingWoven Stainless SteelSingle LockYes - CentreYes</v>
      </c>
      <c r="BW288" s="38" t="str">
        <f t="shared" si="42"/>
        <v>SSSSYY</v>
      </c>
    </row>
    <row r="289" spans="64:75" ht="14.4">
      <c r="BL289" s="38" t="s">
        <v>223</v>
      </c>
      <c r="BM289" s="38" t="s">
        <v>220</v>
      </c>
      <c r="BN289" s="38" t="s">
        <v>279</v>
      </c>
      <c r="BO289" s="38" t="s">
        <v>411</v>
      </c>
      <c r="BP289" s="38" t="s">
        <v>306</v>
      </c>
      <c r="BQ289" s="38" t="str">
        <f t="shared" si="43"/>
        <v>SS</v>
      </c>
      <c r="BR289" s="38" t="str">
        <f t="shared" si="37"/>
        <v>ST</v>
      </c>
      <c r="BS289" s="38" t="str">
        <f t="shared" si="38"/>
        <v>S</v>
      </c>
      <c r="BT289" s="38" t="str">
        <f t="shared" si="39"/>
        <v>Y</v>
      </c>
      <c r="BU289" s="38" t="str">
        <f t="shared" si="40"/>
        <v>Y</v>
      </c>
      <c r="BV289" s="38" t="str">
        <f t="shared" si="41"/>
        <v>StackerWoven Stainless SteelSingle LockYes - CentreYes</v>
      </c>
      <c r="BW289" s="38" t="str">
        <f t="shared" si="42"/>
        <v>SSSTSYY</v>
      </c>
    </row>
    <row r="290" spans="64:75" ht="14.4">
      <c r="BL290" s="38" t="s">
        <v>223</v>
      </c>
      <c r="BM290" s="38" t="s">
        <v>178</v>
      </c>
      <c r="BN290" s="38" t="s">
        <v>275</v>
      </c>
      <c r="BO290" s="38" t="s">
        <v>411</v>
      </c>
      <c r="BP290" s="38" t="s">
        <v>306</v>
      </c>
      <c r="BQ290" s="38" t="str">
        <f t="shared" si="43"/>
        <v>SS</v>
      </c>
      <c r="BR290" s="38" t="str">
        <f t="shared" si="37"/>
        <v>H</v>
      </c>
      <c r="BS290" s="38" t="str">
        <f t="shared" si="38"/>
        <v>T</v>
      </c>
      <c r="BT290" s="38" t="str">
        <f t="shared" si="39"/>
        <v>Y</v>
      </c>
      <c r="BU290" s="38" t="str">
        <f t="shared" si="40"/>
        <v>Y</v>
      </c>
      <c r="BV290" s="38" t="str">
        <f t="shared" si="41"/>
        <v>HingedWoven Stainless SteelTriple LockYes - CentreYes</v>
      </c>
      <c r="BW290" s="38" t="str">
        <f t="shared" si="42"/>
        <v>SSHTYY</v>
      </c>
    </row>
    <row r="291" spans="64:75" ht="14.4">
      <c r="BL291" s="38" t="s">
        <v>223</v>
      </c>
      <c r="BM291" s="38" t="s">
        <v>179</v>
      </c>
      <c r="BN291" s="38" t="s">
        <v>275</v>
      </c>
      <c r="BO291" s="38" t="s">
        <v>411</v>
      </c>
      <c r="BP291" s="38" t="s">
        <v>306</v>
      </c>
      <c r="BQ291" s="38" t="str">
        <f t="shared" si="43"/>
        <v>SS</v>
      </c>
      <c r="BR291" s="38" t="str">
        <f t="shared" si="37"/>
        <v>S</v>
      </c>
      <c r="BS291" s="38" t="str">
        <f t="shared" si="38"/>
        <v>T</v>
      </c>
      <c r="BT291" s="38" t="str">
        <f t="shared" si="39"/>
        <v>Y</v>
      </c>
      <c r="BU291" s="38" t="str">
        <f t="shared" si="40"/>
        <v>Y</v>
      </c>
      <c r="BV291" s="38" t="str">
        <f t="shared" si="41"/>
        <v>SlidingWoven Stainless SteelTriple LockYes - CentreYes</v>
      </c>
      <c r="BW291" s="38" t="str">
        <f t="shared" si="42"/>
        <v>SSSTYY</v>
      </c>
    </row>
    <row r="292" spans="64:75" ht="14.4">
      <c r="BL292" s="38" t="s">
        <v>223</v>
      </c>
      <c r="BM292" s="38" t="s">
        <v>220</v>
      </c>
      <c r="BN292" s="38" t="s">
        <v>275</v>
      </c>
      <c r="BO292" s="38" t="s">
        <v>411</v>
      </c>
      <c r="BP292" s="38" t="s">
        <v>306</v>
      </c>
      <c r="BQ292" s="38" t="str">
        <f t="shared" si="43"/>
        <v>SS</v>
      </c>
      <c r="BR292" s="38" t="str">
        <f t="shared" si="37"/>
        <v>ST</v>
      </c>
      <c r="BS292" s="38" t="str">
        <f t="shared" si="38"/>
        <v>T</v>
      </c>
      <c r="BT292" s="38" t="str">
        <f t="shared" si="39"/>
        <v>Y</v>
      </c>
      <c r="BU292" s="38" t="str">
        <f t="shared" si="40"/>
        <v>Y</v>
      </c>
      <c r="BV292" s="38" t="str">
        <f t="shared" si="41"/>
        <v>StackerWoven Stainless SteelTriple LockYes - CentreYes</v>
      </c>
      <c r="BW292" s="38" t="str">
        <f t="shared" si="42"/>
        <v>SSSTTYY</v>
      </c>
    </row>
    <row r="293" spans="64:75" ht="14.4">
      <c r="BL293" s="38" t="s">
        <v>223</v>
      </c>
      <c r="BM293" s="38" t="s">
        <v>178</v>
      </c>
      <c r="BN293" s="38" t="s">
        <v>410</v>
      </c>
      <c r="BO293" s="38" t="s">
        <v>411</v>
      </c>
      <c r="BP293" s="38" t="s">
        <v>306</v>
      </c>
      <c r="BQ293" s="38" t="str">
        <f t="shared" si="43"/>
        <v>SS</v>
      </c>
      <c r="BR293" s="38" t="str">
        <f t="shared" si="37"/>
        <v>H</v>
      </c>
      <c r="BS293" s="38" t="str">
        <f t="shared" si="38"/>
        <v>N</v>
      </c>
      <c r="BT293" s="38" t="str">
        <f t="shared" si="39"/>
        <v>Y</v>
      </c>
      <c r="BU293" s="38" t="str">
        <f t="shared" si="40"/>
        <v>Y</v>
      </c>
      <c r="BV293" s="38" t="str">
        <f t="shared" si="41"/>
        <v>HingedWoven Stainless SteelNot RequiredYes - CentreYes</v>
      </c>
      <c r="BW293" s="38" t="str">
        <f t="shared" si="42"/>
        <v>SSHNYY</v>
      </c>
    </row>
    <row r="294" spans="64:75" ht="14.4">
      <c r="BL294" s="38" t="s">
        <v>223</v>
      </c>
      <c r="BM294" s="38" t="s">
        <v>179</v>
      </c>
      <c r="BN294" s="38" t="s">
        <v>410</v>
      </c>
      <c r="BO294" s="38" t="s">
        <v>411</v>
      </c>
      <c r="BP294" s="38" t="s">
        <v>306</v>
      </c>
      <c r="BQ294" s="38" t="str">
        <f t="shared" si="43"/>
        <v>SS</v>
      </c>
      <c r="BR294" s="38" t="str">
        <f t="shared" si="37"/>
        <v>S</v>
      </c>
      <c r="BS294" s="38" t="str">
        <f t="shared" si="38"/>
        <v>N</v>
      </c>
      <c r="BT294" s="38" t="str">
        <f t="shared" si="39"/>
        <v>Y</v>
      </c>
      <c r="BU294" s="38" t="str">
        <f t="shared" si="40"/>
        <v>Y</v>
      </c>
      <c r="BV294" s="38" t="str">
        <f t="shared" si="41"/>
        <v>SlidingWoven Stainless SteelNot RequiredYes - CentreYes</v>
      </c>
      <c r="BW294" s="38" t="str">
        <f t="shared" si="42"/>
        <v>SSSNYY</v>
      </c>
    </row>
    <row r="295" spans="64:75" ht="14.4">
      <c r="BL295" s="38" t="s">
        <v>223</v>
      </c>
      <c r="BM295" s="38" t="s">
        <v>220</v>
      </c>
      <c r="BN295" s="38" t="s">
        <v>410</v>
      </c>
      <c r="BO295" s="38" t="s">
        <v>411</v>
      </c>
      <c r="BP295" s="38" t="s">
        <v>306</v>
      </c>
      <c r="BQ295" s="38" t="str">
        <f t="shared" si="43"/>
        <v>SS</v>
      </c>
      <c r="BR295" s="38" t="str">
        <f t="shared" si="37"/>
        <v>ST</v>
      </c>
      <c r="BS295" s="38" t="str">
        <f t="shared" si="38"/>
        <v>N</v>
      </c>
      <c r="BT295" s="38" t="str">
        <f t="shared" si="39"/>
        <v>Y</v>
      </c>
      <c r="BU295" s="38" t="str">
        <f t="shared" si="40"/>
        <v>Y</v>
      </c>
      <c r="BV295" s="38" t="str">
        <f t="shared" si="41"/>
        <v>StackerWoven Stainless SteelNot RequiredYes - CentreYes</v>
      </c>
      <c r="BW295" s="38" t="str">
        <f t="shared" si="42"/>
        <v>SSSTNYY</v>
      </c>
    </row>
    <row r="296" spans="64:75" ht="14.4">
      <c r="BL296" s="38" t="s">
        <v>223</v>
      </c>
      <c r="BM296" s="38" t="s">
        <v>178</v>
      </c>
      <c r="BN296" s="38" t="s">
        <v>383</v>
      </c>
      <c r="BO296" s="38" t="s">
        <v>411</v>
      </c>
      <c r="BP296" s="38" t="s">
        <v>306</v>
      </c>
      <c r="BQ296" s="38" t="str">
        <f t="shared" si="43"/>
        <v>SS</v>
      </c>
      <c r="BR296" s="38" t="str">
        <f t="shared" si="37"/>
        <v>H</v>
      </c>
      <c r="BS296" s="38" t="str">
        <f t="shared" si="38"/>
        <v>D</v>
      </c>
      <c r="BT296" s="38" t="str">
        <f t="shared" si="39"/>
        <v>Y</v>
      </c>
      <c r="BU296" s="38" t="str">
        <f t="shared" si="40"/>
        <v>Y</v>
      </c>
      <c r="BV296" s="38" t="str">
        <f t="shared" si="41"/>
        <v>HingedWoven Stainless SteelUltra Secua Digital Triple LockYes - CentreYes</v>
      </c>
      <c r="BW296" s="38" t="str">
        <f t="shared" si="42"/>
        <v>SSHDYY</v>
      </c>
    </row>
    <row r="297" spans="64:75" ht="14.4">
      <c r="BL297" s="38" t="s">
        <v>223</v>
      </c>
      <c r="BM297" s="38" t="s">
        <v>179</v>
      </c>
      <c r="BN297" s="38" t="s">
        <v>383</v>
      </c>
      <c r="BO297" s="38" t="s">
        <v>411</v>
      </c>
      <c r="BP297" s="38" t="s">
        <v>306</v>
      </c>
      <c r="BQ297" s="38" t="str">
        <f t="shared" si="43"/>
        <v>SS</v>
      </c>
      <c r="BR297" s="38" t="str">
        <f t="shared" si="37"/>
        <v>S</v>
      </c>
      <c r="BS297" s="38" t="str">
        <f t="shared" si="38"/>
        <v>D</v>
      </c>
      <c r="BT297" s="38" t="str">
        <f t="shared" si="39"/>
        <v>Y</v>
      </c>
      <c r="BU297" s="38" t="str">
        <f t="shared" si="40"/>
        <v>Y</v>
      </c>
      <c r="BV297" s="38" t="str">
        <f t="shared" si="41"/>
        <v>SlidingWoven Stainless SteelUltra Secua Digital Triple LockYes - CentreYes</v>
      </c>
      <c r="BW297" s="38" t="str">
        <f t="shared" si="42"/>
        <v>SSSDYY</v>
      </c>
    </row>
    <row r="298" spans="64:75" ht="14.4">
      <c r="BL298" s="38" t="s">
        <v>223</v>
      </c>
      <c r="BM298" s="38" t="s">
        <v>220</v>
      </c>
      <c r="BN298" s="38" t="s">
        <v>383</v>
      </c>
      <c r="BO298" s="38" t="s">
        <v>411</v>
      </c>
      <c r="BP298" s="38" t="s">
        <v>306</v>
      </c>
      <c r="BQ298" s="38" t="str">
        <f t="shared" si="43"/>
        <v>SS</v>
      </c>
      <c r="BR298" s="38" t="str">
        <f t="shared" si="37"/>
        <v>ST</v>
      </c>
      <c r="BS298" s="38" t="str">
        <f t="shared" si="38"/>
        <v>D</v>
      </c>
      <c r="BT298" s="38" t="str">
        <f t="shared" si="39"/>
        <v>Y</v>
      </c>
      <c r="BU298" s="38" t="str">
        <f t="shared" si="40"/>
        <v>Y</v>
      </c>
      <c r="BV298" s="38" t="str">
        <f t="shared" si="41"/>
        <v>StackerWoven Stainless SteelUltra Secua Digital Triple LockYes - CentreYes</v>
      </c>
      <c r="BW298" s="38" t="str">
        <f t="shared" si="42"/>
        <v>SSSTDYY</v>
      </c>
    </row>
    <row r="299" spans="64:75" ht="14.4">
      <c r="BL299" s="38" t="s">
        <v>223</v>
      </c>
      <c r="BM299" s="38" t="s">
        <v>178</v>
      </c>
      <c r="BN299" s="38" t="s">
        <v>284</v>
      </c>
      <c r="BO299" s="38" t="s">
        <v>411</v>
      </c>
      <c r="BP299" s="38" t="s">
        <v>306</v>
      </c>
      <c r="BQ299" s="38" t="str">
        <f t="shared" si="43"/>
        <v>SS</v>
      </c>
      <c r="BR299" s="38" t="str">
        <f t="shared" si="37"/>
        <v>H</v>
      </c>
      <c r="BS299" s="38" t="str">
        <f t="shared" si="38"/>
        <v>B</v>
      </c>
      <c r="BT299" s="38" t="str">
        <f t="shared" si="39"/>
        <v>Y</v>
      </c>
      <c r="BU299" s="38" t="str">
        <f t="shared" si="40"/>
        <v>Y</v>
      </c>
      <c r="BV299" s="38" t="str">
        <f t="shared" si="41"/>
        <v>HingedWoven Stainless SteelBass LatchYes - CentreYes</v>
      </c>
      <c r="BW299" s="38" t="str">
        <f t="shared" si="42"/>
        <v>SSHBYY</v>
      </c>
    </row>
    <row r="300" spans="64:75" ht="14.4">
      <c r="BL300" s="38" t="s">
        <v>223</v>
      </c>
      <c r="BM300" s="38" t="s">
        <v>179</v>
      </c>
      <c r="BN300" s="38" t="s">
        <v>284</v>
      </c>
      <c r="BO300" s="38" t="s">
        <v>411</v>
      </c>
      <c r="BP300" s="38" t="s">
        <v>306</v>
      </c>
      <c r="BQ300" s="38" t="str">
        <f t="shared" si="43"/>
        <v>SS</v>
      </c>
      <c r="BR300" s="38" t="str">
        <f t="shared" si="37"/>
        <v>S</v>
      </c>
      <c r="BS300" s="38" t="str">
        <f t="shared" si="38"/>
        <v>B</v>
      </c>
      <c r="BT300" s="38" t="str">
        <f t="shared" si="39"/>
        <v>Y</v>
      </c>
      <c r="BU300" s="38" t="str">
        <f t="shared" si="40"/>
        <v>Y</v>
      </c>
      <c r="BV300" s="38" t="str">
        <f t="shared" si="41"/>
        <v>SlidingWoven Stainless SteelBass LatchYes - CentreYes</v>
      </c>
      <c r="BW300" s="38" t="str">
        <f t="shared" si="42"/>
        <v>SSSBYY</v>
      </c>
    </row>
    <row r="301" spans="64:75" ht="14.4">
      <c r="BL301" s="38" t="s">
        <v>223</v>
      </c>
      <c r="BM301" s="38" t="s">
        <v>220</v>
      </c>
      <c r="BN301" s="38" t="s">
        <v>284</v>
      </c>
      <c r="BO301" s="38" t="s">
        <v>411</v>
      </c>
      <c r="BP301" s="38" t="s">
        <v>306</v>
      </c>
      <c r="BQ301" s="38" t="str">
        <f t="shared" si="43"/>
        <v>SS</v>
      </c>
      <c r="BR301" s="38" t="str">
        <f t="shared" si="37"/>
        <v>ST</v>
      </c>
      <c r="BS301" s="38" t="str">
        <f t="shared" si="38"/>
        <v>B</v>
      </c>
      <c r="BT301" s="38" t="str">
        <f t="shared" si="39"/>
        <v>Y</v>
      </c>
      <c r="BU301" s="38" t="str">
        <f t="shared" si="40"/>
        <v>Y</v>
      </c>
      <c r="BV301" s="38" t="str">
        <f t="shared" si="41"/>
        <v>StackerWoven Stainless SteelBass LatchYes - CentreYes</v>
      </c>
      <c r="BW301" s="38" t="str">
        <f t="shared" si="42"/>
        <v>SSSTBYY</v>
      </c>
    </row>
    <row r="302" spans="64:75" ht="14.4">
      <c r="BL302" s="38" t="s">
        <v>223</v>
      </c>
      <c r="BM302" s="38" t="s">
        <v>178</v>
      </c>
      <c r="BN302" s="38" t="s">
        <v>279</v>
      </c>
      <c r="BO302" s="38" t="s">
        <v>306</v>
      </c>
      <c r="BP302" s="38" t="s">
        <v>306</v>
      </c>
      <c r="BQ302" s="38" t="str">
        <f t="shared" si="43"/>
        <v>SS</v>
      </c>
      <c r="BR302" s="38" t="str">
        <f t="shared" si="37"/>
        <v>H</v>
      </c>
      <c r="BS302" s="38" t="str">
        <f t="shared" si="38"/>
        <v>S</v>
      </c>
      <c r="BT302" s="38" t="str">
        <f t="shared" si="39"/>
        <v>Y</v>
      </c>
      <c r="BU302" s="38" t="str">
        <f t="shared" si="40"/>
        <v>Y</v>
      </c>
      <c r="BV302" s="38" t="str">
        <f t="shared" si="41"/>
        <v>HingedWoven Stainless SteelSingle LockYesYes</v>
      </c>
      <c r="BW302" s="38" t="str">
        <f t="shared" si="42"/>
        <v>SSHSYY</v>
      </c>
    </row>
    <row r="303" spans="64:75" ht="14.4">
      <c r="BL303" s="38" t="s">
        <v>223</v>
      </c>
      <c r="BM303" s="38" t="s">
        <v>179</v>
      </c>
      <c r="BN303" s="38" t="s">
        <v>279</v>
      </c>
      <c r="BO303" s="38" t="s">
        <v>306</v>
      </c>
      <c r="BP303" s="38" t="s">
        <v>306</v>
      </c>
      <c r="BQ303" s="38" t="str">
        <f t="shared" si="43"/>
        <v>SS</v>
      </c>
      <c r="BR303" s="38" t="str">
        <f t="shared" si="37"/>
        <v>S</v>
      </c>
      <c r="BS303" s="38" t="str">
        <f t="shared" si="38"/>
        <v>S</v>
      </c>
      <c r="BT303" s="38" t="str">
        <f t="shared" si="39"/>
        <v>Y</v>
      </c>
      <c r="BU303" s="38" t="str">
        <f t="shared" si="40"/>
        <v>Y</v>
      </c>
      <c r="BV303" s="38" t="str">
        <f t="shared" si="41"/>
        <v>SlidingWoven Stainless SteelSingle LockYesYes</v>
      </c>
      <c r="BW303" s="38" t="str">
        <f t="shared" si="42"/>
        <v>SSSSYY</v>
      </c>
    </row>
    <row r="304" spans="64:75" ht="14.4">
      <c r="BL304" s="38" t="s">
        <v>223</v>
      </c>
      <c r="BM304" s="38" t="s">
        <v>220</v>
      </c>
      <c r="BN304" s="38" t="s">
        <v>279</v>
      </c>
      <c r="BO304" s="38" t="s">
        <v>306</v>
      </c>
      <c r="BP304" s="38" t="s">
        <v>306</v>
      </c>
      <c r="BQ304" s="38" t="str">
        <f t="shared" si="43"/>
        <v>SS</v>
      </c>
      <c r="BR304" s="38" t="str">
        <f t="shared" si="37"/>
        <v>ST</v>
      </c>
      <c r="BS304" s="38" t="str">
        <f t="shared" si="38"/>
        <v>S</v>
      </c>
      <c r="BT304" s="38" t="str">
        <f t="shared" si="39"/>
        <v>Y</v>
      </c>
      <c r="BU304" s="38" t="str">
        <f t="shared" si="40"/>
        <v>Y</v>
      </c>
      <c r="BV304" s="38" t="str">
        <f t="shared" si="41"/>
        <v>StackerWoven Stainless SteelSingle LockYesYes</v>
      </c>
      <c r="BW304" s="38" t="str">
        <f t="shared" si="42"/>
        <v>SSSTSYY</v>
      </c>
    </row>
    <row r="305" spans="64:75" ht="14.4">
      <c r="BL305" s="38" t="s">
        <v>223</v>
      </c>
      <c r="BM305" s="38" t="s">
        <v>178</v>
      </c>
      <c r="BN305" s="38" t="s">
        <v>275</v>
      </c>
      <c r="BO305" s="38" t="s">
        <v>306</v>
      </c>
      <c r="BP305" s="38" t="s">
        <v>306</v>
      </c>
      <c r="BQ305" s="38" t="str">
        <f t="shared" si="43"/>
        <v>SS</v>
      </c>
      <c r="BR305" s="38" t="str">
        <f t="shared" si="37"/>
        <v>H</v>
      </c>
      <c r="BS305" s="38" t="str">
        <f t="shared" si="38"/>
        <v>T</v>
      </c>
      <c r="BT305" s="38" t="str">
        <f t="shared" si="39"/>
        <v>Y</v>
      </c>
      <c r="BU305" s="38" t="str">
        <f t="shared" si="40"/>
        <v>Y</v>
      </c>
      <c r="BV305" s="38" t="str">
        <f t="shared" si="41"/>
        <v>HingedWoven Stainless SteelTriple LockYesYes</v>
      </c>
      <c r="BW305" s="38" t="str">
        <f t="shared" si="42"/>
        <v>SSHTYY</v>
      </c>
    </row>
    <row r="306" spans="64:75" ht="14.4">
      <c r="BL306" s="38" t="s">
        <v>223</v>
      </c>
      <c r="BM306" s="38" t="s">
        <v>179</v>
      </c>
      <c r="BN306" s="38" t="s">
        <v>275</v>
      </c>
      <c r="BO306" s="38" t="s">
        <v>306</v>
      </c>
      <c r="BP306" s="38" t="s">
        <v>306</v>
      </c>
      <c r="BQ306" s="38" t="str">
        <f t="shared" si="43"/>
        <v>SS</v>
      </c>
      <c r="BR306" s="38" t="str">
        <f t="shared" si="37"/>
        <v>S</v>
      </c>
      <c r="BS306" s="38" t="str">
        <f t="shared" si="38"/>
        <v>T</v>
      </c>
      <c r="BT306" s="38" t="str">
        <f t="shared" si="39"/>
        <v>Y</v>
      </c>
      <c r="BU306" s="38" t="str">
        <f t="shared" si="40"/>
        <v>Y</v>
      </c>
      <c r="BV306" s="38" t="str">
        <f t="shared" si="41"/>
        <v>SlidingWoven Stainless SteelTriple LockYesYes</v>
      </c>
      <c r="BW306" s="38" t="str">
        <f t="shared" si="42"/>
        <v>SSSTYY</v>
      </c>
    </row>
    <row r="307" spans="64:75" ht="14.4">
      <c r="BL307" s="38" t="s">
        <v>223</v>
      </c>
      <c r="BM307" s="38" t="s">
        <v>220</v>
      </c>
      <c r="BN307" s="38" t="s">
        <v>275</v>
      </c>
      <c r="BO307" s="38" t="s">
        <v>306</v>
      </c>
      <c r="BP307" s="38" t="s">
        <v>306</v>
      </c>
      <c r="BQ307" s="38" t="str">
        <f t="shared" si="43"/>
        <v>SS</v>
      </c>
      <c r="BR307" s="38" t="str">
        <f t="shared" si="37"/>
        <v>ST</v>
      </c>
      <c r="BS307" s="38" t="str">
        <f t="shared" si="38"/>
        <v>T</v>
      </c>
      <c r="BT307" s="38" t="str">
        <f t="shared" si="39"/>
        <v>Y</v>
      </c>
      <c r="BU307" s="38" t="str">
        <f t="shared" si="40"/>
        <v>Y</v>
      </c>
      <c r="BV307" s="38" t="str">
        <f t="shared" si="41"/>
        <v>StackerWoven Stainless SteelTriple LockYesYes</v>
      </c>
      <c r="BW307" s="38" t="str">
        <f t="shared" si="42"/>
        <v>SSSTTYY</v>
      </c>
    </row>
    <row r="308" spans="64:75" ht="14.4">
      <c r="BL308" s="38" t="s">
        <v>223</v>
      </c>
      <c r="BM308" s="38" t="s">
        <v>178</v>
      </c>
      <c r="BN308" s="38" t="s">
        <v>410</v>
      </c>
      <c r="BO308" s="38" t="s">
        <v>306</v>
      </c>
      <c r="BP308" s="38" t="s">
        <v>306</v>
      </c>
      <c r="BQ308" s="38" t="str">
        <f t="shared" si="43"/>
        <v>SS</v>
      </c>
      <c r="BR308" s="38" t="str">
        <f t="shared" si="37"/>
        <v>H</v>
      </c>
      <c r="BS308" s="38" t="str">
        <f t="shared" si="38"/>
        <v>N</v>
      </c>
      <c r="BT308" s="38" t="str">
        <f t="shared" si="39"/>
        <v>Y</v>
      </c>
      <c r="BU308" s="38" t="str">
        <f t="shared" si="40"/>
        <v>Y</v>
      </c>
      <c r="BV308" s="38" t="str">
        <f t="shared" si="41"/>
        <v>HingedWoven Stainless SteelNot RequiredYesYes</v>
      </c>
      <c r="BW308" s="38" t="str">
        <f t="shared" si="42"/>
        <v>SSHNYY</v>
      </c>
    </row>
    <row r="309" spans="64:75" ht="14.4">
      <c r="BL309" s="38" t="s">
        <v>223</v>
      </c>
      <c r="BM309" s="38" t="s">
        <v>179</v>
      </c>
      <c r="BN309" s="38" t="s">
        <v>410</v>
      </c>
      <c r="BO309" s="38" t="s">
        <v>306</v>
      </c>
      <c r="BP309" s="38" t="s">
        <v>306</v>
      </c>
      <c r="BQ309" s="38" t="str">
        <f t="shared" si="43"/>
        <v>SS</v>
      </c>
      <c r="BR309" s="38" t="str">
        <f t="shared" si="37"/>
        <v>S</v>
      </c>
      <c r="BS309" s="38" t="str">
        <f t="shared" si="38"/>
        <v>N</v>
      </c>
      <c r="BT309" s="38" t="str">
        <f t="shared" si="39"/>
        <v>Y</v>
      </c>
      <c r="BU309" s="38" t="str">
        <f t="shared" si="40"/>
        <v>Y</v>
      </c>
      <c r="BV309" s="38" t="str">
        <f t="shared" si="41"/>
        <v>SlidingWoven Stainless SteelNot RequiredYesYes</v>
      </c>
      <c r="BW309" s="38" t="str">
        <f t="shared" si="42"/>
        <v>SSSNYY</v>
      </c>
    </row>
    <row r="310" spans="64:75" ht="14.4">
      <c r="BL310" s="38" t="s">
        <v>223</v>
      </c>
      <c r="BM310" s="38" t="s">
        <v>220</v>
      </c>
      <c r="BN310" s="38" t="s">
        <v>410</v>
      </c>
      <c r="BO310" s="38" t="s">
        <v>306</v>
      </c>
      <c r="BP310" s="38" t="s">
        <v>306</v>
      </c>
      <c r="BQ310" s="38" t="str">
        <f t="shared" si="43"/>
        <v>SS</v>
      </c>
      <c r="BR310" s="38" t="str">
        <f t="shared" si="37"/>
        <v>ST</v>
      </c>
      <c r="BS310" s="38" t="str">
        <f t="shared" si="38"/>
        <v>N</v>
      </c>
      <c r="BT310" s="38" t="str">
        <f t="shared" si="39"/>
        <v>Y</v>
      </c>
      <c r="BU310" s="38" t="str">
        <f t="shared" si="40"/>
        <v>Y</v>
      </c>
      <c r="BV310" s="38" t="str">
        <f t="shared" si="41"/>
        <v>StackerWoven Stainless SteelNot RequiredYesYes</v>
      </c>
      <c r="BW310" s="38" t="str">
        <f t="shared" si="42"/>
        <v>SSSTNYY</v>
      </c>
    </row>
    <row r="311" spans="64:75" ht="14.4">
      <c r="BL311" s="38" t="s">
        <v>223</v>
      </c>
      <c r="BM311" s="38" t="s">
        <v>178</v>
      </c>
      <c r="BN311" s="38" t="s">
        <v>383</v>
      </c>
      <c r="BO311" s="38" t="s">
        <v>306</v>
      </c>
      <c r="BP311" s="38" t="s">
        <v>306</v>
      </c>
      <c r="BQ311" s="38" t="str">
        <f t="shared" si="43"/>
        <v>SS</v>
      </c>
      <c r="BR311" s="38" t="str">
        <f t="shared" si="37"/>
        <v>H</v>
      </c>
      <c r="BS311" s="38" t="str">
        <f t="shared" si="38"/>
        <v>D</v>
      </c>
      <c r="BT311" s="38" t="str">
        <f t="shared" si="39"/>
        <v>Y</v>
      </c>
      <c r="BU311" s="38" t="str">
        <f t="shared" si="40"/>
        <v>Y</v>
      </c>
      <c r="BV311" s="38" t="str">
        <f t="shared" si="41"/>
        <v>HingedWoven Stainless SteelUltra Secua Digital Triple LockYesYes</v>
      </c>
      <c r="BW311" s="38" t="str">
        <f t="shared" si="42"/>
        <v>SSHDYY</v>
      </c>
    </row>
    <row r="312" spans="64:75" ht="14.4">
      <c r="BL312" s="38" t="s">
        <v>223</v>
      </c>
      <c r="BM312" s="38" t="s">
        <v>179</v>
      </c>
      <c r="BN312" s="38" t="s">
        <v>383</v>
      </c>
      <c r="BO312" s="38" t="s">
        <v>306</v>
      </c>
      <c r="BP312" s="38" t="s">
        <v>306</v>
      </c>
      <c r="BQ312" s="38" t="str">
        <f t="shared" si="43"/>
        <v>SS</v>
      </c>
      <c r="BR312" s="38" t="str">
        <f t="shared" si="37"/>
        <v>S</v>
      </c>
      <c r="BS312" s="38" t="str">
        <f t="shared" si="38"/>
        <v>D</v>
      </c>
      <c r="BT312" s="38" t="str">
        <f t="shared" si="39"/>
        <v>Y</v>
      </c>
      <c r="BU312" s="38" t="str">
        <f t="shared" si="40"/>
        <v>Y</v>
      </c>
      <c r="BV312" s="38" t="str">
        <f t="shared" si="41"/>
        <v>SlidingWoven Stainless SteelUltra Secua Digital Triple LockYesYes</v>
      </c>
      <c r="BW312" s="38" t="str">
        <f t="shared" si="42"/>
        <v>SSSDYY</v>
      </c>
    </row>
    <row r="313" spans="64:75" ht="14.4">
      <c r="BL313" s="38" t="s">
        <v>223</v>
      </c>
      <c r="BM313" s="38" t="s">
        <v>220</v>
      </c>
      <c r="BN313" s="38" t="s">
        <v>383</v>
      </c>
      <c r="BO313" s="38" t="s">
        <v>306</v>
      </c>
      <c r="BP313" s="38" t="s">
        <v>306</v>
      </c>
      <c r="BQ313" s="38" t="str">
        <f t="shared" si="43"/>
        <v>SS</v>
      </c>
      <c r="BR313" s="38" t="str">
        <f t="shared" si="37"/>
        <v>ST</v>
      </c>
      <c r="BS313" s="38" t="str">
        <f t="shared" si="38"/>
        <v>D</v>
      </c>
      <c r="BT313" s="38" t="str">
        <f t="shared" si="39"/>
        <v>Y</v>
      </c>
      <c r="BU313" s="38" t="str">
        <f t="shared" si="40"/>
        <v>Y</v>
      </c>
      <c r="BV313" s="38" t="str">
        <f t="shared" si="41"/>
        <v>StackerWoven Stainless SteelUltra Secua Digital Triple LockYesYes</v>
      </c>
      <c r="BW313" s="38" t="str">
        <f t="shared" si="42"/>
        <v>SSSTDYY</v>
      </c>
    </row>
    <row r="314" spans="64:75" ht="14.4">
      <c r="BL314" s="38" t="s">
        <v>223</v>
      </c>
      <c r="BM314" s="38" t="s">
        <v>178</v>
      </c>
      <c r="BN314" s="38" t="s">
        <v>284</v>
      </c>
      <c r="BO314" s="38" t="s">
        <v>306</v>
      </c>
      <c r="BP314" s="38" t="s">
        <v>306</v>
      </c>
      <c r="BQ314" s="38" t="str">
        <f t="shared" si="43"/>
        <v>SS</v>
      </c>
      <c r="BR314" s="38" t="str">
        <f t="shared" si="37"/>
        <v>H</v>
      </c>
      <c r="BS314" s="38" t="str">
        <f t="shared" si="38"/>
        <v>B</v>
      </c>
      <c r="BT314" s="38" t="str">
        <f t="shared" si="39"/>
        <v>Y</v>
      </c>
      <c r="BU314" s="38" t="str">
        <f t="shared" si="40"/>
        <v>Y</v>
      </c>
      <c r="BV314" s="38" t="str">
        <f t="shared" si="41"/>
        <v>HingedWoven Stainless SteelBass LatchYesYes</v>
      </c>
      <c r="BW314" s="38" t="str">
        <f t="shared" si="42"/>
        <v>SSHBYY</v>
      </c>
    </row>
    <row r="315" spans="64:75" ht="14.4">
      <c r="BL315" s="38" t="s">
        <v>223</v>
      </c>
      <c r="BM315" s="38" t="s">
        <v>179</v>
      </c>
      <c r="BN315" s="38" t="s">
        <v>284</v>
      </c>
      <c r="BO315" s="38" t="s">
        <v>306</v>
      </c>
      <c r="BP315" s="38" t="s">
        <v>306</v>
      </c>
      <c r="BQ315" s="38" t="str">
        <f t="shared" si="43"/>
        <v>SS</v>
      </c>
      <c r="BR315" s="38" t="str">
        <f t="shared" si="37"/>
        <v>S</v>
      </c>
      <c r="BS315" s="38" t="str">
        <f t="shared" si="38"/>
        <v>B</v>
      </c>
      <c r="BT315" s="38" t="str">
        <f t="shared" si="39"/>
        <v>Y</v>
      </c>
      <c r="BU315" s="38" t="str">
        <f t="shared" si="40"/>
        <v>Y</v>
      </c>
      <c r="BV315" s="38" t="str">
        <f t="shared" si="41"/>
        <v>SlidingWoven Stainless SteelBass LatchYesYes</v>
      </c>
      <c r="BW315" s="38" t="str">
        <f t="shared" si="42"/>
        <v>SSSBYY</v>
      </c>
    </row>
    <row r="316" spans="64:75" ht="14.4">
      <c r="BL316" s="38" t="s">
        <v>223</v>
      </c>
      <c r="BM316" s="38" t="s">
        <v>220</v>
      </c>
      <c r="BN316" s="38" t="s">
        <v>284</v>
      </c>
      <c r="BO316" s="38" t="s">
        <v>306</v>
      </c>
      <c r="BP316" s="38" t="s">
        <v>306</v>
      </c>
      <c r="BQ316" s="38" t="str">
        <f t="shared" si="43"/>
        <v>SS</v>
      </c>
      <c r="BR316" s="38" t="str">
        <f t="shared" si="37"/>
        <v>ST</v>
      </c>
      <c r="BS316" s="38" t="str">
        <f t="shared" si="38"/>
        <v>B</v>
      </c>
      <c r="BT316" s="38" t="str">
        <f t="shared" si="39"/>
        <v>Y</v>
      </c>
      <c r="BU316" s="38" t="str">
        <f t="shared" si="40"/>
        <v>Y</v>
      </c>
      <c r="BV316" s="38" t="str">
        <f t="shared" si="41"/>
        <v>StackerWoven Stainless SteelBass LatchYesYes</v>
      </c>
      <c r="BW316" s="38" t="str">
        <f t="shared" si="42"/>
        <v>SSSTBYY</v>
      </c>
    </row>
    <row r="317" spans="64:75" ht="14.4">
      <c r="BL317" s="38" t="s">
        <v>223</v>
      </c>
      <c r="BM317" s="38" t="s">
        <v>178</v>
      </c>
      <c r="BN317" s="38" t="s">
        <v>279</v>
      </c>
      <c r="BO317" s="38" t="s">
        <v>147</v>
      </c>
      <c r="BQ317" s="38" t="str">
        <f t="shared" si="43"/>
        <v>SS</v>
      </c>
      <c r="BR317" s="38" t="str">
        <f t="shared" si="37"/>
        <v>H</v>
      </c>
      <c r="BS317" s="38" t="str">
        <f t="shared" si="38"/>
        <v>S</v>
      </c>
      <c r="BT317" s="38" t="str">
        <f t="shared" si="39"/>
        <v>N</v>
      </c>
      <c r="BU317" s="38" t="str">
        <f t="shared" si="40"/>
        <v>N</v>
      </c>
      <c r="BV317" s="38" t="str">
        <f t="shared" si="41"/>
        <v>HingedWoven Stainless SteelSingle LockNo</v>
      </c>
      <c r="BW317" s="38" t="str">
        <f t="shared" si="42"/>
        <v>SSHSNN</v>
      </c>
    </row>
    <row r="318" spans="64:75" ht="14.4">
      <c r="BL318" s="38" t="s">
        <v>223</v>
      </c>
      <c r="BM318" s="38" t="s">
        <v>179</v>
      </c>
      <c r="BN318" s="38" t="s">
        <v>279</v>
      </c>
      <c r="BO318" s="38" t="s">
        <v>147</v>
      </c>
      <c r="BQ318" s="38" t="str">
        <f t="shared" si="43"/>
        <v>SS</v>
      </c>
      <c r="BR318" s="38" t="str">
        <f t="shared" si="37"/>
        <v>S</v>
      </c>
      <c r="BS318" s="38" t="str">
        <f t="shared" si="38"/>
        <v>S</v>
      </c>
      <c r="BT318" s="38" t="str">
        <f t="shared" si="39"/>
        <v>N</v>
      </c>
      <c r="BU318" s="38" t="str">
        <f t="shared" si="40"/>
        <v>N</v>
      </c>
      <c r="BV318" s="38" t="str">
        <f t="shared" si="41"/>
        <v>SlidingWoven Stainless SteelSingle LockNo</v>
      </c>
      <c r="BW318" s="38" t="str">
        <f t="shared" si="42"/>
        <v>SSSSNN</v>
      </c>
    </row>
    <row r="319" spans="64:75" ht="14.4">
      <c r="BL319" s="38" t="s">
        <v>223</v>
      </c>
      <c r="BM319" s="38" t="s">
        <v>220</v>
      </c>
      <c r="BN319" s="38" t="s">
        <v>279</v>
      </c>
      <c r="BO319" s="38" t="s">
        <v>147</v>
      </c>
      <c r="BQ319" s="38" t="str">
        <f t="shared" si="43"/>
        <v>SS</v>
      </c>
      <c r="BR319" s="38" t="str">
        <f t="shared" si="37"/>
        <v>ST</v>
      </c>
      <c r="BS319" s="38" t="str">
        <f t="shared" si="38"/>
        <v>S</v>
      </c>
      <c r="BT319" s="38" t="str">
        <f t="shared" si="39"/>
        <v>N</v>
      </c>
      <c r="BU319" s="38" t="str">
        <f t="shared" si="40"/>
        <v>N</v>
      </c>
      <c r="BV319" s="38" t="str">
        <f t="shared" si="41"/>
        <v>StackerWoven Stainless SteelSingle LockNo</v>
      </c>
      <c r="BW319" s="38" t="str">
        <f t="shared" si="42"/>
        <v>SSSTSNN</v>
      </c>
    </row>
    <row r="320" spans="64:75" ht="14.4">
      <c r="BL320" s="38" t="s">
        <v>223</v>
      </c>
      <c r="BM320" s="38" t="s">
        <v>178</v>
      </c>
      <c r="BN320" s="38" t="s">
        <v>275</v>
      </c>
      <c r="BO320" s="38" t="s">
        <v>147</v>
      </c>
      <c r="BQ320" s="38" t="str">
        <f t="shared" si="43"/>
        <v>SS</v>
      </c>
      <c r="BR320" s="38" t="str">
        <f t="shared" si="37"/>
        <v>H</v>
      </c>
      <c r="BS320" s="38" t="str">
        <f t="shared" si="38"/>
        <v>T</v>
      </c>
      <c r="BT320" s="38" t="str">
        <f t="shared" si="39"/>
        <v>N</v>
      </c>
      <c r="BU320" s="38" t="str">
        <f t="shared" si="40"/>
        <v>N</v>
      </c>
      <c r="BV320" s="38" t="str">
        <f t="shared" si="41"/>
        <v>HingedWoven Stainless SteelTriple LockNo</v>
      </c>
      <c r="BW320" s="38" t="str">
        <f t="shared" si="42"/>
        <v>SSHTNN</v>
      </c>
    </row>
    <row r="321" spans="64:75" ht="14.4">
      <c r="BL321" s="38" t="s">
        <v>223</v>
      </c>
      <c r="BM321" s="38" t="s">
        <v>179</v>
      </c>
      <c r="BN321" s="38" t="s">
        <v>275</v>
      </c>
      <c r="BO321" s="38" t="s">
        <v>147</v>
      </c>
      <c r="BQ321" s="38" t="str">
        <f t="shared" si="43"/>
        <v>SS</v>
      </c>
      <c r="BR321" s="38" t="str">
        <f t="shared" si="37"/>
        <v>S</v>
      </c>
      <c r="BS321" s="38" t="str">
        <f t="shared" si="38"/>
        <v>T</v>
      </c>
      <c r="BT321" s="38" t="str">
        <f t="shared" si="39"/>
        <v>N</v>
      </c>
      <c r="BU321" s="38" t="str">
        <f t="shared" si="40"/>
        <v>N</v>
      </c>
      <c r="BV321" s="38" t="str">
        <f t="shared" si="41"/>
        <v>SlidingWoven Stainless SteelTriple LockNo</v>
      </c>
      <c r="BW321" s="38" t="str">
        <f t="shared" si="42"/>
        <v>SSSTNN</v>
      </c>
    </row>
    <row r="322" spans="64:75" ht="14.4">
      <c r="BL322" s="38" t="s">
        <v>223</v>
      </c>
      <c r="BM322" s="38" t="s">
        <v>220</v>
      </c>
      <c r="BN322" s="38" t="s">
        <v>275</v>
      </c>
      <c r="BO322" s="38" t="s">
        <v>147</v>
      </c>
      <c r="BQ322" s="38" t="str">
        <f t="shared" si="43"/>
        <v>SS</v>
      </c>
      <c r="BR322" s="38" t="str">
        <f t="shared" si="44" ref="BR322:BR385">IF(BM322="Hinged","H",IF(BM322="Sliding","S",IF(BM322="Stacker","ST")))</f>
        <v>ST</v>
      </c>
      <c r="BS322" s="38" t="str">
        <f t="shared" si="45" ref="BS322:BS385">IF(BN322="Single Lock","S",IF(BN322="Triple Lock","T",IF(BN322="Not Required","N",IF(BN322="Ultra Secua Digital Triple Lock","D",IF(BN322="Bass Latch","B")))))</f>
        <v>T</v>
      </c>
      <c r="BT322" s="38" t="str">
        <f t="shared" si="46" ref="BT322:BT385">IF(BO322="No","N",IF(BO322="Yes","Y",IF(BO322="Not Required","N",IF(BO322="Yes - Centre","Y"))))</f>
        <v>N</v>
      </c>
      <c r="BU322" s="38" t="str">
        <f t="shared" si="47" ref="BU322:BU385">IF(BP322="","N",IF(BP322="Yes","Y"))</f>
        <v>N</v>
      </c>
      <c r="BV322" s="38" t="str">
        <f t="shared" si="48" ref="BV322:BV385">CONCATENATE(BM322,BL322,BN322,BO322,BP322,)</f>
        <v>StackerWoven Stainless SteelTriple LockNo</v>
      </c>
      <c r="BW322" s="38" t="str">
        <f t="shared" si="49" ref="BW322:BW385">CONCATENATE(BQ322,BR322,BS322,BT322,BU322)</f>
        <v>SSSTTNN</v>
      </c>
    </row>
    <row r="323" spans="64:75" ht="14.4">
      <c r="BL323" s="38" t="s">
        <v>223</v>
      </c>
      <c r="BM323" s="38" t="s">
        <v>178</v>
      </c>
      <c r="BN323" s="38" t="s">
        <v>410</v>
      </c>
      <c r="BO323" s="38" t="s">
        <v>147</v>
      </c>
      <c r="BQ323" s="38" t="str">
        <f t="shared" si="50" ref="BQ323:BQ386">IF(BL323="Standard Diamond","SD",IF(BL323="Decorative Diamond","DD",IF(BL323="Privacy-Gard","PG",IF(BL323="Flyscreen","FW",IF(BL323="Woven Stainless Steel","SS",IF(BL323="Alu-Gard Perforated Aluminium","PA",IF(BL323="Invisi-Gard Woven Stainless Steel","IG")))))))</f>
        <v>SS</v>
      </c>
      <c r="BR323" s="38" t="str">
        <f t="shared" si="44"/>
        <v>H</v>
      </c>
      <c r="BS323" s="38" t="str">
        <f t="shared" si="45"/>
        <v>N</v>
      </c>
      <c r="BT323" s="38" t="str">
        <f t="shared" si="46"/>
        <v>N</v>
      </c>
      <c r="BU323" s="38" t="str">
        <f t="shared" si="47"/>
        <v>N</v>
      </c>
      <c r="BV323" s="38" t="str">
        <f t="shared" si="48"/>
        <v>HingedWoven Stainless SteelNot RequiredNo</v>
      </c>
      <c r="BW323" s="38" t="str">
        <f t="shared" si="49"/>
        <v>SSHNNN</v>
      </c>
    </row>
    <row r="324" spans="64:75" ht="14.4">
      <c r="BL324" s="38" t="s">
        <v>223</v>
      </c>
      <c r="BM324" s="38" t="s">
        <v>179</v>
      </c>
      <c r="BN324" s="38" t="s">
        <v>410</v>
      </c>
      <c r="BO324" s="38" t="s">
        <v>147</v>
      </c>
      <c r="BQ324" s="38" t="str">
        <f t="shared" si="50"/>
        <v>SS</v>
      </c>
      <c r="BR324" s="38" t="str">
        <f t="shared" si="44"/>
        <v>S</v>
      </c>
      <c r="BS324" s="38" t="str">
        <f t="shared" si="45"/>
        <v>N</v>
      </c>
      <c r="BT324" s="38" t="str">
        <f t="shared" si="46"/>
        <v>N</v>
      </c>
      <c r="BU324" s="38" t="str">
        <f t="shared" si="47"/>
        <v>N</v>
      </c>
      <c r="BV324" s="38" t="str">
        <f t="shared" si="48"/>
        <v>SlidingWoven Stainless SteelNot RequiredNo</v>
      </c>
      <c r="BW324" s="38" t="str">
        <f t="shared" si="49"/>
        <v>SSSNNN</v>
      </c>
    </row>
    <row r="325" spans="64:75" ht="14.4">
      <c r="BL325" s="38" t="s">
        <v>223</v>
      </c>
      <c r="BM325" s="38" t="s">
        <v>220</v>
      </c>
      <c r="BN325" s="38" t="s">
        <v>410</v>
      </c>
      <c r="BO325" s="38" t="s">
        <v>147</v>
      </c>
      <c r="BQ325" s="38" t="str">
        <f t="shared" si="50"/>
        <v>SS</v>
      </c>
      <c r="BR325" s="38" t="str">
        <f t="shared" si="44"/>
        <v>ST</v>
      </c>
      <c r="BS325" s="38" t="str">
        <f t="shared" si="45"/>
        <v>N</v>
      </c>
      <c r="BT325" s="38" t="str">
        <f t="shared" si="46"/>
        <v>N</v>
      </c>
      <c r="BU325" s="38" t="str">
        <f t="shared" si="47"/>
        <v>N</v>
      </c>
      <c r="BV325" s="38" t="str">
        <f t="shared" si="48"/>
        <v>StackerWoven Stainless SteelNot RequiredNo</v>
      </c>
      <c r="BW325" s="38" t="str">
        <f t="shared" si="49"/>
        <v>SSSTNNN</v>
      </c>
    </row>
    <row r="326" spans="64:75" ht="14.4">
      <c r="BL326" s="38" t="s">
        <v>223</v>
      </c>
      <c r="BM326" s="38" t="s">
        <v>178</v>
      </c>
      <c r="BN326" s="38" t="s">
        <v>383</v>
      </c>
      <c r="BO326" s="38" t="s">
        <v>147</v>
      </c>
      <c r="BQ326" s="38" t="str">
        <f t="shared" si="50"/>
        <v>SS</v>
      </c>
      <c r="BR326" s="38" t="str">
        <f t="shared" si="44"/>
        <v>H</v>
      </c>
      <c r="BS326" s="38" t="str">
        <f t="shared" si="45"/>
        <v>D</v>
      </c>
      <c r="BT326" s="38" t="str">
        <f t="shared" si="46"/>
        <v>N</v>
      </c>
      <c r="BU326" s="38" t="str">
        <f t="shared" si="47"/>
        <v>N</v>
      </c>
      <c r="BV326" s="38" t="str">
        <f t="shared" si="48"/>
        <v>HingedWoven Stainless SteelUltra Secua Digital Triple LockNo</v>
      </c>
      <c r="BW326" s="38" t="str">
        <f t="shared" si="49"/>
        <v>SSHDNN</v>
      </c>
    </row>
    <row r="327" spans="64:75" ht="14.4">
      <c r="BL327" s="38" t="s">
        <v>223</v>
      </c>
      <c r="BM327" s="38" t="s">
        <v>179</v>
      </c>
      <c r="BN327" s="38" t="s">
        <v>383</v>
      </c>
      <c r="BO327" s="38" t="s">
        <v>147</v>
      </c>
      <c r="BQ327" s="38" t="str">
        <f t="shared" si="50"/>
        <v>SS</v>
      </c>
      <c r="BR327" s="38" t="str">
        <f t="shared" si="44"/>
        <v>S</v>
      </c>
      <c r="BS327" s="38" t="str">
        <f t="shared" si="45"/>
        <v>D</v>
      </c>
      <c r="BT327" s="38" t="str">
        <f t="shared" si="46"/>
        <v>N</v>
      </c>
      <c r="BU327" s="38" t="str">
        <f t="shared" si="47"/>
        <v>N</v>
      </c>
      <c r="BV327" s="38" t="str">
        <f t="shared" si="48"/>
        <v>SlidingWoven Stainless SteelUltra Secua Digital Triple LockNo</v>
      </c>
      <c r="BW327" s="38" t="str">
        <f t="shared" si="49"/>
        <v>SSSDNN</v>
      </c>
    </row>
    <row r="328" spans="64:75" ht="14.4">
      <c r="BL328" s="38" t="s">
        <v>223</v>
      </c>
      <c r="BM328" s="38" t="s">
        <v>220</v>
      </c>
      <c r="BN328" s="38" t="s">
        <v>383</v>
      </c>
      <c r="BO328" s="38" t="s">
        <v>147</v>
      </c>
      <c r="BQ328" s="38" t="str">
        <f t="shared" si="50"/>
        <v>SS</v>
      </c>
      <c r="BR328" s="38" t="str">
        <f t="shared" si="44"/>
        <v>ST</v>
      </c>
      <c r="BS328" s="38" t="str">
        <f t="shared" si="45"/>
        <v>D</v>
      </c>
      <c r="BT328" s="38" t="str">
        <f t="shared" si="46"/>
        <v>N</v>
      </c>
      <c r="BU328" s="38" t="str">
        <f t="shared" si="47"/>
        <v>N</v>
      </c>
      <c r="BV328" s="38" t="str">
        <f t="shared" si="48"/>
        <v>StackerWoven Stainless SteelUltra Secua Digital Triple LockNo</v>
      </c>
      <c r="BW328" s="38" t="str">
        <f t="shared" si="49"/>
        <v>SSSTDNN</v>
      </c>
    </row>
    <row r="329" spans="64:75" ht="14.4">
      <c r="BL329" s="38" t="s">
        <v>223</v>
      </c>
      <c r="BM329" s="38" t="s">
        <v>178</v>
      </c>
      <c r="BN329" s="38" t="s">
        <v>284</v>
      </c>
      <c r="BO329" s="38" t="s">
        <v>147</v>
      </c>
      <c r="BQ329" s="38" t="str">
        <f t="shared" si="50"/>
        <v>SS</v>
      </c>
      <c r="BR329" s="38" t="str">
        <f t="shared" si="44"/>
        <v>H</v>
      </c>
      <c r="BS329" s="38" t="str">
        <f t="shared" si="45"/>
        <v>B</v>
      </c>
      <c r="BT329" s="38" t="str">
        <f t="shared" si="46"/>
        <v>N</v>
      </c>
      <c r="BU329" s="38" t="str">
        <f t="shared" si="47"/>
        <v>N</v>
      </c>
      <c r="BV329" s="38" t="str">
        <f t="shared" si="48"/>
        <v>HingedWoven Stainless SteelBass LatchNo</v>
      </c>
      <c r="BW329" s="38" t="str">
        <f t="shared" si="49"/>
        <v>SSHBNN</v>
      </c>
    </row>
    <row r="330" spans="64:75" ht="14.4">
      <c r="BL330" s="38" t="s">
        <v>223</v>
      </c>
      <c r="BM330" s="38" t="s">
        <v>179</v>
      </c>
      <c r="BN330" s="38" t="s">
        <v>284</v>
      </c>
      <c r="BO330" s="38" t="s">
        <v>147</v>
      </c>
      <c r="BQ330" s="38" t="str">
        <f t="shared" si="50"/>
        <v>SS</v>
      </c>
      <c r="BR330" s="38" t="str">
        <f t="shared" si="44"/>
        <v>S</v>
      </c>
      <c r="BS330" s="38" t="str">
        <f t="shared" si="45"/>
        <v>B</v>
      </c>
      <c r="BT330" s="38" t="str">
        <f t="shared" si="46"/>
        <v>N</v>
      </c>
      <c r="BU330" s="38" t="str">
        <f t="shared" si="47"/>
        <v>N</v>
      </c>
      <c r="BV330" s="38" t="str">
        <f t="shared" si="48"/>
        <v>SlidingWoven Stainless SteelBass LatchNo</v>
      </c>
      <c r="BW330" s="38" t="str">
        <f t="shared" si="49"/>
        <v>SSSBNN</v>
      </c>
    </row>
    <row r="331" spans="64:75" ht="14.4">
      <c r="BL331" s="38" t="s">
        <v>223</v>
      </c>
      <c r="BM331" s="38" t="s">
        <v>220</v>
      </c>
      <c r="BN331" s="38" t="s">
        <v>284</v>
      </c>
      <c r="BO331" s="38" t="s">
        <v>147</v>
      </c>
      <c r="BQ331" s="38" t="str">
        <f t="shared" si="50"/>
        <v>SS</v>
      </c>
      <c r="BR331" s="38" t="str">
        <f t="shared" si="44"/>
        <v>ST</v>
      </c>
      <c r="BS331" s="38" t="str">
        <f t="shared" si="45"/>
        <v>B</v>
      </c>
      <c r="BT331" s="38" t="str">
        <f t="shared" si="46"/>
        <v>N</v>
      </c>
      <c r="BU331" s="38" t="str">
        <f t="shared" si="47"/>
        <v>N</v>
      </c>
      <c r="BV331" s="38" t="str">
        <f t="shared" si="48"/>
        <v>StackerWoven Stainless SteelBass LatchNo</v>
      </c>
      <c r="BW331" s="38" t="str">
        <f t="shared" si="49"/>
        <v>SSSTBNN</v>
      </c>
    </row>
    <row r="332" spans="64:75" ht="14.4">
      <c r="BL332" s="38" t="s">
        <v>223</v>
      </c>
      <c r="BM332" s="38" t="s">
        <v>178</v>
      </c>
      <c r="BN332" s="38" t="s">
        <v>279</v>
      </c>
      <c r="BO332" s="38" t="s">
        <v>411</v>
      </c>
      <c r="BQ332" s="38" t="str">
        <f t="shared" si="50"/>
        <v>SS</v>
      </c>
      <c r="BR332" s="38" t="str">
        <f t="shared" si="44"/>
        <v>H</v>
      </c>
      <c r="BS332" s="38" t="str">
        <f t="shared" si="45"/>
        <v>S</v>
      </c>
      <c r="BT332" s="38" t="str">
        <f t="shared" si="46"/>
        <v>Y</v>
      </c>
      <c r="BU332" s="38" t="str">
        <f t="shared" si="47"/>
        <v>N</v>
      </c>
      <c r="BV332" s="38" t="str">
        <f t="shared" si="48"/>
        <v>HingedWoven Stainless SteelSingle LockYes - Centre</v>
      </c>
      <c r="BW332" s="38" t="str">
        <f t="shared" si="49"/>
        <v>SSHSYN</v>
      </c>
    </row>
    <row r="333" spans="64:75" ht="14.4">
      <c r="BL333" s="38" t="s">
        <v>223</v>
      </c>
      <c r="BM333" s="38" t="s">
        <v>179</v>
      </c>
      <c r="BN333" s="38" t="s">
        <v>279</v>
      </c>
      <c r="BO333" s="38" t="s">
        <v>411</v>
      </c>
      <c r="BQ333" s="38" t="str">
        <f t="shared" si="50"/>
        <v>SS</v>
      </c>
      <c r="BR333" s="38" t="str">
        <f t="shared" si="44"/>
        <v>S</v>
      </c>
      <c r="BS333" s="38" t="str">
        <f t="shared" si="45"/>
        <v>S</v>
      </c>
      <c r="BT333" s="38" t="str">
        <f t="shared" si="46"/>
        <v>Y</v>
      </c>
      <c r="BU333" s="38" t="str">
        <f t="shared" si="47"/>
        <v>N</v>
      </c>
      <c r="BV333" s="38" t="str">
        <f t="shared" si="48"/>
        <v>SlidingWoven Stainless SteelSingle LockYes - Centre</v>
      </c>
      <c r="BW333" s="38" t="str">
        <f t="shared" si="49"/>
        <v>SSSSYN</v>
      </c>
    </row>
    <row r="334" spans="64:75" ht="14.4">
      <c r="BL334" s="38" t="s">
        <v>223</v>
      </c>
      <c r="BM334" s="38" t="s">
        <v>220</v>
      </c>
      <c r="BN334" s="38" t="s">
        <v>279</v>
      </c>
      <c r="BO334" s="38" t="s">
        <v>411</v>
      </c>
      <c r="BQ334" s="38" t="str">
        <f t="shared" si="50"/>
        <v>SS</v>
      </c>
      <c r="BR334" s="38" t="str">
        <f t="shared" si="44"/>
        <v>ST</v>
      </c>
      <c r="BS334" s="38" t="str">
        <f t="shared" si="45"/>
        <v>S</v>
      </c>
      <c r="BT334" s="38" t="str">
        <f t="shared" si="46"/>
        <v>Y</v>
      </c>
      <c r="BU334" s="38" t="str">
        <f t="shared" si="47"/>
        <v>N</v>
      </c>
      <c r="BV334" s="38" t="str">
        <f t="shared" si="48"/>
        <v>StackerWoven Stainless SteelSingle LockYes - Centre</v>
      </c>
      <c r="BW334" s="38" t="str">
        <f t="shared" si="49"/>
        <v>SSSTSYN</v>
      </c>
    </row>
    <row r="335" spans="64:75" ht="14.4">
      <c r="BL335" s="38" t="s">
        <v>223</v>
      </c>
      <c r="BM335" s="38" t="s">
        <v>178</v>
      </c>
      <c r="BN335" s="38" t="s">
        <v>275</v>
      </c>
      <c r="BO335" s="38" t="s">
        <v>411</v>
      </c>
      <c r="BQ335" s="38" t="str">
        <f t="shared" si="50"/>
        <v>SS</v>
      </c>
      <c r="BR335" s="38" t="str">
        <f t="shared" si="44"/>
        <v>H</v>
      </c>
      <c r="BS335" s="38" t="str">
        <f t="shared" si="45"/>
        <v>T</v>
      </c>
      <c r="BT335" s="38" t="str">
        <f t="shared" si="46"/>
        <v>Y</v>
      </c>
      <c r="BU335" s="38" t="str">
        <f t="shared" si="47"/>
        <v>N</v>
      </c>
      <c r="BV335" s="38" t="str">
        <f t="shared" si="48"/>
        <v>HingedWoven Stainless SteelTriple LockYes - Centre</v>
      </c>
      <c r="BW335" s="38" t="str">
        <f t="shared" si="49"/>
        <v>SSHTYN</v>
      </c>
    </row>
    <row r="336" spans="64:75" ht="14.4">
      <c r="BL336" s="38" t="s">
        <v>223</v>
      </c>
      <c r="BM336" s="38" t="s">
        <v>179</v>
      </c>
      <c r="BN336" s="38" t="s">
        <v>275</v>
      </c>
      <c r="BO336" s="38" t="s">
        <v>411</v>
      </c>
      <c r="BQ336" s="38" t="str">
        <f t="shared" si="50"/>
        <v>SS</v>
      </c>
      <c r="BR336" s="38" t="str">
        <f t="shared" si="44"/>
        <v>S</v>
      </c>
      <c r="BS336" s="38" t="str">
        <f t="shared" si="45"/>
        <v>T</v>
      </c>
      <c r="BT336" s="38" t="str">
        <f t="shared" si="46"/>
        <v>Y</v>
      </c>
      <c r="BU336" s="38" t="str">
        <f t="shared" si="47"/>
        <v>N</v>
      </c>
      <c r="BV336" s="38" t="str">
        <f t="shared" si="48"/>
        <v>SlidingWoven Stainless SteelTriple LockYes - Centre</v>
      </c>
      <c r="BW336" s="38" t="str">
        <f t="shared" si="49"/>
        <v>SSSTYN</v>
      </c>
    </row>
    <row r="337" spans="64:75" ht="14.4">
      <c r="BL337" s="38" t="s">
        <v>223</v>
      </c>
      <c r="BM337" s="38" t="s">
        <v>220</v>
      </c>
      <c r="BN337" s="38" t="s">
        <v>275</v>
      </c>
      <c r="BO337" s="38" t="s">
        <v>411</v>
      </c>
      <c r="BQ337" s="38" t="str">
        <f t="shared" si="50"/>
        <v>SS</v>
      </c>
      <c r="BR337" s="38" t="str">
        <f t="shared" si="44"/>
        <v>ST</v>
      </c>
      <c r="BS337" s="38" t="str">
        <f t="shared" si="45"/>
        <v>T</v>
      </c>
      <c r="BT337" s="38" t="str">
        <f t="shared" si="46"/>
        <v>Y</v>
      </c>
      <c r="BU337" s="38" t="str">
        <f t="shared" si="47"/>
        <v>N</v>
      </c>
      <c r="BV337" s="38" t="str">
        <f t="shared" si="48"/>
        <v>StackerWoven Stainless SteelTriple LockYes - Centre</v>
      </c>
      <c r="BW337" s="38" t="str">
        <f t="shared" si="49"/>
        <v>SSSTTYN</v>
      </c>
    </row>
    <row r="338" spans="64:75" ht="14.4">
      <c r="BL338" s="38" t="s">
        <v>223</v>
      </c>
      <c r="BM338" s="38" t="s">
        <v>178</v>
      </c>
      <c r="BN338" s="38" t="s">
        <v>410</v>
      </c>
      <c r="BO338" s="38" t="s">
        <v>411</v>
      </c>
      <c r="BQ338" s="38" t="str">
        <f t="shared" si="50"/>
        <v>SS</v>
      </c>
      <c r="BR338" s="38" t="str">
        <f t="shared" si="44"/>
        <v>H</v>
      </c>
      <c r="BS338" s="38" t="str">
        <f t="shared" si="45"/>
        <v>N</v>
      </c>
      <c r="BT338" s="38" t="str">
        <f t="shared" si="46"/>
        <v>Y</v>
      </c>
      <c r="BU338" s="38" t="str">
        <f t="shared" si="47"/>
        <v>N</v>
      </c>
      <c r="BV338" s="38" t="str">
        <f t="shared" si="48"/>
        <v>HingedWoven Stainless SteelNot RequiredYes - Centre</v>
      </c>
      <c r="BW338" s="38" t="str">
        <f t="shared" si="49"/>
        <v>SSHNYN</v>
      </c>
    </row>
    <row r="339" spans="64:75" ht="14.4">
      <c r="BL339" s="38" t="s">
        <v>223</v>
      </c>
      <c r="BM339" s="38" t="s">
        <v>179</v>
      </c>
      <c r="BN339" s="38" t="s">
        <v>410</v>
      </c>
      <c r="BO339" s="38" t="s">
        <v>411</v>
      </c>
      <c r="BQ339" s="38" t="str">
        <f t="shared" si="50"/>
        <v>SS</v>
      </c>
      <c r="BR339" s="38" t="str">
        <f t="shared" si="44"/>
        <v>S</v>
      </c>
      <c r="BS339" s="38" t="str">
        <f t="shared" si="45"/>
        <v>N</v>
      </c>
      <c r="BT339" s="38" t="str">
        <f t="shared" si="46"/>
        <v>Y</v>
      </c>
      <c r="BU339" s="38" t="str">
        <f t="shared" si="47"/>
        <v>N</v>
      </c>
      <c r="BV339" s="38" t="str">
        <f t="shared" si="48"/>
        <v>SlidingWoven Stainless SteelNot RequiredYes - Centre</v>
      </c>
      <c r="BW339" s="38" t="str">
        <f t="shared" si="49"/>
        <v>SSSNYN</v>
      </c>
    </row>
    <row r="340" spans="64:75" ht="14.4">
      <c r="BL340" s="38" t="s">
        <v>223</v>
      </c>
      <c r="BM340" s="38" t="s">
        <v>220</v>
      </c>
      <c r="BN340" s="38" t="s">
        <v>410</v>
      </c>
      <c r="BO340" s="38" t="s">
        <v>411</v>
      </c>
      <c r="BQ340" s="38" t="str">
        <f t="shared" si="50"/>
        <v>SS</v>
      </c>
      <c r="BR340" s="38" t="str">
        <f t="shared" si="44"/>
        <v>ST</v>
      </c>
      <c r="BS340" s="38" t="str">
        <f t="shared" si="45"/>
        <v>N</v>
      </c>
      <c r="BT340" s="38" t="str">
        <f t="shared" si="46"/>
        <v>Y</v>
      </c>
      <c r="BU340" s="38" t="str">
        <f t="shared" si="47"/>
        <v>N</v>
      </c>
      <c r="BV340" s="38" t="str">
        <f t="shared" si="48"/>
        <v>StackerWoven Stainless SteelNot RequiredYes - Centre</v>
      </c>
      <c r="BW340" s="38" t="str">
        <f t="shared" si="49"/>
        <v>SSSTNYN</v>
      </c>
    </row>
    <row r="341" spans="64:75" ht="14.4">
      <c r="BL341" s="38" t="s">
        <v>223</v>
      </c>
      <c r="BM341" s="38" t="s">
        <v>178</v>
      </c>
      <c r="BN341" s="38" t="s">
        <v>383</v>
      </c>
      <c r="BO341" s="38" t="s">
        <v>411</v>
      </c>
      <c r="BQ341" s="38" t="str">
        <f t="shared" si="50"/>
        <v>SS</v>
      </c>
      <c r="BR341" s="38" t="str">
        <f t="shared" si="44"/>
        <v>H</v>
      </c>
      <c r="BS341" s="38" t="str">
        <f t="shared" si="45"/>
        <v>D</v>
      </c>
      <c r="BT341" s="38" t="str">
        <f t="shared" si="46"/>
        <v>Y</v>
      </c>
      <c r="BU341" s="38" t="str">
        <f t="shared" si="47"/>
        <v>N</v>
      </c>
      <c r="BV341" s="38" t="str">
        <f t="shared" si="48"/>
        <v>HingedWoven Stainless SteelUltra Secua Digital Triple LockYes - Centre</v>
      </c>
      <c r="BW341" s="38" t="str">
        <f t="shared" si="49"/>
        <v>SSHDYN</v>
      </c>
    </row>
    <row r="342" spans="64:75" ht="14.4">
      <c r="BL342" s="38" t="s">
        <v>223</v>
      </c>
      <c r="BM342" s="38" t="s">
        <v>179</v>
      </c>
      <c r="BN342" s="38" t="s">
        <v>383</v>
      </c>
      <c r="BO342" s="38" t="s">
        <v>411</v>
      </c>
      <c r="BQ342" s="38" t="str">
        <f t="shared" si="50"/>
        <v>SS</v>
      </c>
      <c r="BR342" s="38" t="str">
        <f t="shared" si="44"/>
        <v>S</v>
      </c>
      <c r="BS342" s="38" t="str">
        <f t="shared" si="45"/>
        <v>D</v>
      </c>
      <c r="BT342" s="38" t="str">
        <f t="shared" si="46"/>
        <v>Y</v>
      </c>
      <c r="BU342" s="38" t="str">
        <f t="shared" si="47"/>
        <v>N</v>
      </c>
      <c r="BV342" s="38" t="str">
        <f t="shared" si="48"/>
        <v>SlidingWoven Stainless SteelUltra Secua Digital Triple LockYes - Centre</v>
      </c>
      <c r="BW342" s="38" t="str">
        <f t="shared" si="49"/>
        <v>SSSDYN</v>
      </c>
    </row>
    <row r="343" spans="64:75" ht="14.4">
      <c r="BL343" s="38" t="s">
        <v>223</v>
      </c>
      <c r="BM343" s="38" t="s">
        <v>220</v>
      </c>
      <c r="BN343" s="38" t="s">
        <v>383</v>
      </c>
      <c r="BO343" s="38" t="s">
        <v>411</v>
      </c>
      <c r="BQ343" s="38" t="str">
        <f t="shared" si="50"/>
        <v>SS</v>
      </c>
      <c r="BR343" s="38" t="str">
        <f t="shared" si="44"/>
        <v>ST</v>
      </c>
      <c r="BS343" s="38" t="str">
        <f t="shared" si="45"/>
        <v>D</v>
      </c>
      <c r="BT343" s="38" t="str">
        <f t="shared" si="46"/>
        <v>Y</v>
      </c>
      <c r="BU343" s="38" t="str">
        <f t="shared" si="47"/>
        <v>N</v>
      </c>
      <c r="BV343" s="38" t="str">
        <f t="shared" si="48"/>
        <v>StackerWoven Stainless SteelUltra Secua Digital Triple LockYes - Centre</v>
      </c>
      <c r="BW343" s="38" t="str">
        <f t="shared" si="49"/>
        <v>SSSTDYN</v>
      </c>
    </row>
    <row r="344" spans="64:75" ht="14.4">
      <c r="BL344" s="38" t="s">
        <v>223</v>
      </c>
      <c r="BM344" s="38" t="s">
        <v>178</v>
      </c>
      <c r="BN344" s="38" t="s">
        <v>284</v>
      </c>
      <c r="BO344" s="38" t="s">
        <v>411</v>
      </c>
      <c r="BQ344" s="38" t="str">
        <f t="shared" si="50"/>
        <v>SS</v>
      </c>
      <c r="BR344" s="38" t="str">
        <f t="shared" si="44"/>
        <v>H</v>
      </c>
      <c r="BS344" s="38" t="str">
        <f t="shared" si="45"/>
        <v>B</v>
      </c>
      <c r="BT344" s="38" t="str">
        <f t="shared" si="46"/>
        <v>Y</v>
      </c>
      <c r="BU344" s="38" t="str">
        <f t="shared" si="47"/>
        <v>N</v>
      </c>
      <c r="BV344" s="38" t="str">
        <f t="shared" si="48"/>
        <v>HingedWoven Stainless SteelBass LatchYes - Centre</v>
      </c>
      <c r="BW344" s="38" t="str">
        <f t="shared" si="49"/>
        <v>SSHBYN</v>
      </c>
    </row>
    <row r="345" spans="64:75" ht="14.4">
      <c r="BL345" s="38" t="s">
        <v>223</v>
      </c>
      <c r="BM345" s="38" t="s">
        <v>179</v>
      </c>
      <c r="BN345" s="38" t="s">
        <v>284</v>
      </c>
      <c r="BO345" s="38" t="s">
        <v>411</v>
      </c>
      <c r="BQ345" s="38" t="str">
        <f t="shared" si="50"/>
        <v>SS</v>
      </c>
      <c r="BR345" s="38" t="str">
        <f t="shared" si="44"/>
        <v>S</v>
      </c>
      <c r="BS345" s="38" t="str">
        <f t="shared" si="45"/>
        <v>B</v>
      </c>
      <c r="BT345" s="38" t="str">
        <f t="shared" si="46"/>
        <v>Y</v>
      </c>
      <c r="BU345" s="38" t="str">
        <f t="shared" si="47"/>
        <v>N</v>
      </c>
      <c r="BV345" s="38" t="str">
        <f t="shared" si="48"/>
        <v>SlidingWoven Stainless SteelBass LatchYes - Centre</v>
      </c>
      <c r="BW345" s="38" t="str">
        <f t="shared" si="49"/>
        <v>SSSBYN</v>
      </c>
    </row>
    <row r="346" spans="64:75" ht="14.4">
      <c r="BL346" s="38" t="s">
        <v>223</v>
      </c>
      <c r="BM346" s="38" t="s">
        <v>220</v>
      </c>
      <c r="BN346" s="38" t="s">
        <v>284</v>
      </c>
      <c r="BO346" s="38" t="s">
        <v>411</v>
      </c>
      <c r="BQ346" s="38" t="str">
        <f t="shared" si="50"/>
        <v>SS</v>
      </c>
      <c r="BR346" s="38" t="str">
        <f t="shared" si="44"/>
        <v>ST</v>
      </c>
      <c r="BS346" s="38" t="str">
        <f t="shared" si="45"/>
        <v>B</v>
      </c>
      <c r="BT346" s="38" t="str">
        <f t="shared" si="46"/>
        <v>Y</v>
      </c>
      <c r="BU346" s="38" t="str">
        <f t="shared" si="47"/>
        <v>N</v>
      </c>
      <c r="BV346" s="38" t="str">
        <f t="shared" si="48"/>
        <v>StackerWoven Stainless SteelBass LatchYes - Centre</v>
      </c>
      <c r="BW346" s="38" t="str">
        <f t="shared" si="49"/>
        <v>SSSTBYN</v>
      </c>
    </row>
    <row r="347" spans="64:75" ht="14.4">
      <c r="BL347" s="38" t="s">
        <v>223</v>
      </c>
      <c r="BM347" s="38" t="s">
        <v>178</v>
      </c>
      <c r="BN347" s="38" t="s">
        <v>279</v>
      </c>
      <c r="BO347" s="38" t="s">
        <v>306</v>
      </c>
      <c r="BQ347" s="38" t="str">
        <f t="shared" si="50"/>
        <v>SS</v>
      </c>
      <c r="BR347" s="38" t="str">
        <f t="shared" si="44"/>
        <v>H</v>
      </c>
      <c r="BS347" s="38" t="str">
        <f t="shared" si="45"/>
        <v>S</v>
      </c>
      <c r="BT347" s="38" t="str">
        <f t="shared" si="46"/>
        <v>Y</v>
      </c>
      <c r="BU347" s="38" t="str">
        <f t="shared" si="47"/>
        <v>N</v>
      </c>
      <c r="BV347" s="38" t="str">
        <f t="shared" si="48"/>
        <v>HingedWoven Stainless SteelSingle LockYes</v>
      </c>
      <c r="BW347" s="38" t="str">
        <f t="shared" si="49"/>
        <v>SSHSYN</v>
      </c>
    </row>
    <row r="348" spans="64:75" ht="14.4">
      <c r="BL348" s="38" t="s">
        <v>223</v>
      </c>
      <c r="BM348" s="38" t="s">
        <v>179</v>
      </c>
      <c r="BN348" s="38" t="s">
        <v>279</v>
      </c>
      <c r="BO348" s="38" t="s">
        <v>306</v>
      </c>
      <c r="BQ348" s="38" t="str">
        <f t="shared" si="50"/>
        <v>SS</v>
      </c>
      <c r="BR348" s="38" t="str">
        <f t="shared" si="44"/>
        <v>S</v>
      </c>
      <c r="BS348" s="38" t="str">
        <f t="shared" si="45"/>
        <v>S</v>
      </c>
      <c r="BT348" s="38" t="str">
        <f t="shared" si="46"/>
        <v>Y</v>
      </c>
      <c r="BU348" s="38" t="str">
        <f t="shared" si="47"/>
        <v>N</v>
      </c>
      <c r="BV348" s="38" t="str">
        <f t="shared" si="48"/>
        <v>SlidingWoven Stainless SteelSingle LockYes</v>
      </c>
      <c r="BW348" s="38" t="str">
        <f t="shared" si="49"/>
        <v>SSSSYN</v>
      </c>
    </row>
    <row r="349" spans="64:75" ht="14.4">
      <c r="BL349" s="38" t="s">
        <v>223</v>
      </c>
      <c r="BM349" s="38" t="s">
        <v>220</v>
      </c>
      <c r="BN349" s="38" t="s">
        <v>279</v>
      </c>
      <c r="BO349" s="38" t="s">
        <v>306</v>
      </c>
      <c r="BQ349" s="38" t="str">
        <f t="shared" si="50"/>
        <v>SS</v>
      </c>
      <c r="BR349" s="38" t="str">
        <f t="shared" si="44"/>
        <v>ST</v>
      </c>
      <c r="BS349" s="38" t="str">
        <f t="shared" si="45"/>
        <v>S</v>
      </c>
      <c r="BT349" s="38" t="str">
        <f t="shared" si="46"/>
        <v>Y</v>
      </c>
      <c r="BU349" s="38" t="str">
        <f t="shared" si="47"/>
        <v>N</v>
      </c>
      <c r="BV349" s="38" t="str">
        <f t="shared" si="48"/>
        <v>StackerWoven Stainless SteelSingle LockYes</v>
      </c>
      <c r="BW349" s="38" t="str">
        <f t="shared" si="49"/>
        <v>SSSTSYN</v>
      </c>
    </row>
    <row r="350" spans="64:75" ht="14.4">
      <c r="BL350" s="38" t="s">
        <v>223</v>
      </c>
      <c r="BM350" s="38" t="s">
        <v>178</v>
      </c>
      <c r="BN350" s="38" t="s">
        <v>275</v>
      </c>
      <c r="BO350" s="38" t="s">
        <v>306</v>
      </c>
      <c r="BQ350" s="38" t="str">
        <f t="shared" si="50"/>
        <v>SS</v>
      </c>
      <c r="BR350" s="38" t="str">
        <f t="shared" si="44"/>
        <v>H</v>
      </c>
      <c r="BS350" s="38" t="str">
        <f t="shared" si="45"/>
        <v>T</v>
      </c>
      <c r="BT350" s="38" t="str">
        <f t="shared" si="46"/>
        <v>Y</v>
      </c>
      <c r="BU350" s="38" t="str">
        <f t="shared" si="47"/>
        <v>N</v>
      </c>
      <c r="BV350" s="38" t="str">
        <f t="shared" si="48"/>
        <v>HingedWoven Stainless SteelTriple LockYes</v>
      </c>
      <c r="BW350" s="38" t="str">
        <f t="shared" si="49"/>
        <v>SSHTYN</v>
      </c>
    </row>
    <row r="351" spans="64:75" ht="14.4">
      <c r="BL351" s="38" t="s">
        <v>223</v>
      </c>
      <c r="BM351" s="38" t="s">
        <v>179</v>
      </c>
      <c r="BN351" s="38" t="s">
        <v>275</v>
      </c>
      <c r="BO351" s="38" t="s">
        <v>306</v>
      </c>
      <c r="BQ351" s="38" t="str">
        <f t="shared" si="50"/>
        <v>SS</v>
      </c>
      <c r="BR351" s="38" t="str">
        <f t="shared" si="44"/>
        <v>S</v>
      </c>
      <c r="BS351" s="38" t="str">
        <f t="shared" si="45"/>
        <v>T</v>
      </c>
      <c r="BT351" s="38" t="str">
        <f t="shared" si="46"/>
        <v>Y</v>
      </c>
      <c r="BU351" s="38" t="str">
        <f t="shared" si="47"/>
        <v>N</v>
      </c>
      <c r="BV351" s="38" t="str">
        <f t="shared" si="48"/>
        <v>SlidingWoven Stainless SteelTriple LockYes</v>
      </c>
      <c r="BW351" s="38" t="str">
        <f t="shared" si="49"/>
        <v>SSSTYN</v>
      </c>
    </row>
    <row r="352" spans="64:75" ht="14.4">
      <c r="BL352" s="38" t="s">
        <v>223</v>
      </c>
      <c r="BM352" s="38" t="s">
        <v>220</v>
      </c>
      <c r="BN352" s="38" t="s">
        <v>275</v>
      </c>
      <c r="BO352" s="38" t="s">
        <v>306</v>
      </c>
      <c r="BQ352" s="38" t="str">
        <f t="shared" si="50"/>
        <v>SS</v>
      </c>
      <c r="BR352" s="38" t="str">
        <f t="shared" si="44"/>
        <v>ST</v>
      </c>
      <c r="BS352" s="38" t="str">
        <f t="shared" si="45"/>
        <v>T</v>
      </c>
      <c r="BT352" s="38" t="str">
        <f t="shared" si="46"/>
        <v>Y</v>
      </c>
      <c r="BU352" s="38" t="str">
        <f t="shared" si="47"/>
        <v>N</v>
      </c>
      <c r="BV352" s="38" t="str">
        <f t="shared" si="48"/>
        <v>StackerWoven Stainless SteelTriple LockYes</v>
      </c>
      <c r="BW352" s="38" t="str">
        <f t="shared" si="49"/>
        <v>SSSTTYN</v>
      </c>
    </row>
    <row r="353" spans="64:75" ht="14.4">
      <c r="BL353" s="38" t="s">
        <v>223</v>
      </c>
      <c r="BM353" s="38" t="s">
        <v>178</v>
      </c>
      <c r="BN353" s="38" t="s">
        <v>410</v>
      </c>
      <c r="BO353" s="38" t="s">
        <v>306</v>
      </c>
      <c r="BQ353" s="38" t="str">
        <f t="shared" si="50"/>
        <v>SS</v>
      </c>
      <c r="BR353" s="38" t="str">
        <f t="shared" si="44"/>
        <v>H</v>
      </c>
      <c r="BS353" s="38" t="str">
        <f t="shared" si="45"/>
        <v>N</v>
      </c>
      <c r="BT353" s="38" t="str">
        <f t="shared" si="46"/>
        <v>Y</v>
      </c>
      <c r="BU353" s="38" t="str">
        <f t="shared" si="47"/>
        <v>N</v>
      </c>
      <c r="BV353" s="38" t="str">
        <f t="shared" si="48"/>
        <v>HingedWoven Stainless SteelNot RequiredYes</v>
      </c>
      <c r="BW353" s="38" t="str">
        <f t="shared" si="49"/>
        <v>SSHNYN</v>
      </c>
    </row>
    <row r="354" spans="64:75" ht="14.4">
      <c r="BL354" s="38" t="s">
        <v>223</v>
      </c>
      <c r="BM354" s="38" t="s">
        <v>179</v>
      </c>
      <c r="BN354" s="38" t="s">
        <v>410</v>
      </c>
      <c r="BO354" s="38" t="s">
        <v>306</v>
      </c>
      <c r="BQ354" s="38" t="str">
        <f t="shared" si="50"/>
        <v>SS</v>
      </c>
      <c r="BR354" s="38" t="str">
        <f t="shared" si="44"/>
        <v>S</v>
      </c>
      <c r="BS354" s="38" t="str">
        <f t="shared" si="45"/>
        <v>N</v>
      </c>
      <c r="BT354" s="38" t="str">
        <f t="shared" si="46"/>
        <v>Y</v>
      </c>
      <c r="BU354" s="38" t="str">
        <f t="shared" si="47"/>
        <v>N</v>
      </c>
      <c r="BV354" s="38" t="str">
        <f t="shared" si="48"/>
        <v>SlidingWoven Stainless SteelNot RequiredYes</v>
      </c>
      <c r="BW354" s="38" t="str">
        <f t="shared" si="49"/>
        <v>SSSNYN</v>
      </c>
    </row>
    <row r="355" spans="64:75" ht="14.4">
      <c r="BL355" s="38" t="s">
        <v>223</v>
      </c>
      <c r="BM355" s="38" t="s">
        <v>220</v>
      </c>
      <c r="BN355" s="38" t="s">
        <v>410</v>
      </c>
      <c r="BO355" s="38" t="s">
        <v>306</v>
      </c>
      <c r="BQ355" s="38" t="str">
        <f t="shared" si="50"/>
        <v>SS</v>
      </c>
      <c r="BR355" s="38" t="str">
        <f t="shared" si="44"/>
        <v>ST</v>
      </c>
      <c r="BS355" s="38" t="str">
        <f t="shared" si="45"/>
        <v>N</v>
      </c>
      <c r="BT355" s="38" t="str">
        <f t="shared" si="46"/>
        <v>Y</v>
      </c>
      <c r="BU355" s="38" t="str">
        <f t="shared" si="47"/>
        <v>N</v>
      </c>
      <c r="BV355" s="38" t="str">
        <f t="shared" si="48"/>
        <v>StackerWoven Stainless SteelNot RequiredYes</v>
      </c>
      <c r="BW355" s="38" t="str">
        <f t="shared" si="49"/>
        <v>SSSTNYN</v>
      </c>
    </row>
    <row r="356" spans="64:75" ht="14.4">
      <c r="BL356" s="38" t="s">
        <v>223</v>
      </c>
      <c r="BM356" s="38" t="s">
        <v>178</v>
      </c>
      <c r="BN356" s="38" t="s">
        <v>383</v>
      </c>
      <c r="BO356" s="38" t="s">
        <v>306</v>
      </c>
      <c r="BQ356" s="38" t="str">
        <f t="shared" si="50"/>
        <v>SS</v>
      </c>
      <c r="BR356" s="38" t="str">
        <f t="shared" si="44"/>
        <v>H</v>
      </c>
      <c r="BS356" s="38" t="str">
        <f t="shared" si="45"/>
        <v>D</v>
      </c>
      <c r="BT356" s="38" t="str">
        <f t="shared" si="46"/>
        <v>Y</v>
      </c>
      <c r="BU356" s="38" t="str">
        <f t="shared" si="47"/>
        <v>N</v>
      </c>
      <c r="BV356" s="38" t="str">
        <f t="shared" si="48"/>
        <v>HingedWoven Stainless SteelUltra Secua Digital Triple LockYes</v>
      </c>
      <c r="BW356" s="38" t="str">
        <f t="shared" si="49"/>
        <v>SSHDYN</v>
      </c>
    </row>
    <row r="357" spans="64:75" ht="14.4">
      <c r="BL357" s="38" t="s">
        <v>223</v>
      </c>
      <c r="BM357" s="38" t="s">
        <v>179</v>
      </c>
      <c r="BN357" s="38" t="s">
        <v>383</v>
      </c>
      <c r="BO357" s="38" t="s">
        <v>306</v>
      </c>
      <c r="BQ357" s="38" t="str">
        <f t="shared" si="50"/>
        <v>SS</v>
      </c>
      <c r="BR357" s="38" t="str">
        <f t="shared" si="44"/>
        <v>S</v>
      </c>
      <c r="BS357" s="38" t="str">
        <f t="shared" si="45"/>
        <v>D</v>
      </c>
      <c r="BT357" s="38" t="str">
        <f t="shared" si="46"/>
        <v>Y</v>
      </c>
      <c r="BU357" s="38" t="str">
        <f t="shared" si="47"/>
        <v>N</v>
      </c>
      <c r="BV357" s="38" t="str">
        <f t="shared" si="48"/>
        <v>SlidingWoven Stainless SteelUltra Secua Digital Triple LockYes</v>
      </c>
      <c r="BW357" s="38" t="str">
        <f t="shared" si="49"/>
        <v>SSSDYN</v>
      </c>
    </row>
    <row r="358" spans="64:75" ht="14.4">
      <c r="BL358" s="38" t="s">
        <v>223</v>
      </c>
      <c r="BM358" s="38" t="s">
        <v>220</v>
      </c>
      <c r="BN358" s="38" t="s">
        <v>383</v>
      </c>
      <c r="BO358" s="38" t="s">
        <v>306</v>
      </c>
      <c r="BQ358" s="38" t="str">
        <f t="shared" si="50"/>
        <v>SS</v>
      </c>
      <c r="BR358" s="38" t="str">
        <f t="shared" si="44"/>
        <v>ST</v>
      </c>
      <c r="BS358" s="38" t="str">
        <f t="shared" si="45"/>
        <v>D</v>
      </c>
      <c r="BT358" s="38" t="str">
        <f t="shared" si="46"/>
        <v>Y</v>
      </c>
      <c r="BU358" s="38" t="str">
        <f t="shared" si="47"/>
        <v>N</v>
      </c>
      <c r="BV358" s="38" t="str">
        <f t="shared" si="48"/>
        <v>StackerWoven Stainless SteelUltra Secua Digital Triple LockYes</v>
      </c>
      <c r="BW358" s="38" t="str">
        <f t="shared" si="49"/>
        <v>SSSTDYN</v>
      </c>
    </row>
    <row r="359" spans="64:75" ht="14.4">
      <c r="BL359" s="38" t="s">
        <v>223</v>
      </c>
      <c r="BM359" s="38" t="s">
        <v>178</v>
      </c>
      <c r="BN359" s="38" t="s">
        <v>284</v>
      </c>
      <c r="BO359" s="38" t="s">
        <v>306</v>
      </c>
      <c r="BQ359" s="38" t="str">
        <f t="shared" si="50"/>
        <v>SS</v>
      </c>
      <c r="BR359" s="38" t="str">
        <f t="shared" si="44"/>
        <v>H</v>
      </c>
      <c r="BS359" s="38" t="str">
        <f t="shared" si="45"/>
        <v>B</v>
      </c>
      <c r="BT359" s="38" t="str">
        <f t="shared" si="46"/>
        <v>Y</v>
      </c>
      <c r="BU359" s="38" t="str">
        <f t="shared" si="47"/>
        <v>N</v>
      </c>
      <c r="BV359" s="38" t="str">
        <f t="shared" si="48"/>
        <v>HingedWoven Stainless SteelBass LatchYes</v>
      </c>
      <c r="BW359" s="38" t="str">
        <f t="shared" si="49"/>
        <v>SSHBYN</v>
      </c>
    </row>
    <row r="360" spans="64:75" ht="14.4">
      <c r="BL360" s="38" t="s">
        <v>223</v>
      </c>
      <c r="BM360" s="38" t="s">
        <v>179</v>
      </c>
      <c r="BN360" s="38" t="s">
        <v>284</v>
      </c>
      <c r="BO360" s="38" t="s">
        <v>306</v>
      </c>
      <c r="BQ360" s="38" t="str">
        <f t="shared" si="50"/>
        <v>SS</v>
      </c>
      <c r="BR360" s="38" t="str">
        <f t="shared" si="44"/>
        <v>S</v>
      </c>
      <c r="BS360" s="38" t="str">
        <f t="shared" si="45"/>
        <v>B</v>
      </c>
      <c r="BT360" s="38" t="str">
        <f t="shared" si="46"/>
        <v>Y</v>
      </c>
      <c r="BU360" s="38" t="str">
        <f t="shared" si="47"/>
        <v>N</v>
      </c>
      <c r="BV360" s="38" t="str">
        <f t="shared" si="48"/>
        <v>SlidingWoven Stainless SteelBass LatchYes</v>
      </c>
      <c r="BW360" s="38" t="str">
        <f t="shared" si="49"/>
        <v>SSSBYN</v>
      </c>
    </row>
    <row r="361" spans="64:75" ht="14.4">
      <c r="BL361" s="38" t="s">
        <v>223</v>
      </c>
      <c r="BM361" s="38" t="s">
        <v>220</v>
      </c>
      <c r="BN361" s="38" t="s">
        <v>284</v>
      </c>
      <c r="BO361" s="38" t="s">
        <v>306</v>
      </c>
      <c r="BQ361" s="38" t="str">
        <f t="shared" si="50"/>
        <v>SS</v>
      </c>
      <c r="BR361" s="38" t="str">
        <f t="shared" si="44"/>
        <v>ST</v>
      </c>
      <c r="BS361" s="38" t="str">
        <f t="shared" si="45"/>
        <v>B</v>
      </c>
      <c r="BT361" s="38" t="str">
        <f t="shared" si="46"/>
        <v>Y</v>
      </c>
      <c r="BU361" s="38" t="str">
        <f t="shared" si="47"/>
        <v>N</v>
      </c>
      <c r="BV361" s="38" t="str">
        <f t="shared" si="48"/>
        <v>StackerWoven Stainless SteelBass LatchYes</v>
      </c>
      <c r="BW361" s="38" t="str">
        <f t="shared" si="49"/>
        <v>SSSTBYN</v>
      </c>
    </row>
    <row r="362" spans="64:75" ht="14.4">
      <c r="BL362" s="38" t="s">
        <v>232</v>
      </c>
      <c r="BM362" s="38" t="s">
        <v>178</v>
      </c>
      <c r="BN362" s="38" t="s">
        <v>279</v>
      </c>
      <c r="BO362" s="38" t="s">
        <v>147</v>
      </c>
      <c r="BP362" s="38" t="s">
        <v>306</v>
      </c>
      <c r="BQ362" s="38" t="str">
        <f t="shared" si="50"/>
        <v>PA</v>
      </c>
      <c r="BR362" s="38" t="str">
        <f t="shared" si="44"/>
        <v>H</v>
      </c>
      <c r="BS362" s="38" t="str">
        <f t="shared" si="45"/>
        <v>S</v>
      </c>
      <c r="BT362" s="38" t="str">
        <f t="shared" si="46"/>
        <v>N</v>
      </c>
      <c r="BU362" s="38" t="str">
        <f t="shared" si="47"/>
        <v>Y</v>
      </c>
      <c r="BV362" s="38" t="str">
        <f t="shared" si="48"/>
        <v>HingedAlu-Gard Perforated AluminiumSingle LockNoYes</v>
      </c>
      <c r="BW362" s="38" t="str">
        <f t="shared" si="49"/>
        <v>PAHSNY</v>
      </c>
    </row>
    <row r="363" spans="64:75" ht="14.4">
      <c r="BL363" s="38" t="s">
        <v>232</v>
      </c>
      <c r="BM363" s="38" t="s">
        <v>179</v>
      </c>
      <c r="BN363" s="38" t="s">
        <v>279</v>
      </c>
      <c r="BO363" s="38" t="s">
        <v>147</v>
      </c>
      <c r="BP363" s="38" t="s">
        <v>306</v>
      </c>
      <c r="BQ363" s="38" t="str">
        <f t="shared" si="50"/>
        <v>PA</v>
      </c>
      <c r="BR363" s="38" t="str">
        <f t="shared" si="44"/>
        <v>S</v>
      </c>
      <c r="BS363" s="38" t="str">
        <f t="shared" si="45"/>
        <v>S</v>
      </c>
      <c r="BT363" s="38" t="str">
        <f t="shared" si="46"/>
        <v>N</v>
      </c>
      <c r="BU363" s="38" t="str">
        <f t="shared" si="47"/>
        <v>Y</v>
      </c>
      <c r="BV363" s="38" t="str">
        <f t="shared" si="48"/>
        <v>SlidingAlu-Gard Perforated AluminiumSingle LockNoYes</v>
      </c>
      <c r="BW363" s="38" t="str">
        <f t="shared" si="49"/>
        <v>PASSNY</v>
      </c>
    </row>
    <row r="364" spans="64:75" ht="14.4">
      <c r="BL364" s="38" t="s">
        <v>232</v>
      </c>
      <c r="BM364" s="38" t="s">
        <v>220</v>
      </c>
      <c r="BN364" s="38" t="s">
        <v>279</v>
      </c>
      <c r="BO364" s="38" t="s">
        <v>147</v>
      </c>
      <c r="BP364" s="38" t="s">
        <v>306</v>
      </c>
      <c r="BQ364" s="38" t="str">
        <f t="shared" si="50"/>
        <v>PA</v>
      </c>
      <c r="BR364" s="38" t="str">
        <f t="shared" si="44"/>
        <v>ST</v>
      </c>
      <c r="BS364" s="38" t="str">
        <f t="shared" si="45"/>
        <v>S</v>
      </c>
      <c r="BT364" s="38" t="str">
        <f t="shared" si="46"/>
        <v>N</v>
      </c>
      <c r="BU364" s="38" t="str">
        <f t="shared" si="47"/>
        <v>Y</v>
      </c>
      <c r="BV364" s="38" t="str">
        <f t="shared" si="48"/>
        <v>StackerAlu-Gard Perforated AluminiumSingle LockNoYes</v>
      </c>
      <c r="BW364" s="38" t="str">
        <f t="shared" si="49"/>
        <v>PASTSNY</v>
      </c>
    </row>
    <row r="365" spans="64:75" ht="14.4">
      <c r="BL365" s="38" t="s">
        <v>232</v>
      </c>
      <c r="BM365" s="38" t="s">
        <v>178</v>
      </c>
      <c r="BN365" s="38" t="s">
        <v>275</v>
      </c>
      <c r="BO365" s="38" t="s">
        <v>147</v>
      </c>
      <c r="BP365" s="38" t="s">
        <v>306</v>
      </c>
      <c r="BQ365" s="38" t="str">
        <f t="shared" si="50"/>
        <v>PA</v>
      </c>
      <c r="BR365" s="38" t="str">
        <f t="shared" si="44"/>
        <v>H</v>
      </c>
      <c r="BS365" s="38" t="str">
        <f t="shared" si="45"/>
        <v>T</v>
      </c>
      <c r="BT365" s="38" t="str">
        <f t="shared" si="46"/>
        <v>N</v>
      </c>
      <c r="BU365" s="38" t="str">
        <f t="shared" si="47"/>
        <v>Y</v>
      </c>
      <c r="BV365" s="38" t="str">
        <f t="shared" si="48"/>
        <v>HingedAlu-Gard Perforated AluminiumTriple LockNoYes</v>
      </c>
      <c r="BW365" s="38" t="str">
        <f t="shared" si="49"/>
        <v>PAHTNY</v>
      </c>
    </row>
    <row r="366" spans="64:75" ht="14.4">
      <c r="BL366" s="38" t="s">
        <v>232</v>
      </c>
      <c r="BM366" s="38" t="s">
        <v>179</v>
      </c>
      <c r="BN366" s="38" t="s">
        <v>275</v>
      </c>
      <c r="BO366" s="38" t="s">
        <v>147</v>
      </c>
      <c r="BP366" s="38" t="s">
        <v>306</v>
      </c>
      <c r="BQ366" s="38" t="str">
        <f t="shared" si="50"/>
        <v>PA</v>
      </c>
      <c r="BR366" s="38" t="str">
        <f t="shared" si="44"/>
        <v>S</v>
      </c>
      <c r="BS366" s="38" t="str">
        <f t="shared" si="45"/>
        <v>T</v>
      </c>
      <c r="BT366" s="38" t="str">
        <f t="shared" si="46"/>
        <v>N</v>
      </c>
      <c r="BU366" s="38" t="str">
        <f t="shared" si="47"/>
        <v>Y</v>
      </c>
      <c r="BV366" s="38" t="str">
        <f t="shared" si="48"/>
        <v>SlidingAlu-Gard Perforated AluminiumTriple LockNoYes</v>
      </c>
      <c r="BW366" s="38" t="str">
        <f t="shared" si="49"/>
        <v>PASTNY</v>
      </c>
    </row>
    <row r="367" spans="64:75" ht="14.4">
      <c r="BL367" s="38" t="s">
        <v>232</v>
      </c>
      <c r="BM367" s="38" t="s">
        <v>220</v>
      </c>
      <c r="BN367" s="38" t="s">
        <v>275</v>
      </c>
      <c r="BO367" s="38" t="s">
        <v>147</v>
      </c>
      <c r="BP367" s="38" t="s">
        <v>306</v>
      </c>
      <c r="BQ367" s="38" t="str">
        <f t="shared" si="50"/>
        <v>PA</v>
      </c>
      <c r="BR367" s="38" t="str">
        <f t="shared" si="44"/>
        <v>ST</v>
      </c>
      <c r="BS367" s="38" t="str">
        <f t="shared" si="45"/>
        <v>T</v>
      </c>
      <c r="BT367" s="38" t="str">
        <f t="shared" si="46"/>
        <v>N</v>
      </c>
      <c r="BU367" s="38" t="str">
        <f t="shared" si="47"/>
        <v>Y</v>
      </c>
      <c r="BV367" s="38" t="str">
        <f t="shared" si="48"/>
        <v>StackerAlu-Gard Perforated AluminiumTriple LockNoYes</v>
      </c>
      <c r="BW367" s="38" t="str">
        <f t="shared" si="49"/>
        <v>PASTTNY</v>
      </c>
    </row>
    <row r="368" spans="64:75" ht="14.4">
      <c r="BL368" s="38" t="s">
        <v>232</v>
      </c>
      <c r="BM368" s="38" t="s">
        <v>178</v>
      </c>
      <c r="BN368" s="38" t="s">
        <v>410</v>
      </c>
      <c r="BO368" s="38" t="s">
        <v>147</v>
      </c>
      <c r="BP368" s="38" t="s">
        <v>306</v>
      </c>
      <c r="BQ368" s="38" t="str">
        <f t="shared" si="50"/>
        <v>PA</v>
      </c>
      <c r="BR368" s="38" t="str">
        <f t="shared" si="44"/>
        <v>H</v>
      </c>
      <c r="BS368" s="38" t="str">
        <f t="shared" si="45"/>
        <v>N</v>
      </c>
      <c r="BT368" s="38" t="str">
        <f t="shared" si="46"/>
        <v>N</v>
      </c>
      <c r="BU368" s="38" t="str">
        <f t="shared" si="47"/>
        <v>Y</v>
      </c>
      <c r="BV368" s="38" t="str">
        <f t="shared" si="48"/>
        <v>HingedAlu-Gard Perforated AluminiumNot RequiredNoYes</v>
      </c>
      <c r="BW368" s="38" t="str">
        <f t="shared" si="49"/>
        <v>PAHNNY</v>
      </c>
    </row>
    <row r="369" spans="64:75" ht="14.4">
      <c r="BL369" s="38" t="s">
        <v>232</v>
      </c>
      <c r="BM369" s="38" t="s">
        <v>179</v>
      </c>
      <c r="BN369" s="38" t="s">
        <v>410</v>
      </c>
      <c r="BO369" s="38" t="s">
        <v>147</v>
      </c>
      <c r="BP369" s="38" t="s">
        <v>306</v>
      </c>
      <c r="BQ369" s="38" t="str">
        <f t="shared" si="50"/>
        <v>PA</v>
      </c>
      <c r="BR369" s="38" t="str">
        <f t="shared" si="44"/>
        <v>S</v>
      </c>
      <c r="BS369" s="38" t="str">
        <f t="shared" si="45"/>
        <v>N</v>
      </c>
      <c r="BT369" s="38" t="str">
        <f t="shared" si="46"/>
        <v>N</v>
      </c>
      <c r="BU369" s="38" t="str">
        <f t="shared" si="47"/>
        <v>Y</v>
      </c>
      <c r="BV369" s="38" t="str">
        <f t="shared" si="48"/>
        <v>SlidingAlu-Gard Perforated AluminiumNot RequiredNoYes</v>
      </c>
      <c r="BW369" s="38" t="str">
        <f t="shared" si="49"/>
        <v>PASNNY</v>
      </c>
    </row>
    <row r="370" spans="64:75" ht="14.4">
      <c r="BL370" s="38" t="s">
        <v>232</v>
      </c>
      <c r="BM370" s="38" t="s">
        <v>220</v>
      </c>
      <c r="BN370" s="38" t="s">
        <v>410</v>
      </c>
      <c r="BO370" s="38" t="s">
        <v>147</v>
      </c>
      <c r="BP370" s="38" t="s">
        <v>306</v>
      </c>
      <c r="BQ370" s="38" t="str">
        <f t="shared" si="50"/>
        <v>PA</v>
      </c>
      <c r="BR370" s="38" t="str">
        <f t="shared" si="44"/>
        <v>ST</v>
      </c>
      <c r="BS370" s="38" t="str">
        <f t="shared" si="45"/>
        <v>N</v>
      </c>
      <c r="BT370" s="38" t="str">
        <f t="shared" si="46"/>
        <v>N</v>
      </c>
      <c r="BU370" s="38" t="str">
        <f t="shared" si="47"/>
        <v>Y</v>
      </c>
      <c r="BV370" s="38" t="str">
        <f t="shared" si="48"/>
        <v>StackerAlu-Gard Perforated AluminiumNot RequiredNoYes</v>
      </c>
      <c r="BW370" s="38" t="str">
        <f t="shared" si="49"/>
        <v>PASTNNY</v>
      </c>
    </row>
    <row r="371" spans="64:75" ht="14.4">
      <c r="BL371" s="38" t="s">
        <v>232</v>
      </c>
      <c r="BM371" s="38" t="s">
        <v>178</v>
      </c>
      <c r="BN371" s="38" t="s">
        <v>383</v>
      </c>
      <c r="BO371" s="38" t="s">
        <v>147</v>
      </c>
      <c r="BP371" s="38" t="s">
        <v>306</v>
      </c>
      <c r="BQ371" s="38" t="str">
        <f t="shared" si="50"/>
        <v>PA</v>
      </c>
      <c r="BR371" s="38" t="str">
        <f t="shared" si="44"/>
        <v>H</v>
      </c>
      <c r="BS371" s="38" t="str">
        <f t="shared" si="45"/>
        <v>D</v>
      </c>
      <c r="BT371" s="38" t="str">
        <f t="shared" si="46"/>
        <v>N</v>
      </c>
      <c r="BU371" s="38" t="str">
        <f t="shared" si="47"/>
        <v>Y</v>
      </c>
      <c r="BV371" s="38" t="str">
        <f t="shared" si="48"/>
        <v>HingedAlu-Gard Perforated AluminiumUltra Secua Digital Triple LockNoYes</v>
      </c>
      <c r="BW371" s="38" t="str">
        <f t="shared" si="49"/>
        <v>PAHDNY</v>
      </c>
    </row>
    <row r="372" spans="64:75" ht="14.4">
      <c r="BL372" s="38" t="s">
        <v>232</v>
      </c>
      <c r="BM372" s="38" t="s">
        <v>179</v>
      </c>
      <c r="BN372" s="38" t="s">
        <v>383</v>
      </c>
      <c r="BO372" s="38" t="s">
        <v>147</v>
      </c>
      <c r="BP372" s="38" t="s">
        <v>306</v>
      </c>
      <c r="BQ372" s="38" t="str">
        <f t="shared" si="50"/>
        <v>PA</v>
      </c>
      <c r="BR372" s="38" t="str">
        <f t="shared" si="44"/>
        <v>S</v>
      </c>
      <c r="BS372" s="38" t="str">
        <f t="shared" si="45"/>
        <v>D</v>
      </c>
      <c r="BT372" s="38" t="str">
        <f t="shared" si="46"/>
        <v>N</v>
      </c>
      <c r="BU372" s="38" t="str">
        <f t="shared" si="47"/>
        <v>Y</v>
      </c>
      <c r="BV372" s="38" t="str">
        <f t="shared" si="48"/>
        <v>SlidingAlu-Gard Perforated AluminiumUltra Secua Digital Triple LockNoYes</v>
      </c>
      <c r="BW372" s="38" t="str">
        <f t="shared" si="49"/>
        <v>PASDNY</v>
      </c>
    </row>
    <row r="373" spans="64:75" ht="14.4">
      <c r="BL373" s="38" t="s">
        <v>232</v>
      </c>
      <c r="BM373" s="38" t="s">
        <v>220</v>
      </c>
      <c r="BN373" s="38" t="s">
        <v>383</v>
      </c>
      <c r="BO373" s="38" t="s">
        <v>147</v>
      </c>
      <c r="BP373" s="38" t="s">
        <v>306</v>
      </c>
      <c r="BQ373" s="38" t="str">
        <f t="shared" si="50"/>
        <v>PA</v>
      </c>
      <c r="BR373" s="38" t="str">
        <f t="shared" si="44"/>
        <v>ST</v>
      </c>
      <c r="BS373" s="38" t="str">
        <f t="shared" si="45"/>
        <v>D</v>
      </c>
      <c r="BT373" s="38" t="str">
        <f t="shared" si="46"/>
        <v>N</v>
      </c>
      <c r="BU373" s="38" t="str">
        <f t="shared" si="47"/>
        <v>Y</v>
      </c>
      <c r="BV373" s="38" t="str">
        <f t="shared" si="48"/>
        <v>StackerAlu-Gard Perforated AluminiumUltra Secua Digital Triple LockNoYes</v>
      </c>
      <c r="BW373" s="38" t="str">
        <f t="shared" si="49"/>
        <v>PASTDNY</v>
      </c>
    </row>
    <row r="374" spans="64:75" ht="14.4">
      <c r="BL374" s="38" t="s">
        <v>232</v>
      </c>
      <c r="BM374" s="38" t="s">
        <v>178</v>
      </c>
      <c r="BN374" s="38" t="s">
        <v>284</v>
      </c>
      <c r="BO374" s="38" t="s">
        <v>147</v>
      </c>
      <c r="BP374" s="38" t="s">
        <v>306</v>
      </c>
      <c r="BQ374" s="38" t="str">
        <f t="shared" si="50"/>
        <v>PA</v>
      </c>
      <c r="BR374" s="38" t="str">
        <f t="shared" si="44"/>
        <v>H</v>
      </c>
      <c r="BS374" s="38" t="str">
        <f t="shared" si="45"/>
        <v>B</v>
      </c>
      <c r="BT374" s="38" t="str">
        <f t="shared" si="46"/>
        <v>N</v>
      </c>
      <c r="BU374" s="38" t="str">
        <f t="shared" si="47"/>
        <v>Y</v>
      </c>
      <c r="BV374" s="38" t="str">
        <f t="shared" si="48"/>
        <v>HingedAlu-Gard Perforated AluminiumBass LatchNoYes</v>
      </c>
      <c r="BW374" s="38" t="str">
        <f t="shared" si="49"/>
        <v>PAHBNY</v>
      </c>
    </row>
    <row r="375" spans="64:75" ht="14.4">
      <c r="BL375" s="38" t="s">
        <v>232</v>
      </c>
      <c r="BM375" s="38" t="s">
        <v>179</v>
      </c>
      <c r="BN375" s="38" t="s">
        <v>284</v>
      </c>
      <c r="BO375" s="38" t="s">
        <v>147</v>
      </c>
      <c r="BP375" s="38" t="s">
        <v>306</v>
      </c>
      <c r="BQ375" s="38" t="str">
        <f t="shared" si="50"/>
        <v>PA</v>
      </c>
      <c r="BR375" s="38" t="str">
        <f t="shared" si="44"/>
        <v>S</v>
      </c>
      <c r="BS375" s="38" t="str">
        <f t="shared" si="45"/>
        <v>B</v>
      </c>
      <c r="BT375" s="38" t="str">
        <f t="shared" si="46"/>
        <v>N</v>
      </c>
      <c r="BU375" s="38" t="str">
        <f t="shared" si="47"/>
        <v>Y</v>
      </c>
      <c r="BV375" s="38" t="str">
        <f t="shared" si="48"/>
        <v>SlidingAlu-Gard Perforated AluminiumBass LatchNoYes</v>
      </c>
      <c r="BW375" s="38" t="str">
        <f t="shared" si="49"/>
        <v>PASBNY</v>
      </c>
    </row>
    <row r="376" spans="64:75" ht="14.4">
      <c r="BL376" s="38" t="s">
        <v>232</v>
      </c>
      <c r="BM376" s="38" t="s">
        <v>220</v>
      </c>
      <c r="BN376" s="38" t="s">
        <v>284</v>
      </c>
      <c r="BO376" s="38" t="s">
        <v>147</v>
      </c>
      <c r="BP376" s="38" t="s">
        <v>306</v>
      </c>
      <c r="BQ376" s="38" t="str">
        <f t="shared" si="50"/>
        <v>PA</v>
      </c>
      <c r="BR376" s="38" t="str">
        <f t="shared" si="44"/>
        <v>ST</v>
      </c>
      <c r="BS376" s="38" t="str">
        <f t="shared" si="45"/>
        <v>B</v>
      </c>
      <c r="BT376" s="38" t="str">
        <f t="shared" si="46"/>
        <v>N</v>
      </c>
      <c r="BU376" s="38" t="str">
        <f t="shared" si="47"/>
        <v>Y</v>
      </c>
      <c r="BV376" s="38" t="str">
        <f t="shared" si="48"/>
        <v>StackerAlu-Gard Perforated AluminiumBass LatchNoYes</v>
      </c>
      <c r="BW376" s="38" t="str">
        <f t="shared" si="49"/>
        <v>PASTBNY</v>
      </c>
    </row>
    <row r="377" spans="64:75" ht="14.4">
      <c r="BL377" s="38" t="s">
        <v>232</v>
      </c>
      <c r="BM377" s="38" t="s">
        <v>178</v>
      </c>
      <c r="BN377" s="38" t="s">
        <v>279</v>
      </c>
      <c r="BO377" s="38" t="s">
        <v>411</v>
      </c>
      <c r="BP377" s="38" t="s">
        <v>306</v>
      </c>
      <c r="BQ377" s="38" t="str">
        <f t="shared" si="50"/>
        <v>PA</v>
      </c>
      <c r="BR377" s="38" t="str">
        <f t="shared" si="44"/>
        <v>H</v>
      </c>
      <c r="BS377" s="38" t="str">
        <f t="shared" si="45"/>
        <v>S</v>
      </c>
      <c r="BT377" s="38" t="str">
        <f t="shared" si="46"/>
        <v>Y</v>
      </c>
      <c r="BU377" s="38" t="str">
        <f t="shared" si="47"/>
        <v>Y</v>
      </c>
      <c r="BV377" s="38" t="str">
        <f t="shared" si="48"/>
        <v>HingedAlu-Gard Perforated AluminiumSingle LockYes - CentreYes</v>
      </c>
      <c r="BW377" s="38" t="str">
        <f t="shared" si="49"/>
        <v>PAHSYY</v>
      </c>
    </row>
    <row r="378" spans="64:75" ht="14.4">
      <c r="BL378" s="38" t="s">
        <v>232</v>
      </c>
      <c r="BM378" s="38" t="s">
        <v>179</v>
      </c>
      <c r="BN378" s="38" t="s">
        <v>279</v>
      </c>
      <c r="BO378" s="38" t="s">
        <v>411</v>
      </c>
      <c r="BP378" s="38" t="s">
        <v>306</v>
      </c>
      <c r="BQ378" s="38" t="str">
        <f t="shared" si="50"/>
        <v>PA</v>
      </c>
      <c r="BR378" s="38" t="str">
        <f t="shared" si="44"/>
        <v>S</v>
      </c>
      <c r="BS378" s="38" t="str">
        <f t="shared" si="45"/>
        <v>S</v>
      </c>
      <c r="BT378" s="38" t="str">
        <f t="shared" si="46"/>
        <v>Y</v>
      </c>
      <c r="BU378" s="38" t="str">
        <f t="shared" si="47"/>
        <v>Y</v>
      </c>
      <c r="BV378" s="38" t="str">
        <f t="shared" si="48"/>
        <v>SlidingAlu-Gard Perforated AluminiumSingle LockYes - CentreYes</v>
      </c>
      <c r="BW378" s="38" t="str">
        <f t="shared" si="49"/>
        <v>PASSYY</v>
      </c>
    </row>
    <row r="379" spans="64:75" ht="14.4">
      <c r="BL379" s="38" t="s">
        <v>232</v>
      </c>
      <c r="BM379" s="38" t="s">
        <v>220</v>
      </c>
      <c r="BN379" s="38" t="s">
        <v>279</v>
      </c>
      <c r="BO379" s="38" t="s">
        <v>411</v>
      </c>
      <c r="BP379" s="38" t="s">
        <v>306</v>
      </c>
      <c r="BQ379" s="38" t="str">
        <f t="shared" si="50"/>
        <v>PA</v>
      </c>
      <c r="BR379" s="38" t="str">
        <f t="shared" si="44"/>
        <v>ST</v>
      </c>
      <c r="BS379" s="38" t="str">
        <f t="shared" si="45"/>
        <v>S</v>
      </c>
      <c r="BT379" s="38" t="str">
        <f t="shared" si="46"/>
        <v>Y</v>
      </c>
      <c r="BU379" s="38" t="str">
        <f t="shared" si="47"/>
        <v>Y</v>
      </c>
      <c r="BV379" s="38" t="str">
        <f t="shared" si="48"/>
        <v>StackerAlu-Gard Perforated AluminiumSingle LockYes - CentreYes</v>
      </c>
      <c r="BW379" s="38" t="str">
        <f t="shared" si="49"/>
        <v>PASTSYY</v>
      </c>
    </row>
    <row r="380" spans="64:75" ht="14.4">
      <c r="BL380" s="38" t="s">
        <v>232</v>
      </c>
      <c r="BM380" s="38" t="s">
        <v>178</v>
      </c>
      <c r="BN380" s="38" t="s">
        <v>275</v>
      </c>
      <c r="BO380" s="38" t="s">
        <v>411</v>
      </c>
      <c r="BP380" s="38" t="s">
        <v>306</v>
      </c>
      <c r="BQ380" s="38" t="str">
        <f t="shared" si="50"/>
        <v>PA</v>
      </c>
      <c r="BR380" s="38" t="str">
        <f t="shared" si="44"/>
        <v>H</v>
      </c>
      <c r="BS380" s="38" t="str">
        <f t="shared" si="45"/>
        <v>T</v>
      </c>
      <c r="BT380" s="38" t="str">
        <f t="shared" si="46"/>
        <v>Y</v>
      </c>
      <c r="BU380" s="38" t="str">
        <f t="shared" si="47"/>
        <v>Y</v>
      </c>
      <c r="BV380" s="38" t="str">
        <f t="shared" si="48"/>
        <v>HingedAlu-Gard Perforated AluminiumTriple LockYes - CentreYes</v>
      </c>
      <c r="BW380" s="38" t="str">
        <f t="shared" si="49"/>
        <v>PAHTYY</v>
      </c>
    </row>
    <row r="381" spans="64:75" ht="14.4">
      <c r="BL381" s="38" t="s">
        <v>232</v>
      </c>
      <c r="BM381" s="38" t="s">
        <v>179</v>
      </c>
      <c r="BN381" s="38" t="s">
        <v>275</v>
      </c>
      <c r="BO381" s="38" t="s">
        <v>411</v>
      </c>
      <c r="BP381" s="38" t="s">
        <v>306</v>
      </c>
      <c r="BQ381" s="38" t="str">
        <f t="shared" si="50"/>
        <v>PA</v>
      </c>
      <c r="BR381" s="38" t="str">
        <f t="shared" si="44"/>
        <v>S</v>
      </c>
      <c r="BS381" s="38" t="str">
        <f t="shared" si="45"/>
        <v>T</v>
      </c>
      <c r="BT381" s="38" t="str">
        <f t="shared" si="46"/>
        <v>Y</v>
      </c>
      <c r="BU381" s="38" t="str">
        <f t="shared" si="47"/>
        <v>Y</v>
      </c>
      <c r="BV381" s="38" t="str">
        <f t="shared" si="48"/>
        <v>SlidingAlu-Gard Perforated AluminiumTriple LockYes - CentreYes</v>
      </c>
      <c r="BW381" s="38" t="str">
        <f t="shared" si="49"/>
        <v>PASTYY</v>
      </c>
    </row>
    <row r="382" spans="64:75" ht="14.4">
      <c r="BL382" s="38" t="s">
        <v>232</v>
      </c>
      <c r="BM382" s="38" t="s">
        <v>220</v>
      </c>
      <c r="BN382" s="38" t="s">
        <v>275</v>
      </c>
      <c r="BO382" s="38" t="s">
        <v>411</v>
      </c>
      <c r="BP382" s="38" t="s">
        <v>306</v>
      </c>
      <c r="BQ382" s="38" t="str">
        <f t="shared" si="50"/>
        <v>PA</v>
      </c>
      <c r="BR382" s="38" t="str">
        <f t="shared" si="44"/>
        <v>ST</v>
      </c>
      <c r="BS382" s="38" t="str">
        <f t="shared" si="45"/>
        <v>T</v>
      </c>
      <c r="BT382" s="38" t="str">
        <f t="shared" si="46"/>
        <v>Y</v>
      </c>
      <c r="BU382" s="38" t="str">
        <f t="shared" si="47"/>
        <v>Y</v>
      </c>
      <c r="BV382" s="38" t="str">
        <f t="shared" si="48"/>
        <v>StackerAlu-Gard Perforated AluminiumTriple LockYes - CentreYes</v>
      </c>
      <c r="BW382" s="38" t="str">
        <f t="shared" si="49"/>
        <v>PASTTYY</v>
      </c>
    </row>
    <row r="383" spans="64:75" ht="14.4">
      <c r="BL383" s="38" t="s">
        <v>232</v>
      </c>
      <c r="BM383" s="38" t="s">
        <v>178</v>
      </c>
      <c r="BN383" s="38" t="s">
        <v>410</v>
      </c>
      <c r="BO383" s="38" t="s">
        <v>411</v>
      </c>
      <c r="BP383" s="38" t="s">
        <v>306</v>
      </c>
      <c r="BQ383" s="38" t="str">
        <f t="shared" si="50"/>
        <v>PA</v>
      </c>
      <c r="BR383" s="38" t="str">
        <f t="shared" si="44"/>
        <v>H</v>
      </c>
      <c r="BS383" s="38" t="str">
        <f t="shared" si="45"/>
        <v>N</v>
      </c>
      <c r="BT383" s="38" t="str">
        <f t="shared" si="46"/>
        <v>Y</v>
      </c>
      <c r="BU383" s="38" t="str">
        <f t="shared" si="47"/>
        <v>Y</v>
      </c>
      <c r="BV383" s="38" t="str">
        <f t="shared" si="48"/>
        <v>HingedAlu-Gard Perforated AluminiumNot RequiredYes - CentreYes</v>
      </c>
      <c r="BW383" s="38" t="str">
        <f t="shared" si="49"/>
        <v>PAHNYY</v>
      </c>
    </row>
    <row r="384" spans="64:75" ht="14.4">
      <c r="BL384" s="38" t="s">
        <v>232</v>
      </c>
      <c r="BM384" s="38" t="s">
        <v>179</v>
      </c>
      <c r="BN384" s="38" t="s">
        <v>410</v>
      </c>
      <c r="BO384" s="38" t="s">
        <v>411</v>
      </c>
      <c r="BP384" s="38" t="s">
        <v>306</v>
      </c>
      <c r="BQ384" s="38" t="str">
        <f t="shared" si="50"/>
        <v>PA</v>
      </c>
      <c r="BR384" s="38" t="str">
        <f t="shared" si="44"/>
        <v>S</v>
      </c>
      <c r="BS384" s="38" t="str">
        <f t="shared" si="45"/>
        <v>N</v>
      </c>
      <c r="BT384" s="38" t="str">
        <f t="shared" si="46"/>
        <v>Y</v>
      </c>
      <c r="BU384" s="38" t="str">
        <f t="shared" si="47"/>
        <v>Y</v>
      </c>
      <c r="BV384" s="38" t="str">
        <f t="shared" si="48"/>
        <v>SlidingAlu-Gard Perforated AluminiumNot RequiredYes - CentreYes</v>
      </c>
      <c r="BW384" s="38" t="str">
        <f t="shared" si="49"/>
        <v>PASNYY</v>
      </c>
    </row>
    <row r="385" spans="64:75" ht="14.4">
      <c r="BL385" s="38" t="s">
        <v>232</v>
      </c>
      <c r="BM385" s="38" t="s">
        <v>220</v>
      </c>
      <c r="BN385" s="38" t="s">
        <v>410</v>
      </c>
      <c r="BO385" s="38" t="s">
        <v>411</v>
      </c>
      <c r="BP385" s="38" t="s">
        <v>306</v>
      </c>
      <c r="BQ385" s="38" t="str">
        <f t="shared" si="50"/>
        <v>PA</v>
      </c>
      <c r="BR385" s="38" t="str">
        <f t="shared" si="44"/>
        <v>ST</v>
      </c>
      <c r="BS385" s="38" t="str">
        <f t="shared" si="45"/>
        <v>N</v>
      </c>
      <c r="BT385" s="38" t="str">
        <f t="shared" si="46"/>
        <v>Y</v>
      </c>
      <c r="BU385" s="38" t="str">
        <f t="shared" si="47"/>
        <v>Y</v>
      </c>
      <c r="BV385" s="38" t="str">
        <f t="shared" si="48"/>
        <v>StackerAlu-Gard Perforated AluminiumNot RequiredYes - CentreYes</v>
      </c>
      <c r="BW385" s="38" t="str">
        <f t="shared" si="49"/>
        <v>PASTNYY</v>
      </c>
    </row>
    <row r="386" spans="64:75" ht="14.4">
      <c r="BL386" s="38" t="s">
        <v>232</v>
      </c>
      <c r="BM386" s="38" t="s">
        <v>178</v>
      </c>
      <c r="BN386" s="38" t="s">
        <v>383</v>
      </c>
      <c r="BO386" s="38" t="s">
        <v>411</v>
      </c>
      <c r="BP386" s="38" t="s">
        <v>306</v>
      </c>
      <c r="BQ386" s="38" t="str">
        <f t="shared" si="50"/>
        <v>PA</v>
      </c>
      <c r="BR386" s="38" t="str">
        <f t="shared" si="51" ref="BR386:BR449">IF(BM386="Hinged","H",IF(BM386="Sliding","S",IF(BM386="Stacker","ST")))</f>
        <v>H</v>
      </c>
      <c r="BS386" s="38" t="str">
        <f t="shared" si="52" ref="BS386:BS449">IF(BN386="Single Lock","S",IF(BN386="Triple Lock","T",IF(BN386="Not Required","N",IF(BN386="Ultra Secua Digital Triple Lock","D",IF(BN386="Bass Latch","B")))))</f>
        <v>D</v>
      </c>
      <c r="BT386" s="38" t="str">
        <f t="shared" si="53" ref="BT386:BT449">IF(BO386="No","N",IF(BO386="Yes","Y",IF(BO386="Not Required","N",IF(BO386="Yes - Centre","Y"))))</f>
        <v>Y</v>
      </c>
      <c r="BU386" s="38" t="str">
        <f t="shared" si="54" ref="BU386:BU449">IF(BP386="","N",IF(BP386="Yes","Y"))</f>
        <v>Y</v>
      </c>
      <c r="BV386" s="38" t="str">
        <f t="shared" si="55" ref="BV386:BV449">CONCATENATE(BM386,BL386,BN386,BO386,BP386,)</f>
        <v>HingedAlu-Gard Perforated AluminiumUltra Secua Digital Triple LockYes - CentreYes</v>
      </c>
      <c r="BW386" s="38" t="str">
        <f t="shared" si="56" ref="BW386:BW449">CONCATENATE(BQ386,BR386,BS386,BT386,BU386)</f>
        <v>PAHDYY</v>
      </c>
    </row>
    <row r="387" spans="64:75" ht="14.4">
      <c r="BL387" s="38" t="s">
        <v>232</v>
      </c>
      <c r="BM387" s="38" t="s">
        <v>179</v>
      </c>
      <c r="BN387" s="38" t="s">
        <v>383</v>
      </c>
      <c r="BO387" s="38" t="s">
        <v>411</v>
      </c>
      <c r="BP387" s="38" t="s">
        <v>306</v>
      </c>
      <c r="BQ387" s="38" t="str">
        <f t="shared" si="57" ref="BQ387:BQ450">IF(BL387="Standard Diamond","SD",IF(BL387="Decorative Diamond","DD",IF(BL387="Privacy-Gard","PG",IF(BL387="Flyscreen","FW",IF(BL387="Woven Stainless Steel","SS",IF(BL387="Alu-Gard Perforated Aluminium","PA",IF(BL387="Invisi-Gard Woven Stainless Steel","IG")))))))</f>
        <v>PA</v>
      </c>
      <c r="BR387" s="38" t="str">
        <f t="shared" si="51"/>
        <v>S</v>
      </c>
      <c r="BS387" s="38" t="str">
        <f t="shared" si="52"/>
        <v>D</v>
      </c>
      <c r="BT387" s="38" t="str">
        <f t="shared" si="53"/>
        <v>Y</v>
      </c>
      <c r="BU387" s="38" t="str">
        <f t="shared" si="54"/>
        <v>Y</v>
      </c>
      <c r="BV387" s="38" t="str">
        <f t="shared" si="55"/>
        <v>SlidingAlu-Gard Perforated AluminiumUltra Secua Digital Triple LockYes - CentreYes</v>
      </c>
      <c r="BW387" s="38" t="str">
        <f t="shared" si="56"/>
        <v>PASDYY</v>
      </c>
    </row>
    <row r="388" spans="64:75" ht="14.4">
      <c r="BL388" s="38" t="s">
        <v>232</v>
      </c>
      <c r="BM388" s="38" t="s">
        <v>220</v>
      </c>
      <c r="BN388" s="38" t="s">
        <v>383</v>
      </c>
      <c r="BO388" s="38" t="s">
        <v>411</v>
      </c>
      <c r="BP388" s="38" t="s">
        <v>306</v>
      </c>
      <c r="BQ388" s="38" t="str">
        <f t="shared" si="57"/>
        <v>PA</v>
      </c>
      <c r="BR388" s="38" t="str">
        <f t="shared" si="51"/>
        <v>ST</v>
      </c>
      <c r="BS388" s="38" t="str">
        <f t="shared" si="52"/>
        <v>D</v>
      </c>
      <c r="BT388" s="38" t="str">
        <f t="shared" si="53"/>
        <v>Y</v>
      </c>
      <c r="BU388" s="38" t="str">
        <f t="shared" si="54"/>
        <v>Y</v>
      </c>
      <c r="BV388" s="38" t="str">
        <f t="shared" si="55"/>
        <v>StackerAlu-Gard Perforated AluminiumUltra Secua Digital Triple LockYes - CentreYes</v>
      </c>
      <c r="BW388" s="38" t="str">
        <f t="shared" si="56"/>
        <v>PASTDYY</v>
      </c>
    </row>
    <row r="389" spans="64:75" ht="14.4">
      <c r="BL389" s="38" t="s">
        <v>232</v>
      </c>
      <c r="BM389" s="38" t="s">
        <v>178</v>
      </c>
      <c r="BN389" s="38" t="s">
        <v>284</v>
      </c>
      <c r="BO389" s="38" t="s">
        <v>411</v>
      </c>
      <c r="BP389" s="38" t="s">
        <v>306</v>
      </c>
      <c r="BQ389" s="38" t="str">
        <f t="shared" si="57"/>
        <v>PA</v>
      </c>
      <c r="BR389" s="38" t="str">
        <f t="shared" si="51"/>
        <v>H</v>
      </c>
      <c r="BS389" s="38" t="str">
        <f t="shared" si="52"/>
        <v>B</v>
      </c>
      <c r="BT389" s="38" t="str">
        <f t="shared" si="53"/>
        <v>Y</v>
      </c>
      <c r="BU389" s="38" t="str">
        <f t="shared" si="54"/>
        <v>Y</v>
      </c>
      <c r="BV389" s="38" t="str">
        <f t="shared" si="55"/>
        <v>HingedAlu-Gard Perforated AluminiumBass LatchYes - CentreYes</v>
      </c>
      <c r="BW389" s="38" t="str">
        <f t="shared" si="56"/>
        <v>PAHBYY</v>
      </c>
    </row>
    <row r="390" spans="64:75" ht="14.4">
      <c r="BL390" s="38" t="s">
        <v>232</v>
      </c>
      <c r="BM390" s="38" t="s">
        <v>179</v>
      </c>
      <c r="BN390" s="38" t="s">
        <v>284</v>
      </c>
      <c r="BO390" s="38" t="s">
        <v>411</v>
      </c>
      <c r="BP390" s="38" t="s">
        <v>306</v>
      </c>
      <c r="BQ390" s="38" t="str">
        <f t="shared" si="57"/>
        <v>PA</v>
      </c>
      <c r="BR390" s="38" t="str">
        <f t="shared" si="51"/>
        <v>S</v>
      </c>
      <c r="BS390" s="38" t="str">
        <f t="shared" si="52"/>
        <v>B</v>
      </c>
      <c r="BT390" s="38" t="str">
        <f t="shared" si="53"/>
        <v>Y</v>
      </c>
      <c r="BU390" s="38" t="str">
        <f t="shared" si="54"/>
        <v>Y</v>
      </c>
      <c r="BV390" s="38" t="str">
        <f t="shared" si="55"/>
        <v>SlidingAlu-Gard Perforated AluminiumBass LatchYes - CentreYes</v>
      </c>
      <c r="BW390" s="38" t="str">
        <f t="shared" si="56"/>
        <v>PASBYY</v>
      </c>
    </row>
    <row r="391" spans="64:75" ht="14.4">
      <c r="BL391" s="38" t="s">
        <v>232</v>
      </c>
      <c r="BM391" s="38" t="s">
        <v>220</v>
      </c>
      <c r="BN391" s="38" t="s">
        <v>284</v>
      </c>
      <c r="BO391" s="38" t="s">
        <v>411</v>
      </c>
      <c r="BP391" s="38" t="s">
        <v>306</v>
      </c>
      <c r="BQ391" s="38" t="str">
        <f t="shared" si="57"/>
        <v>PA</v>
      </c>
      <c r="BR391" s="38" t="str">
        <f t="shared" si="51"/>
        <v>ST</v>
      </c>
      <c r="BS391" s="38" t="str">
        <f t="shared" si="52"/>
        <v>B</v>
      </c>
      <c r="BT391" s="38" t="str">
        <f t="shared" si="53"/>
        <v>Y</v>
      </c>
      <c r="BU391" s="38" t="str">
        <f t="shared" si="54"/>
        <v>Y</v>
      </c>
      <c r="BV391" s="38" t="str">
        <f t="shared" si="55"/>
        <v>StackerAlu-Gard Perforated AluminiumBass LatchYes - CentreYes</v>
      </c>
      <c r="BW391" s="38" t="str">
        <f t="shared" si="56"/>
        <v>PASTBYY</v>
      </c>
    </row>
    <row r="392" spans="64:75" ht="14.4">
      <c r="BL392" s="38" t="s">
        <v>232</v>
      </c>
      <c r="BM392" s="38" t="s">
        <v>178</v>
      </c>
      <c r="BN392" s="38" t="s">
        <v>279</v>
      </c>
      <c r="BO392" s="38" t="s">
        <v>306</v>
      </c>
      <c r="BP392" s="38" t="s">
        <v>306</v>
      </c>
      <c r="BQ392" s="38" t="str">
        <f t="shared" si="57"/>
        <v>PA</v>
      </c>
      <c r="BR392" s="38" t="str">
        <f t="shared" si="51"/>
        <v>H</v>
      </c>
      <c r="BS392" s="38" t="str">
        <f t="shared" si="52"/>
        <v>S</v>
      </c>
      <c r="BT392" s="38" t="str">
        <f t="shared" si="53"/>
        <v>Y</v>
      </c>
      <c r="BU392" s="38" t="str">
        <f t="shared" si="54"/>
        <v>Y</v>
      </c>
      <c r="BV392" s="38" t="str">
        <f t="shared" si="55"/>
        <v>HingedAlu-Gard Perforated AluminiumSingle LockYesYes</v>
      </c>
      <c r="BW392" s="38" t="str">
        <f t="shared" si="56"/>
        <v>PAHSYY</v>
      </c>
    </row>
    <row r="393" spans="64:75" ht="14.4">
      <c r="BL393" s="38" t="s">
        <v>232</v>
      </c>
      <c r="BM393" s="38" t="s">
        <v>179</v>
      </c>
      <c r="BN393" s="38" t="s">
        <v>279</v>
      </c>
      <c r="BO393" s="38" t="s">
        <v>306</v>
      </c>
      <c r="BP393" s="38" t="s">
        <v>306</v>
      </c>
      <c r="BQ393" s="38" t="str">
        <f t="shared" si="57"/>
        <v>PA</v>
      </c>
      <c r="BR393" s="38" t="str">
        <f t="shared" si="51"/>
        <v>S</v>
      </c>
      <c r="BS393" s="38" t="str">
        <f t="shared" si="52"/>
        <v>S</v>
      </c>
      <c r="BT393" s="38" t="str">
        <f t="shared" si="53"/>
        <v>Y</v>
      </c>
      <c r="BU393" s="38" t="str">
        <f t="shared" si="54"/>
        <v>Y</v>
      </c>
      <c r="BV393" s="38" t="str">
        <f t="shared" si="55"/>
        <v>SlidingAlu-Gard Perforated AluminiumSingle LockYesYes</v>
      </c>
      <c r="BW393" s="38" t="str">
        <f t="shared" si="56"/>
        <v>PASSYY</v>
      </c>
    </row>
    <row r="394" spans="64:75" ht="14.4">
      <c r="BL394" s="38" t="s">
        <v>232</v>
      </c>
      <c r="BM394" s="38" t="s">
        <v>220</v>
      </c>
      <c r="BN394" s="38" t="s">
        <v>279</v>
      </c>
      <c r="BO394" s="38" t="s">
        <v>306</v>
      </c>
      <c r="BP394" s="38" t="s">
        <v>306</v>
      </c>
      <c r="BQ394" s="38" t="str">
        <f t="shared" si="57"/>
        <v>PA</v>
      </c>
      <c r="BR394" s="38" t="str">
        <f t="shared" si="51"/>
        <v>ST</v>
      </c>
      <c r="BS394" s="38" t="str">
        <f t="shared" si="52"/>
        <v>S</v>
      </c>
      <c r="BT394" s="38" t="str">
        <f t="shared" si="53"/>
        <v>Y</v>
      </c>
      <c r="BU394" s="38" t="str">
        <f t="shared" si="54"/>
        <v>Y</v>
      </c>
      <c r="BV394" s="38" t="str">
        <f t="shared" si="55"/>
        <v>StackerAlu-Gard Perforated AluminiumSingle LockYesYes</v>
      </c>
      <c r="BW394" s="38" t="str">
        <f t="shared" si="56"/>
        <v>PASTSYY</v>
      </c>
    </row>
    <row r="395" spans="64:75" ht="14.4">
      <c r="BL395" s="38" t="s">
        <v>232</v>
      </c>
      <c r="BM395" s="38" t="s">
        <v>178</v>
      </c>
      <c r="BN395" s="38" t="s">
        <v>275</v>
      </c>
      <c r="BO395" s="38" t="s">
        <v>306</v>
      </c>
      <c r="BP395" s="38" t="s">
        <v>306</v>
      </c>
      <c r="BQ395" s="38" t="str">
        <f t="shared" si="57"/>
        <v>PA</v>
      </c>
      <c r="BR395" s="38" t="str">
        <f t="shared" si="51"/>
        <v>H</v>
      </c>
      <c r="BS395" s="38" t="str">
        <f t="shared" si="52"/>
        <v>T</v>
      </c>
      <c r="BT395" s="38" t="str">
        <f t="shared" si="53"/>
        <v>Y</v>
      </c>
      <c r="BU395" s="38" t="str">
        <f t="shared" si="54"/>
        <v>Y</v>
      </c>
      <c r="BV395" s="38" t="str">
        <f t="shared" si="55"/>
        <v>HingedAlu-Gard Perforated AluminiumTriple LockYesYes</v>
      </c>
      <c r="BW395" s="38" t="str">
        <f t="shared" si="56"/>
        <v>PAHTYY</v>
      </c>
    </row>
    <row r="396" spans="64:75" ht="14.4">
      <c r="BL396" s="38" t="s">
        <v>232</v>
      </c>
      <c r="BM396" s="38" t="s">
        <v>179</v>
      </c>
      <c r="BN396" s="38" t="s">
        <v>275</v>
      </c>
      <c r="BO396" s="38" t="s">
        <v>306</v>
      </c>
      <c r="BP396" s="38" t="s">
        <v>306</v>
      </c>
      <c r="BQ396" s="38" t="str">
        <f t="shared" si="57"/>
        <v>PA</v>
      </c>
      <c r="BR396" s="38" t="str">
        <f t="shared" si="51"/>
        <v>S</v>
      </c>
      <c r="BS396" s="38" t="str">
        <f t="shared" si="52"/>
        <v>T</v>
      </c>
      <c r="BT396" s="38" t="str">
        <f t="shared" si="53"/>
        <v>Y</v>
      </c>
      <c r="BU396" s="38" t="str">
        <f t="shared" si="54"/>
        <v>Y</v>
      </c>
      <c r="BV396" s="38" t="str">
        <f t="shared" si="55"/>
        <v>SlidingAlu-Gard Perforated AluminiumTriple LockYesYes</v>
      </c>
      <c r="BW396" s="38" t="str">
        <f t="shared" si="56"/>
        <v>PASTYY</v>
      </c>
    </row>
    <row r="397" spans="64:75" ht="14.4">
      <c r="BL397" s="38" t="s">
        <v>232</v>
      </c>
      <c r="BM397" s="38" t="s">
        <v>220</v>
      </c>
      <c r="BN397" s="38" t="s">
        <v>275</v>
      </c>
      <c r="BO397" s="38" t="s">
        <v>306</v>
      </c>
      <c r="BP397" s="38" t="s">
        <v>306</v>
      </c>
      <c r="BQ397" s="38" t="str">
        <f t="shared" si="57"/>
        <v>PA</v>
      </c>
      <c r="BR397" s="38" t="str">
        <f t="shared" si="51"/>
        <v>ST</v>
      </c>
      <c r="BS397" s="38" t="str">
        <f t="shared" si="52"/>
        <v>T</v>
      </c>
      <c r="BT397" s="38" t="str">
        <f t="shared" si="53"/>
        <v>Y</v>
      </c>
      <c r="BU397" s="38" t="str">
        <f t="shared" si="54"/>
        <v>Y</v>
      </c>
      <c r="BV397" s="38" t="str">
        <f t="shared" si="55"/>
        <v>StackerAlu-Gard Perforated AluminiumTriple LockYesYes</v>
      </c>
      <c r="BW397" s="38" t="str">
        <f t="shared" si="56"/>
        <v>PASTTYY</v>
      </c>
    </row>
    <row r="398" spans="64:75" ht="14.4">
      <c r="BL398" s="38" t="s">
        <v>232</v>
      </c>
      <c r="BM398" s="38" t="s">
        <v>178</v>
      </c>
      <c r="BN398" s="38" t="s">
        <v>410</v>
      </c>
      <c r="BO398" s="38" t="s">
        <v>306</v>
      </c>
      <c r="BP398" s="38" t="s">
        <v>306</v>
      </c>
      <c r="BQ398" s="38" t="str">
        <f t="shared" si="57"/>
        <v>PA</v>
      </c>
      <c r="BR398" s="38" t="str">
        <f t="shared" si="51"/>
        <v>H</v>
      </c>
      <c r="BS398" s="38" t="str">
        <f t="shared" si="52"/>
        <v>N</v>
      </c>
      <c r="BT398" s="38" t="str">
        <f t="shared" si="53"/>
        <v>Y</v>
      </c>
      <c r="BU398" s="38" t="str">
        <f t="shared" si="54"/>
        <v>Y</v>
      </c>
      <c r="BV398" s="38" t="str">
        <f t="shared" si="55"/>
        <v>HingedAlu-Gard Perforated AluminiumNot RequiredYesYes</v>
      </c>
      <c r="BW398" s="38" t="str">
        <f t="shared" si="56"/>
        <v>PAHNYY</v>
      </c>
    </row>
    <row r="399" spans="64:75" ht="14.4">
      <c r="BL399" s="38" t="s">
        <v>232</v>
      </c>
      <c r="BM399" s="38" t="s">
        <v>179</v>
      </c>
      <c r="BN399" s="38" t="s">
        <v>410</v>
      </c>
      <c r="BO399" s="38" t="s">
        <v>306</v>
      </c>
      <c r="BP399" s="38" t="s">
        <v>306</v>
      </c>
      <c r="BQ399" s="38" t="str">
        <f t="shared" si="57"/>
        <v>PA</v>
      </c>
      <c r="BR399" s="38" t="str">
        <f t="shared" si="51"/>
        <v>S</v>
      </c>
      <c r="BS399" s="38" t="str">
        <f t="shared" si="52"/>
        <v>N</v>
      </c>
      <c r="BT399" s="38" t="str">
        <f t="shared" si="53"/>
        <v>Y</v>
      </c>
      <c r="BU399" s="38" t="str">
        <f t="shared" si="54"/>
        <v>Y</v>
      </c>
      <c r="BV399" s="38" t="str">
        <f t="shared" si="55"/>
        <v>SlidingAlu-Gard Perforated AluminiumNot RequiredYesYes</v>
      </c>
      <c r="BW399" s="38" t="str">
        <f t="shared" si="56"/>
        <v>PASNYY</v>
      </c>
    </row>
    <row r="400" spans="64:75" ht="14.4">
      <c r="BL400" s="38" t="s">
        <v>232</v>
      </c>
      <c r="BM400" s="38" t="s">
        <v>220</v>
      </c>
      <c r="BN400" s="38" t="s">
        <v>410</v>
      </c>
      <c r="BO400" s="38" t="s">
        <v>306</v>
      </c>
      <c r="BP400" s="38" t="s">
        <v>306</v>
      </c>
      <c r="BQ400" s="38" t="str">
        <f t="shared" si="57"/>
        <v>PA</v>
      </c>
      <c r="BR400" s="38" t="str">
        <f t="shared" si="51"/>
        <v>ST</v>
      </c>
      <c r="BS400" s="38" t="str">
        <f t="shared" si="52"/>
        <v>N</v>
      </c>
      <c r="BT400" s="38" t="str">
        <f t="shared" si="53"/>
        <v>Y</v>
      </c>
      <c r="BU400" s="38" t="str">
        <f t="shared" si="54"/>
        <v>Y</v>
      </c>
      <c r="BV400" s="38" t="str">
        <f t="shared" si="55"/>
        <v>StackerAlu-Gard Perforated AluminiumNot RequiredYesYes</v>
      </c>
      <c r="BW400" s="38" t="str">
        <f t="shared" si="56"/>
        <v>PASTNYY</v>
      </c>
    </row>
    <row r="401" spans="64:75" ht="14.4">
      <c r="BL401" s="38" t="s">
        <v>232</v>
      </c>
      <c r="BM401" s="38" t="s">
        <v>178</v>
      </c>
      <c r="BN401" s="38" t="s">
        <v>383</v>
      </c>
      <c r="BO401" s="38" t="s">
        <v>306</v>
      </c>
      <c r="BP401" s="38" t="s">
        <v>306</v>
      </c>
      <c r="BQ401" s="38" t="str">
        <f t="shared" si="57"/>
        <v>PA</v>
      </c>
      <c r="BR401" s="38" t="str">
        <f t="shared" si="51"/>
        <v>H</v>
      </c>
      <c r="BS401" s="38" t="str">
        <f t="shared" si="52"/>
        <v>D</v>
      </c>
      <c r="BT401" s="38" t="str">
        <f t="shared" si="53"/>
        <v>Y</v>
      </c>
      <c r="BU401" s="38" t="str">
        <f t="shared" si="54"/>
        <v>Y</v>
      </c>
      <c r="BV401" s="38" t="str">
        <f t="shared" si="55"/>
        <v>HingedAlu-Gard Perforated AluminiumUltra Secua Digital Triple LockYesYes</v>
      </c>
      <c r="BW401" s="38" t="str">
        <f t="shared" si="56"/>
        <v>PAHDYY</v>
      </c>
    </row>
    <row r="402" spans="64:75" ht="14.4">
      <c r="BL402" s="38" t="s">
        <v>232</v>
      </c>
      <c r="BM402" s="38" t="s">
        <v>179</v>
      </c>
      <c r="BN402" s="38" t="s">
        <v>383</v>
      </c>
      <c r="BO402" s="38" t="s">
        <v>306</v>
      </c>
      <c r="BP402" s="38" t="s">
        <v>306</v>
      </c>
      <c r="BQ402" s="38" t="str">
        <f t="shared" si="57"/>
        <v>PA</v>
      </c>
      <c r="BR402" s="38" t="str">
        <f t="shared" si="51"/>
        <v>S</v>
      </c>
      <c r="BS402" s="38" t="str">
        <f t="shared" si="52"/>
        <v>D</v>
      </c>
      <c r="BT402" s="38" t="str">
        <f t="shared" si="53"/>
        <v>Y</v>
      </c>
      <c r="BU402" s="38" t="str">
        <f t="shared" si="54"/>
        <v>Y</v>
      </c>
      <c r="BV402" s="38" t="str">
        <f t="shared" si="55"/>
        <v>SlidingAlu-Gard Perforated AluminiumUltra Secua Digital Triple LockYesYes</v>
      </c>
      <c r="BW402" s="38" t="str">
        <f t="shared" si="56"/>
        <v>PASDYY</v>
      </c>
    </row>
    <row r="403" spans="64:75" ht="14.4">
      <c r="BL403" s="38" t="s">
        <v>232</v>
      </c>
      <c r="BM403" s="38" t="s">
        <v>220</v>
      </c>
      <c r="BN403" s="38" t="s">
        <v>383</v>
      </c>
      <c r="BO403" s="38" t="s">
        <v>306</v>
      </c>
      <c r="BP403" s="38" t="s">
        <v>306</v>
      </c>
      <c r="BQ403" s="38" t="str">
        <f t="shared" si="57"/>
        <v>PA</v>
      </c>
      <c r="BR403" s="38" t="str">
        <f t="shared" si="51"/>
        <v>ST</v>
      </c>
      <c r="BS403" s="38" t="str">
        <f t="shared" si="52"/>
        <v>D</v>
      </c>
      <c r="BT403" s="38" t="str">
        <f t="shared" si="53"/>
        <v>Y</v>
      </c>
      <c r="BU403" s="38" t="str">
        <f t="shared" si="54"/>
        <v>Y</v>
      </c>
      <c r="BV403" s="38" t="str">
        <f t="shared" si="55"/>
        <v>StackerAlu-Gard Perforated AluminiumUltra Secua Digital Triple LockYesYes</v>
      </c>
      <c r="BW403" s="38" t="str">
        <f t="shared" si="56"/>
        <v>PASTDYY</v>
      </c>
    </row>
    <row r="404" spans="64:75" ht="14.4">
      <c r="BL404" s="38" t="s">
        <v>232</v>
      </c>
      <c r="BM404" s="38" t="s">
        <v>178</v>
      </c>
      <c r="BN404" s="38" t="s">
        <v>284</v>
      </c>
      <c r="BO404" s="38" t="s">
        <v>306</v>
      </c>
      <c r="BP404" s="38" t="s">
        <v>306</v>
      </c>
      <c r="BQ404" s="38" t="str">
        <f t="shared" si="57"/>
        <v>PA</v>
      </c>
      <c r="BR404" s="38" t="str">
        <f t="shared" si="51"/>
        <v>H</v>
      </c>
      <c r="BS404" s="38" t="str">
        <f t="shared" si="52"/>
        <v>B</v>
      </c>
      <c r="BT404" s="38" t="str">
        <f t="shared" si="53"/>
        <v>Y</v>
      </c>
      <c r="BU404" s="38" t="str">
        <f t="shared" si="54"/>
        <v>Y</v>
      </c>
      <c r="BV404" s="38" t="str">
        <f t="shared" si="55"/>
        <v>HingedAlu-Gard Perforated AluminiumBass LatchYesYes</v>
      </c>
      <c r="BW404" s="38" t="str">
        <f t="shared" si="56"/>
        <v>PAHBYY</v>
      </c>
    </row>
    <row r="405" spans="64:75" ht="14.4">
      <c r="BL405" s="38" t="s">
        <v>232</v>
      </c>
      <c r="BM405" s="38" t="s">
        <v>179</v>
      </c>
      <c r="BN405" s="38" t="s">
        <v>284</v>
      </c>
      <c r="BO405" s="38" t="s">
        <v>306</v>
      </c>
      <c r="BP405" s="38" t="s">
        <v>306</v>
      </c>
      <c r="BQ405" s="38" t="str">
        <f t="shared" si="57"/>
        <v>PA</v>
      </c>
      <c r="BR405" s="38" t="str">
        <f t="shared" si="51"/>
        <v>S</v>
      </c>
      <c r="BS405" s="38" t="str">
        <f t="shared" si="52"/>
        <v>B</v>
      </c>
      <c r="BT405" s="38" t="str">
        <f t="shared" si="53"/>
        <v>Y</v>
      </c>
      <c r="BU405" s="38" t="str">
        <f t="shared" si="54"/>
        <v>Y</v>
      </c>
      <c r="BV405" s="38" t="str">
        <f t="shared" si="55"/>
        <v>SlidingAlu-Gard Perforated AluminiumBass LatchYesYes</v>
      </c>
      <c r="BW405" s="38" t="str">
        <f t="shared" si="56"/>
        <v>PASBYY</v>
      </c>
    </row>
    <row r="406" spans="64:75" ht="14.4">
      <c r="BL406" s="38" t="s">
        <v>232</v>
      </c>
      <c r="BM406" s="38" t="s">
        <v>220</v>
      </c>
      <c r="BN406" s="38" t="s">
        <v>284</v>
      </c>
      <c r="BO406" s="38" t="s">
        <v>306</v>
      </c>
      <c r="BP406" s="38" t="s">
        <v>306</v>
      </c>
      <c r="BQ406" s="38" t="str">
        <f t="shared" si="57"/>
        <v>PA</v>
      </c>
      <c r="BR406" s="38" t="str">
        <f t="shared" si="51"/>
        <v>ST</v>
      </c>
      <c r="BS406" s="38" t="str">
        <f t="shared" si="52"/>
        <v>B</v>
      </c>
      <c r="BT406" s="38" t="str">
        <f t="shared" si="53"/>
        <v>Y</v>
      </c>
      <c r="BU406" s="38" t="str">
        <f t="shared" si="54"/>
        <v>Y</v>
      </c>
      <c r="BV406" s="38" t="str">
        <f t="shared" si="55"/>
        <v>StackerAlu-Gard Perforated AluminiumBass LatchYesYes</v>
      </c>
      <c r="BW406" s="38" t="str">
        <f t="shared" si="56"/>
        <v>PASTBYY</v>
      </c>
    </row>
    <row r="407" spans="64:75" ht="14.4">
      <c r="BL407" s="38" t="s">
        <v>232</v>
      </c>
      <c r="BM407" s="38" t="s">
        <v>178</v>
      </c>
      <c r="BN407" s="38" t="s">
        <v>279</v>
      </c>
      <c r="BO407" s="38" t="s">
        <v>147</v>
      </c>
      <c r="BQ407" s="38" t="str">
        <f t="shared" si="57"/>
        <v>PA</v>
      </c>
      <c r="BR407" s="38" t="str">
        <f t="shared" si="51"/>
        <v>H</v>
      </c>
      <c r="BS407" s="38" t="str">
        <f t="shared" si="52"/>
        <v>S</v>
      </c>
      <c r="BT407" s="38" t="str">
        <f t="shared" si="53"/>
        <v>N</v>
      </c>
      <c r="BU407" s="38" t="str">
        <f t="shared" si="54"/>
        <v>N</v>
      </c>
      <c r="BV407" s="38" t="str">
        <f t="shared" si="55"/>
        <v>HingedAlu-Gard Perforated AluminiumSingle LockNo</v>
      </c>
      <c r="BW407" s="38" t="str">
        <f t="shared" si="56"/>
        <v>PAHSNN</v>
      </c>
    </row>
    <row r="408" spans="64:75" ht="14.4">
      <c r="BL408" s="38" t="s">
        <v>232</v>
      </c>
      <c r="BM408" s="38" t="s">
        <v>179</v>
      </c>
      <c r="BN408" s="38" t="s">
        <v>279</v>
      </c>
      <c r="BO408" s="38" t="s">
        <v>147</v>
      </c>
      <c r="BQ408" s="38" t="str">
        <f t="shared" si="57"/>
        <v>PA</v>
      </c>
      <c r="BR408" s="38" t="str">
        <f t="shared" si="51"/>
        <v>S</v>
      </c>
      <c r="BS408" s="38" t="str">
        <f t="shared" si="52"/>
        <v>S</v>
      </c>
      <c r="BT408" s="38" t="str">
        <f t="shared" si="53"/>
        <v>N</v>
      </c>
      <c r="BU408" s="38" t="str">
        <f t="shared" si="54"/>
        <v>N</v>
      </c>
      <c r="BV408" s="38" t="str">
        <f t="shared" si="55"/>
        <v>SlidingAlu-Gard Perforated AluminiumSingle LockNo</v>
      </c>
      <c r="BW408" s="38" t="str">
        <f t="shared" si="56"/>
        <v>PASSNN</v>
      </c>
    </row>
    <row r="409" spans="64:75" ht="14.4">
      <c r="BL409" s="38" t="s">
        <v>232</v>
      </c>
      <c r="BM409" s="38" t="s">
        <v>220</v>
      </c>
      <c r="BN409" s="38" t="s">
        <v>279</v>
      </c>
      <c r="BO409" s="38" t="s">
        <v>147</v>
      </c>
      <c r="BQ409" s="38" t="str">
        <f t="shared" si="57"/>
        <v>PA</v>
      </c>
      <c r="BR409" s="38" t="str">
        <f t="shared" si="51"/>
        <v>ST</v>
      </c>
      <c r="BS409" s="38" t="str">
        <f t="shared" si="52"/>
        <v>S</v>
      </c>
      <c r="BT409" s="38" t="str">
        <f t="shared" si="53"/>
        <v>N</v>
      </c>
      <c r="BU409" s="38" t="str">
        <f t="shared" si="54"/>
        <v>N</v>
      </c>
      <c r="BV409" s="38" t="str">
        <f t="shared" si="55"/>
        <v>StackerAlu-Gard Perforated AluminiumSingle LockNo</v>
      </c>
      <c r="BW409" s="38" t="str">
        <f t="shared" si="56"/>
        <v>PASTSNN</v>
      </c>
    </row>
    <row r="410" spans="64:75" ht="14.4">
      <c r="BL410" s="38" t="s">
        <v>232</v>
      </c>
      <c r="BM410" s="38" t="s">
        <v>178</v>
      </c>
      <c r="BN410" s="38" t="s">
        <v>275</v>
      </c>
      <c r="BO410" s="38" t="s">
        <v>147</v>
      </c>
      <c r="BQ410" s="38" t="str">
        <f t="shared" si="57"/>
        <v>PA</v>
      </c>
      <c r="BR410" s="38" t="str">
        <f t="shared" si="51"/>
        <v>H</v>
      </c>
      <c r="BS410" s="38" t="str">
        <f t="shared" si="52"/>
        <v>T</v>
      </c>
      <c r="BT410" s="38" t="str">
        <f t="shared" si="53"/>
        <v>N</v>
      </c>
      <c r="BU410" s="38" t="str">
        <f t="shared" si="54"/>
        <v>N</v>
      </c>
      <c r="BV410" s="38" t="str">
        <f t="shared" si="55"/>
        <v>HingedAlu-Gard Perforated AluminiumTriple LockNo</v>
      </c>
      <c r="BW410" s="38" t="str">
        <f t="shared" si="56"/>
        <v>PAHTNN</v>
      </c>
    </row>
    <row r="411" spans="64:75" ht="14.4">
      <c r="BL411" s="38" t="s">
        <v>232</v>
      </c>
      <c r="BM411" s="38" t="s">
        <v>179</v>
      </c>
      <c r="BN411" s="38" t="s">
        <v>275</v>
      </c>
      <c r="BO411" s="38" t="s">
        <v>147</v>
      </c>
      <c r="BQ411" s="38" t="str">
        <f t="shared" si="57"/>
        <v>PA</v>
      </c>
      <c r="BR411" s="38" t="str">
        <f t="shared" si="51"/>
        <v>S</v>
      </c>
      <c r="BS411" s="38" t="str">
        <f t="shared" si="52"/>
        <v>T</v>
      </c>
      <c r="BT411" s="38" t="str">
        <f t="shared" si="53"/>
        <v>N</v>
      </c>
      <c r="BU411" s="38" t="str">
        <f t="shared" si="54"/>
        <v>N</v>
      </c>
      <c r="BV411" s="38" t="str">
        <f t="shared" si="55"/>
        <v>SlidingAlu-Gard Perforated AluminiumTriple LockNo</v>
      </c>
      <c r="BW411" s="38" t="str">
        <f t="shared" si="56"/>
        <v>PASTNN</v>
      </c>
    </row>
    <row r="412" spans="64:75" ht="14.4">
      <c r="BL412" s="38" t="s">
        <v>232</v>
      </c>
      <c r="BM412" s="38" t="s">
        <v>220</v>
      </c>
      <c r="BN412" s="38" t="s">
        <v>275</v>
      </c>
      <c r="BO412" s="38" t="s">
        <v>147</v>
      </c>
      <c r="BQ412" s="38" t="str">
        <f t="shared" si="57"/>
        <v>PA</v>
      </c>
      <c r="BR412" s="38" t="str">
        <f t="shared" si="51"/>
        <v>ST</v>
      </c>
      <c r="BS412" s="38" t="str">
        <f t="shared" si="52"/>
        <v>T</v>
      </c>
      <c r="BT412" s="38" t="str">
        <f t="shared" si="53"/>
        <v>N</v>
      </c>
      <c r="BU412" s="38" t="str">
        <f t="shared" si="54"/>
        <v>N</v>
      </c>
      <c r="BV412" s="38" t="str">
        <f t="shared" si="55"/>
        <v>StackerAlu-Gard Perforated AluminiumTriple LockNo</v>
      </c>
      <c r="BW412" s="38" t="str">
        <f t="shared" si="56"/>
        <v>PASTTNN</v>
      </c>
    </row>
    <row r="413" spans="64:75" ht="14.4">
      <c r="BL413" s="38" t="s">
        <v>232</v>
      </c>
      <c r="BM413" s="38" t="s">
        <v>178</v>
      </c>
      <c r="BN413" s="38" t="s">
        <v>410</v>
      </c>
      <c r="BO413" s="38" t="s">
        <v>147</v>
      </c>
      <c r="BQ413" s="38" t="str">
        <f t="shared" si="57"/>
        <v>PA</v>
      </c>
      <c r="BR413" s="38" t="str">
        <f t="shared" si="51"/>
        <v>H</v>
      </c>
      <c r="BS413" s="38" t="str">
        <f t="shared" si="52"/>
        <v>N</v>
      </c>
      <c r="BT413" s="38" t="str">
        <f t="shared" si="53"/>
        <v>N</v>
      </c>
      <c r="BU413" s="38" t="str">
        <f t="shared" si="54"/>
        <v>N</v>
      </c>
      <c r="BV413" s="38" t="str">
        <f t="shared" si="55"/>
        <v>HingedAlu-Gard Perforated AluminiumNot RequiredNo</v>
      </c>
      <c r="BW413" s="38" t="str">
        <f t="shared" si="56"/>
        <v>PAHNNN</v>
      </c>
    </row>
    <row r="414" spans="64:75" ht="14.4">
      <c r="BL414" s="38" t="s">
        <v>232</v>
      </c>
      <c r="BM414" s="38" t="s">
        <v>179</v>
      </c>
      <c r="BN414" s="38" t="s">
        <v>410</v>
      </c>
      <c r="BO414" s="38" t="s">
        <v>147</v>
      </c>
      <c r="BQ414" s="38" t="str">
        <f t="shared" si="57"/>
        <v>PA</v>
      </c>
      <c r="BR414" s="38" t="str">
        <f t="shared" si="51"/>
        <v>S</v>
      </c>
      <c r="BS414" s="38" t="str">
        <f t="shared" si="52"/>
        <v>N</v>
      </c>
      <c r="BT414" s="38" t="str">
        <f t="shared" si="53"/>
        <v>N</v>
      </c>
      <c r="BU414" s="38" t="str">
        <f t="shared" si="54"/>
        <v>N</v>
      </c>
      <c r="BV414" s="38" t="str">
        <f t="shared" si="55"/>
        <v>SlidingAlu-Gard Perforated AluminiumNot RequiredNo</v>
      </c>
      <c r="BW414" s="38" t="str">
        <f t="shared" si="56"/>
        <v>PASNNN</v>
      </c>
    </row>
    <row r="415" spans="64:75" ht="14.4">
      <c r="BL415" s="38" t="s">
        <v>232</v>
      </c>
      <c r="BM415" s="38" t="s">
        <v>220</v>
      </c>
      <c r="BN415" s="38" t="s">
        <v>410</v>
      </c>
      <c r="BO415" s="38" t="s">
        <v>147</v>
      </c>
      <c r="BQ415" s="38" t="str">
        <f t="shared" si="57"/>
        <v>PA</v>
      </c>
      <c r="BR415" s="38" t="str">
        <f t="shared" si="51"/>
        <v>ST</v>
      </c>
      <c r="BS415" s="38" t="str">
        <f t="shared" si="52"/>
        <v>N</v>
      </c>
      <c r="BT415" s="38" t="str">
        <f t="shared" si="53"/>
        <v>N</v>
      </c>
      <c r="BU415" s="38" t="str">
        <f t="shared" si="54"/>
        <v>N</v>
      </c>
      <c r="BV415" s="38" t="str">
        <f t="shared" si="55"/>
        <v>StackerAlu-Gard Perforated AluminiumNot RequiredNo</v>
      </c>
      <c r="BW415" s="38" t="str">
        <f t="shared" si="56"/>
        <v>PASTNNN</v>
      </c>
    </row>
    <row r="416" spans="64:75" ht="14.4">
      <c r="BL416" s="38" t="s">
        <v>232</v>
      </c>
      <c r="BM416" s="38" t="s">
        <v>178</v>
      </c>
      <c r="BN416" s="38" t="s">
        <v>383</v>
      </c>
      <c r="BO416" s="38" t="s">
        <v>147</v>
      </c>
      <c r="BQ416" s="38" t="str">
        <f t="shared" si="57"/>
        <v>PA</v>
      </c>
      <c r="BR416" s="38" t="str">
        <f t="shared" si="51"/>
        <v>H</v>
      </c>
      <c r="BS416" s="38" t="str">
        <f t="shared" si="52"/>
        <v>D</v>
      </c>
      <c r="BT416" s="38" t="str">
        <f t="shared" si="53"/>
        <v>N</v>
      </c>
      <c r="BU416" s="38" t="str">
        <f t="shared" si="54"/>
        <v>N</v>
      </c>
      <c r="BV416" s="38" t="str">
        <f t="shared" si="55"/>
        <v>HingedAlu-Gard Perforated AluminiumUltra Secua Digital Triple LockNo</v>
      </c>
      <c r="BW416" s="38" t="str">
        <f t="shared" si="56"/>
        <v>PAHDNN</v>
      </c>
    </row>
    <row r="417" spans="64:75" ht="14.4">
      <c r="BL417" s="38" t="s">
        <v>232</v>
      </c>
      <c r="BM417" s="38" t="s">
        <v>179</v>
      </c>
      <c r="BN417" s="38" t="s">
        <v>383</v>
      </c>
      <c r="BO417" s="38" t="s">
        <v>147</v>
      </c>
      <c r="BQ417" s="38" t="str">
        <f t="shared" si="57"/>
        <v>PA</v>
      </c>
      <c r="BR417" s="38" t="str">
        <f t="shared" si="51"/>
        <v>S</v>
      </c>
      <c r="BS417" s="38" t="str">
        <f t="shared" si="52"/>
        <v>D</v>
      </c>
      <c r="BT417" s="38" t="str">
        <f t="shared" si="53"/>
        <v>N</v>
      </c>
      <c r="BU417" s="38" t="str">
        <f t="shared" si="54"/>
        <v>N</v>
      </c>
      <c r="BV417" s="38" t="str">
        <f t="shared" si="55"/>
        <v>SlidingAlu-Gard Perforated AluminiumUltra Secua Digital Triple LockNo</v>
      </c>
      <c r="BW417" s="38" t="str">
        <f t="shared" si="56"/>
        <v>PASDNN</v>
      </c>
    </row>
    <row r="418" spans="64:75" ht="14.4">
      <c r="BL418" s="38" t="s">
        <v>232</v>
      </c>
      <c r="BM418" s="38" t="s">
        <v>220</v>
      </c>
      <c r="BN418" s="38" t="s">
        <v>383</v>
      </c>
      <c r="BO418" s="38" t="s">
        <v>147</v>
      </c>
      <c r="BQ418" s="38" t="str">
        <f t="shared" si="57"/>
        <v>PA</v>
      </c>
      <c r="BR418" s="38" t="str">
        <f t="shared" si="51"/>
        <v>ST</v>
      </c>
      <c r="BS418" s="38" t="str">
        <f t="shared" si="52"/>
        <v>D</v>
      </c>
      <c r="BT418" s="38" t="str">
        <f t="shared" si="53"/>
        <v>N</v>
      </c>
      <c r="BU418" s="38" t="str">
        <f t="shared" si="54"/>
        <v>N</v>
      </c>
      <c r="BV418" s="38" t="str">
        <f t="shared" si="55"/>
        <v>StackerAlu-Gard Perforated AluminiumUltra Secua Digital Triple LockNo</v>
      </c>
      <c r="BW418" s="38" t="str">
        <f t="shared" si="56"/>
        <v>PASTDNN</v>
      </c>
    </row>
    <row r="419" spans="64:75" ht="14.4">
      <c r="BL419" s="38" t="s">
        <v>232</v>
      </c>
      <c r="BM419" s="38" t="s">
        <v>178</v>
      </c>
      <c r="BN419" s="38" t="s">
        <v>284</v>
      </c>
      <c r="BO419" s="38" t="s">
        <v>147</v>
      </c>
      <c r="BQ419" s="38" t="str">
        <f t="shared" si="57"/>
        <v>PA</v>
      </c>
      <c r="BR419" s="38" t="str">
        <f t="shared" si="51"/>
        <v>H</v>
      </c>
      <c r="BS419" s="38" t="str">
        <f t="shared" si="52"/>
        <v>B</v>
      </c>
      <c r="BT419" s="38" t="str">
        <f t="shared" si="53"/>
        <v>N</v>
      </c>
      <c r="BU419" s="38" t="str">
        <f t="shared" si="54"/>
        <v>N</v>
      </c>
      <c r="BV419" s="38" t="str">
        <f t="shared" si="55"/>
        <v>HingedAlu-Gard Perforated AluminiumBass LatchNo</v>
      </c>
      <c r="BW419" s="38" t="str">
        <f t="shared" si="56"/>
        <v>PAHBNN</v>
      </c>
    </row>
    <row r="420" spans="64:75" ht="14.4">
      <c r="BL420" s="38" t="s">
        <v>232</v>
      </c>
      <c r="BM420" s="38" t="s">
        <v>179</v>
      </c>
      <c r="BN420" s="38" t="s">
        <v>284</v>
      </c>
      <c r="BO420" s="38" t="s">
        <v>147</v>
      </c>
      <c r="BQ420" s="38" t="str">
        <f t="shared" si="57"/>
        <v>PA</v>
      </c>
      <c r="BR420" s="38" t="str">
        <f t="shared" si="51"/>
        <v>S</v>
      </c>
      <c r="BS420" s="38" t="str">
        <f t="shared" si="52"/>
        <v>B</v>
      </c>
      <c r="BT420" s="38" t="str">
        <f t="shared" si="53"/>
        <v>N</v>
      </c>
      <c r="BU420" s="38" t="str">
        <f t="shared" si="54"/>
        <v>N</v>
      </c>
      <c r="BV420" s="38" t="str">
        <f t="shared" si="55"/>
        <v>SlidingAlu-Gard Perforated AluminiumBass LatchNo</v>
      </c>
      <c r="BW420" s="38" t="str">
        <f t="shared" si="56"/>
        <v>PASBNN</v>
      </c>
    </row>
    <row r="421" spans="64:75" ht="14.4">
      <c r="BL421" s="38" t="s">
        <v>232</v>
      </c>
      <c r="BM421" s="38" t="s">
        <v>220</v>
      </c>
      <c r="BN421" s="38" t="s">
        <v>284</v>
      </c>
      <c r="BO421" s="38" t="s">
        <v>147</v>
      </c>
      <c r="BQ421" s="38" t="str">
        <f t="shared" si="57"/>
        <v>PA</v>
      </c>
      <c r="BR421" s="38" t="str">
        <f t="shared" si="51"/>
        <v>ST</v>
      </c>
      <c r="BS421" s="38" t="str">
        <f t="shared" si="52"/>
        <v>B</v>
      </c>
      <c r="BT421" s="38" t="str">
        <f t="shared" si="53"/>
        <v>N</v>
      </c>
      <c r="BU421" s="38" t="str">
        <f t="shared" si="54"/>
        <v>N</v>
      </c>
      <c r="BV421" s="38" t="str">
        <f t="shared" si="55"/>
        <v>StackerAlu-Gard Perforated AluminiumBass LatchNo</v>
      </c>
      <c r="BW421" s="38" t="str">
        <f t="shared" si="56"/>
        <v>PASTBNN</v>
      </c>
    </row>
    <row r="422" spans="64:75" ht="14.4">
      <c r="BL422" s="38" t="s">
        <v>232</v>
      </c>
      <c r="BM422" s="38" t="s">
        <v>178</v>
      </c>
      <c r="BN422" s="38" t="s">
        <v>279</v>
      </c>
      <c r="BO422" s="38" t="s">
        <v>411</v>
      </c>
      <c r="BQ422" s="38" t="str">
        <f t="shared" si="57"/>
        <v>PA</v>
      </c>
      <c r="BR422" s="38" t="str">
        <f t="shared" si="51"/>
        <v>H</v>
      </c>
      <c r="BS422" s="38" t="str">
        <f t="shared" si="52"/>
        <v>S</v>
      </c>
      <c r="BT422" s="38" t="str">
        <f t="shared" si="53"/>
        <v>Y</v>
      </c>
      <c r="BU422" s="38" t="str">
        <f t="shared" si="54"/>
        <v>N</v>
      </c>
      <c r="BV422" s="38" t="str">
        <f t="shared" si="55"/>
        <v>HingedAlu-Gard Perforated AluminiumSingle LockYes - Centre</v>
      </c>
      <c r="BW422" s="38" t="str">
        <f t="shared" si="56"/>
        <v>PAHSYN</v>
      </c>
    </row>
    <row r="423" spans="64:75" ht="14.4">
      <c r="BL423" s="38" t="s">
        <v>232</v>
      </c>
      <c r="BM423" s="38" t="s">
        <v>179</v>
      </c>
      <c r="BN423" s="38" t="s">
        <v>279</v>
      </c>
      <c r="BO423" s="38" t="s">
        <v>411</v>
      </c>
      <c r="BQ423" s="38" t="str">
        <f t="shared" si="57"/>
        <v>PA</v>
      </c>
      <c r="BR423" s="38" t="str">
        <f t="shared" si="51"/>
        <v>S</v>
      </c>
      <c r="BS423" s="38" t="str">
        <f t="shared" si="52"/>
        <v>S</v>
      </c>
      <c r="BT423" s="38" t="str">
        <f t="shared" si="53"/>
        <v>Y</v>
      </c>
      <c r="BU423" s="38" t="str">
        <f t="shared" si="54"/>
        <v>N</v>
      </c>
      <c r="BV423" s="38" t="str">
        <f t="shared" si="55"/>
        <v>SlidingAlu-Gard Perforated AluminiumSingle LockYes - Centre</v>
      </c>
      <c r="BW423" s="38" t="str">
        <f t="shared" si="56"/>
        <v>PASSYN</v>
      </c>
    </row>
    <row r="424" spans="64:75" ht="14.4">
      <c r="BL424" s="38" t="s">
        <v>232</v>
      </c>
      <c r="BM424" s="38" t="s">
        <v>220</v>
      </c>
      <c r="BN424" s="38" t="s">
        <v>279</v>
      </c>
      <c r="BO424" s="38" t="s">
        <v>411</v>
      </c>
      <c r="BQ424" s="38" t="str">
        <f t="shared" si="57"/>
        <v>PA</v>
      </c>
      <c r="BR424" s="38" t="str">
        <f t="shared" si="51"/>
        <v>ST</v>
      </c>
      <c r="BS424" s="38" t="str">
        <f t="shared" si="52"/>
        <v>S</v>
      </c>
      <c r="BT424" s="38" t="str">
        <f t="shared" si="53"/>
        <v>Y</v>
      </c>
      <c r="BU424" s="38" t="str">
        <f t="shared" si="54"/>
        <v>N</v>
      </c>
      <c r="BV424" s="38" t="str">
        <f t="shared" si="55"/>
        <v>StackerAlu-Gard Perforated AluminiumSingle LockYes - Centre</v>
      </c>
      <c r="BW424" s="38" t="str">
        <f t="shared" si="56"/>
        <v>PASTSYN</v>
      </c>
    </row>
    <row r="425" spans="64:75" ht="14.4">
      <c r="BL425" s="38" t="s">
        <v>232</v>
      </c>
      <c r="BM425" s="38" t="s">
        <v>178</v>
      </c>
      <c r="BN425" s="38" t="s">
        <v>275</v>
      </c>
      <c r="BO425" s="38" t="s">
        <v>411</v>
      </c>
      <c r="BQ425" s="38" t="str">
        <f t="shared" si="57"/>
        <v>PA</v>
      </c>
      <c r="BR425" s="38" t="str">
        <f t="shared" si="51"/>
        <v>H</v>
      </c>
      <c r="BS425" s="38" t="str">
        <f t="shared" si="52"/>
        <v>T</v>
      </c>
      <c r="BT425" s="38" t="str">
        <f t="shared" si="53"/>
        <v>Y</v>
      </c>
      <c r="BU425" s="38" t="str">
        <f t="shared" si="54"/>
        <v>N</v>
      </c>
      <c r="BV425" s="38" t="str">
        <f t="shared" si="55"/>
        <v>HingedAlu-Gard Perforated AluminiumTriple LockYes - Centre</v>
      </c>
      <c r="BW425" s="38" t="str">
        <f t="shared" si="56"/>
        <v>PAHTYN</v>
      </c>
    </row>
    <row r="426" spans="64:75" ht="14.4">
      <c r="BL426" s="38" t="s">
        <v>232</v>
      </c>
      <c r="BM426" s="38" t="s">
        <v>179</v>
      </c>
      <c r="BN426" s="38" t="s">
        <v>275</v>
      </c>
      <c r="BO426" s="38" t="s">
        <v>411</v>
      </c>
      <c r="BQ426" s="38" t="str">
        <f t="shared" si="57"/>
        <v>PA</v>
      </c>
      <c r="BR426" s="38" t="str">
        <f t="shared" si="51"/>
        <v>S</v>
      </c>
      <c r="BS426" s="38" t="str">
        <f t="shared" si="52"/>
        <v>T</v>
      </c>
      <c r="BT426" s="38" t="str">
        <f t="shared" si="53"/>
        <v>Y</v>
      </c>
      <c r="BU426" s="38" t="str">
        <f t="shared" si="54"/>
        <v>N</v>
      </c>
      <c r="BV426" s="38" t="str">
        <f t="shared" si="55"/>
        <v>SlidingAlu-Gard Perforated AluminiumTriple LockYes - Centre</v>
      </c>
      <c r="BW426" s="38" t="str">
        <f t="shared" si="56"/>
        <v>PASTYN</v>
      </c>
    </row>
    <row r="427" spans="64:75" ht="14.4">
      <c r="BL427" s="38" t="s">
        <v>232</v>
      </c>
      <c r="BM427" s="38" t="s">
        <v>220</v>
      </c>
      <c r="BN427" s="38" t="s">
        <v>275</v>
      </c>
      <c r="BO427" s="38" t="s">
        <v>411</v>
      </c>
      <c r="BQ427" s="38" t="str">
        <f t="shared" si="57"/>
        <v>PA</v>
      </c>
      <c r="BR427" s="38" t="str">
        <f t="shared" si="51"/>
        <v>ST</v>
      </c>
      <c r="BS427" s="38" t="str">
        <f t="shared" si="52"/>
        <v>T</v>
      </c>
      <c r="BT427" s="38" t="str">
        <f t="shared" si="53"/>
        <v>Y</v>
      </c>
      <c r="BU427" s="38" t="str">
        <f t="shared" si="54"/>
        <v>N</v>
      </c>
      <c r="BV427" s="38" t="str">
        <f t="shared" si="55"/>
        <v>StackerAlu-Gard Perforated AluminiumTriple LockYes - Centre</v>
      </c>
      <c r="BW427" s="38" t="str">
        <f t="shared" si="56"/>
        <v>PASTTYN</v>
      </c>
    </row>
    <row r="428" spans="64:75" ht="14.4">
      <c r="BL428" s="38" t="s">
        <v>232</v>
      </c>
      <c r="BM428" s="38" t="s">
        <v>178</v>
      </c>
      <c r="BN428" s="38" t="s">
        <v>410</v>
      </c>
      <c r="BO428" s="38" t="s">
        <v>411</v>
      </c>
      <c r="BQ428" s="38" t="str">
        <f t="shared" si="57"/>
        <v>PA</v>
      </c>
      <c r="BR428" s="38" t="str">
        <f t="shared" si="51"/>
        <v>H</v>
      </c>
      <c r="BS428" s="38" t="str">
        <f t="shared" si="52"/>
        <v>N</v>
      </c>
      <c r="BT428" s="38" t="str">
        <f t="shared" si="53"/>
        <v>Y</v>
      </c>
      <c r="BU428" s="38" t="str">
        <f t="shared" si="54"/>
        <v>N</v>
      </c>
      <c r="BV428" s="38" t="str">
        <f t="shared" si="55"/>
        <v>HingedAlu-Gard Perforated AluminiumNot RequiredYes - Centre</v>
      </c>
      <c r="BW428" s="38" t="str">
        <f t="shared" si="56"/>
        <v>PAHNYN</v>
      </c>
    </row>
    <row r="429" spans="64:75" ht="14.4">
      <c r="BL429" s="38" t="s">
        <v>232</v>
      </c>
      <c r="BM429" s="38" t="s">
        <v>179</v>
      </c>
      <c r="BN429" s="38" t="s">
        <v>410</v>
      </c>
      <c r="BO429" s="38" t="s">
        <v>411</v>
      </c>
      <c r="BQ429" s="38" t="str">
        <f t="shared" si="57"/>
        <v>PA</v>
      </c>
      <c r="BR429" s="38" t="str">
        <f t="shared" si="51"/>
        <v>S</v>
      </c>
      <c r="BS429" s="38" t="str">
        <f t="shared" si="52"/>
        <v>N</v>
      </c>
      <c r="BT429" s="38" t="str">
        <f t="shared" si="53"/>
        <v>Y</v>
      </c>
      <c r="BU429" s="38" t="str">
        <f t="shared" si="54"/>
        <v>N</v>
      </c>
      <c r="BV429" s="38" t="str">
        <f t="shared" si="55"/>
        <v>SlidingAlu-Gard Perforated AluminiumNot RequiredYes - Centre</v>
      </c>
      <c r="BW429" s="38" t="str">
        <f t="shared" si="56"/>
        <v>PASNYN</v>
      </c>
    </row>
    <row r="430" spans="64:75" ht="14.4">
      <c r="BL430" s="38" t="s">
        <v>232</v>
      </c>
      <c r="BM430" s="38" t="s">
        <v>220</v>
      </c>
      <c r="BN430" s="38" t="s">
        <v>410</v>
      </c>
      <c r="BO430" s="38" t="s">
        <v>411</v>
      </c>
      <c r="BQ430" s="38" t="str">
        <f t="shared" si="57"/>
        <v>PA</v>
      </c>
      <c r="BR430" s="38" t="str">
        <f t="shared" si="51"/>
        <v>ST</v>
      </c>
      <c r="BS430" s="38" t="str">
        <f t="shared" si="52"/>
        <v>N</v>
      </c>
      <c r="BT430" s="38" t="str">
        <f t="shared" si="53"/>
        <v>Y</v>
      </c>
      <c r="BU430" s="38" t="str">
        <f t="shared" si="54"/>
        <v>N</v>
      </c>
      <c r="BV430" s="38" t="str">
        <f t="shared" si="55"/>
        <v>StackerAlu-Gard Perforated AluminiumNot RequiredYes - Centre</v>
      </c>
      <c r="BW430" s="38" t="str">
        <f t="shared" si="56"/>
        <v>PASTNYN</v>
      </c>
    </row>
    <row r="431" spans="64:75" ht="14.4">
      <c r="BL431" s="38" t="s">
        <v>232</v>
      </c>
      <c r="BM431" s="38" t="s">
        <v>178</v>
      </c>
      <c r="BN431" s="38" t="s">
        <v>383</v>
      </c>
      <c r="BO431" s="38" t="s">
        <v>411</v>
      </c>
      <c r="BQ431" s="38" t="str">
        <f t="shared" si="57"/>
        <v>PA</v>
      </c>
      <c r="BR431" s="38" t="str">
        <f t="shared" si="51"/>
        <v>H</v>
      </c>
      <c r="BS431" s="38" t="str">
        <f t="shared" si="52"/>
        <v>D</v>
      </c>
      <c r="BT431" s="38" t="str">
        <f t="shared" si="53"/>
        <v>Y</v>
      </c>
      <c r="BU431" s="38" t="str">
        <f t="shared" si="54"/>
        <v>N</v>
      </c>
      <c r="BV431" s="38" t="str">
        <f t="shared" si="55"/>
        <v>HingedAlu-Gard Perforated AluminiumUltra Secua Digital Triple LockYes - Centre</v>
      </c>
      <c r="BW431" s="38" t="str">
        <f t="shared" si="56"/>
        <v>PAHDYN</v>
      </c>
    </row>
    <row r="432" spans="64:75" ht="14.4">
      <c r="BL432" s="38" t="s">
        <v>232</v>
      </c>
      <c r="BM432" s="38" t="s">
        <v>179</v>
      </c>
      <c r="BN432" s="38" t="s">
        <v>383</v>
      </c>
      <c r="BO432" s="38" t="s">
        <v>411</v>
      </c>
      <c r="BQ432" s="38" t="str">
        <f t="shared" si="57"/>
        <v>PA</v>
      </c>
      <c r="BR432" s="38" t="str">
        <f t="shared" si="51"/>
        <v>S</v>
      </c>
      <c r="BS432" s="38" t="str">
        <f t="shared" si="52"/>
        <v>D</v>
      </c>
      <c r="BT432" s="38" t="str">
        <f t="shared" si="53"/>
        <v>Y</v>
      </c>
      <c r="BU432" s="38" t="str">
        <f t="shared" si="54"/>
        <v>N</v>
      </c>
      <c r="BV432" s="38" t="str">
        <f t="shared" si="55"/>
        <v>SlidingAlu-Gard Perforated AluminiumUltra Secua Digital Triple LockYes - Centre</v>
      </c>
      <c r="BW432" s="38" t="str">
        <f t="shared" si="56"/>
        <v>PASDYN</v>
      </c>
    </row>
    <row r="433" spans="64:75" ht="14.4">
      <c r="BL433" s="38" t="s">
        <v>232</v>
      </c>
      <c r="BM433" s="38" t="s">
        <v>220</v>
      </c>
      <c r="BN433" s="38" t="s">
        <v>383</v>
      </c>
      <c r="BO433" s="38" t="s">
        <v>411</v>
      </c>
      <c r="BQ433" s="38" t="str">
        <f t="shared" si="57"/>
        <v>PA</v>
      </c>
      <c r="BR433" s="38" t="str">
        <f t="shared" si="51"/>
        <v>ST</v>
      </c>
      <c r="BS433" s="38" t="str">
        <f t="shared" si="52"/>
        <v>D</v>
      </c>
      <c r="BT433" s="38" t="str">
        <f t="shared" si="53"/>
        <v>Y</v>
      </c>
      <c r="BU433" s="38" t="str">
        <f t="shared" si="54"/>
        <v>N</v>
      </c>
      <c r="BV433" s="38" t="str">
        <f t="shared" si="55"/>
        <v>StackerAlu-Gard Perforated AluminiumUltra Secua Digital Triple LockYes - Centre</v>
      </c>
      <c r="BW433" s="38" t="str">
        <f t="shared" si="56"/>
        <v>PASTDYN</v>
      </c>
    </row>
    <row r="434" spans="64:75" ht="14.4">
      <c r="BL434" s="38" t="s">
        <v>232</v>
      </c>
      <c r="BM434" s="38" t="s">
        <v>178</v>
      </c>
      <c r="BN434" s="38" t="s">
        <v>284</v>
      </c>
      <c r="BO434" s="38" t="s">
        <v>411</v>
      </c>
      <c r="BQ434" s="38" t="str">
        <f t="shared" si="57"/>
        <v>PA</v>
      </c>
      <c r="BR434" s="38" t="str">
        <f t="shared" si="51"/>
        <v>H</v>
      </c>
      <c r="BS434" s="38" t="str">
        <f t="shared" si="52"/>
        <v>B</v>
      </c>
      <c r="BT434" s="38" t="str">
        <f t="shared" si="53"/>
        <v>Y</v>
      </c>
      <c r="BU434" s="38" t="str">
        <f t="shared" si="54"/>
        <v>N</v>
      </c>
      <c r="BV434" s="38" t="str">
        <f t="shared" si="55"/>
        <v>HingedAlu-Gard Perforated AluminiumBass LatchYes - Centre</v>
      </c>
      <c r="BW434" s="38" t="str">
        <f t="shared" si="56"/>
        <v>PAHBYN</v>
      </c>
    </row>
    <row r="435" spans="64:75" ht="14.4">
      <c r="BL435" s="38" t="s">
        <v>232</v>
      </c>
      <c r="BM435" s="38" t="s">
        <v>179</v>
      </c>
      <c r="BN435" s="38" t="s">
        <v>284</v>
      </c>
      <c r="BO435" s="38" t="s">
        <v>411</v>
      </c>
      <c r="BQ435" s="38" t="str">
        <f t="shared" si="57"/>
        <v>PA</v>
      </c>
      <c r="BR435" s="38" t="str">
        <f t="shared" si="51"/>
        <v>S</v>
      </c>
      <c r="BS435" s="38" t="str">
        <f t="shared" si="52"/>
        <v>B</v>
      </c>
      <c r="BT435" s="38" t="str">
        <f t="shared" si="53"/>
        <v>Y</v>
      </c>
      <c r="BU435" s="38" t="str">
        <f t="shared" si="54"/>
        <v>N</v>
      </c>
      <c r="BV435" s="38" t="str">
        <f t="shared" si="55"/>
        <v>SlidingAlu-Gard Perforated AluminiumBass LatchYes - Centre</v>
      </c>
      <c r="BW435" s="38" t="str">
        <f t="shared" si="56"/>
        <v>PASBYN</v>
      </c>
    </row>
    <row r="436" spans="64:75" ht="14.4">
      <c r="BL436" s="38" t="s">
        <v>232</v>
      </c>
      <c r="BM436" s="38" t="s">
        <v>220</v>
      </c>
      <c r="BN436" s="38" t="s">
        <v>284</v>
      </c>
      <c r="BO436" s="38" t="s">
        <v>411</v>
      </c>
      <c r="BQ436" s="38" t="str">
        <f t="shared" si="57"/>
        <v>PA</v>
      </c>
      <c r="BR436" s="38" t="str">
        <f t="shared" si="51"/>
        <v>ST</v>
      </c>
      <c r="BS436" s="38" t="str">
        <f t="shared" si="52"/>
        <v>B</v>
      </c>
      <c r="BT436" s="38" t="str">
        <f t="shared" si="53"/>
        <v>Y</v>
      </c>
      <c r="BU436" s="38" t="str">
        <f t="shared" si="54"/>
        <v>N</v>
      </c>
      <c r="BV436" s="38" t="str">
        <f t="shared" si="55"/>
        <v>StackerAlu-Gard Perforated AluminiumBass LatchYes - Centre</v>
      </c>
      <c r="BW436" s="38" t="str">
        <f t="shared" si="56"/>
        <v>PASTBYN</v>
      </c>
    </row>
    <row r="437" spans="64:75" ht="14.4">
      <c r="BL437" s="38" t="s">
        <v>232</v>
      </c>
      <c r="BM437" s="38" t="s">
        <v>178</v>
      </c>
      <c r="BN437" s="38" t="s">
        <v>279</v>
      </c>
      <c r="BO437" s="38" t="s">
        <v>306</v>
      </c>
      <c r="BQ437" s="38" t="str">
        <f t="shared" si="57"/>
        <v>PA</v>
      </c>
      <c r="BR437" s="38" t="str">
        <f t="shared" si="51"/>
        <v>H</v>
      </c>
      <c r="BS437" s="38" t="str">
        <f t="shared" si="52"/>
        <v>S</v>
      </c>
      <c r="BT437" s="38" t="str">
        <f t="shared" si="53"/>
        <v>Y</v>
      </c>
      <c r="BU437" s="38" t="str">
        <f t="shared" si="54"/>
        <v>N</v>
      </c>
      <c r="BV437" s="38" t="str">
        <f t="shared" si="55"/>
        <v>HingedAlu-Gard Perforated AluminiumSingle LockYes</v>
      </c>
      <c r="BW437" s="38" t="str">
        <f t="shared" si="56"/>
        <v>PAHSYN</v>
      </c>
    </row>
    <row r="438" spans="64:75" ht="14.4">
      <c r="BL438" s="38" t="s">
        <v>232</v>
      </c>
      <c r="BM438" s="38" t="s">
        <v>179</v>
      </c>
      <c r="BN438" s="38" t="s">
        <v>279</v>
      </c>
      <c r="BO438" s="38" t="s">
        <v>306</v>
      </c>
      <c r="BQ438" s="38" t="str">
        <f t="shared" si="57"/>
        <v>PA</v>
      </c>
      <c r="BR438" s="38" t="str">
        <f t="shared" si="51"/>
        <v>S</v>
      </c>
      <c r="BS438" s="38" t="str">
        <f t="shared" si="52"/>
        <v>S</v>
      </c>
      <c r="BT438" s="38" t="str">
        <f t="shared" si="53"/>
        <v>Y</v>
      </c>
      <c r="BU438" s="38" t="str">
        <f t="shared" si="54"/>
        <v>N</v>
      </c>
      <c r="BV438" s="38" t="str">
        <f t="shared" si="55"/>
        <v>SlidingAlu-Gard Perforated AluminiumSingle LockYes</v>
      </c>
      <c r="BW438" s="38" t="str">
        <f t="shared" si="56"/>
        <v>PASSYN</v>
      </c>
    </row>
    <row r="439" spans="64:75" ht="14.4">
      <c r="BL439" s="38" t="s">
        <v>232</v>
      </c>
      <c r="BM439" s="38" t="s">
        <v>220</v>
      </c>
      <c r="BN439" s="38" t="s">
        <v>279</v>
      </c>
      <c r="BO439" s="38" t="s">
        <v>306</v>
      </c>
      <c r="BQ439" s="38" t="str">
        <f t="shared" si="57"/>
        <v>PA</v>
      </c>
      <c r="BR439" s="38" t="str">
        <f t="shared" si="51"/>
        <v>ST</v>
      </c>
      <c r="BS439" s="38" t="str">
        <f t="shared" si="52"/>
        <v>S</v>
      </c>
      <c r="BT439" s="38" t="str">
        <f t="shared" si="53"/>
        <v>Y</v>
      </c>
      <c r="BU439" s="38" t="str">
        <f t="shared" si="54"/>
        <v>N</v>
      </c>
      <c r="BV439" s="38" t="str">
        <f t="shared" si="55"/>
        <v>StackerAlu-Gard Perforated AluminiumSingle LockYes</v>
      </c>
      <c r="BW439" s="38" t="str">
        <f t="shared" si="56"/>
        <v>PASTSYN</v>
      </c>
    </row>
    <row r="440" spans="64:75" ht="14.4">
      <c r="BL440" s="38" t="s">
        <v>232</v>
      </c>
      <c r="BM440" s="38" t="s">
        <v>178</v>
      </c>
      <c r="BN440" s="38" t="s">
        <v>275</v>
      </c>
      <c r="BO440" s="38" t="s">
        <v>306</v>
      </c>
      <c r="BQ440" s="38" t="str">
        <f t="shared" si="57"/>
        <v>PA</v>
      </c>
      <c r="BR440" s="38" t="str">
        <f t="shared" si="51"/>
        <v>H</v>
      </c>
      <c r="BS440" s="38" t="str">
        <f t="shared" si="52"/>
        <v>T</v>
      </c>
      <c r="BT440" s="38" t="str">
        <f t="shared" si="53"/>
        <v>Y</v>
      </c>
      <c r="BU440" s="38" t="str">
        <f t="shared" si="54"/>
        <v>N</v>
      </c>
      <c r="BV440" s="38" t="str">
        <f t="shared" si="55"/>
        <v>HingedAlu-Gard Perforated AluminiumTriple LockYes</v>
      </c>
      <c r="BW440" s="38" t="str">
        <f t="shared" si="56"/>
        <v>PAHTYN</v>
      </c>
    </row>
    <row r="441" spans="64:75" ht="14.4">
      <c r="BL441" s="38" t="s">
        <v>232</v>
      </c>
      <c r="BM441" s="38" t="s">
        <v>179</v>
      </c>
      <c r="BN441" s="38" t="s">
        <v>275</v>
      </c>
      <c r="BO441" s="38" t="s">
        <v>306</v>
      </c>
      <c r="BQ441" s="38" t="str">
        <f t="shared" si="57"/>
        <v>PA</v>
      </c>
      <c r="BR441" s="38" t="str">
        <f t="shared" si="51"/>
        <v>S</v>
      </c>
      <c r="BS441" s="38" t="str">
        <f t="shared" si="52"/>
        <v>T</v>
      </c>
      <c r="BT441" s="38" t="str">
        <f t="shared" si="53"/>
        <v>Y</v>
      </c>
      <c r="BU441" s="38" t="str">
        <f t="shared" si="54"/>
        <v>N</v>
      </c>
      <c r="BV441" s="38" t="str">
        <f t="shared" si="55"/>
        <v>SlidingAlu-Gard Perforated AluminiumTriple LockYes</v>
      </c>
      <c r="BW441" s="38" t="str">
        <f t="shared" si="56"/>
        <v>PASTYN</v>
      </c>
    </row>
    <row r="442" spans="64:75" ht="14.4">
      <c r="BL442" s="38" t="s">
        <v>232</v>
      </c>
      <c r="BM442" s="38" t="s">
        <v>220</v>
      </c>
      <c r="BN442" s="38" t="s">
        <v>275</v>
      </c>
      <c r="BO442" s="38" t="s">
        <v>306</v>
      </c>
      <c r="BQ442" s="38" t="str">
        <f t="shared" si="57"/>
        <v>PA</v>
      </c>
      <c r="BR442" s="38" t="str">
        <f t="shared" si="51"/>
        <v>ST</v>
      </c>
      <c r="BS442" s="38" t="str">
        <f t="shared" si="52"/>
        <v>T</v>
      </c>
      <c r="BT442" s="38" t="str">
        <f t="shared" si="53"/>
        <v>Y</v>
      </c>
      <c r="BU442" s="38" t="str">
        <f t="shared" si="54"/>
        <v>N</v>
      </c>
      <c r="BV442" s="38" t="str">
        <f t="shared" si="55"/>
        <v>StackerAlu-Gard Perforated AluminiumTriple LockYes</v>
      </c>
      <c r="BW442" s="38" t="str">
        <f t="shared" si="56"/>
        <v>PASTTYN</v>
      </c>
    </row>
    <row r="443" spans="64:75" ht="14.4">
      <c r="BL443" s="38" t="s">
        <v>232</v>
      </c>
      <c r="BM443" s="38" t="s">
        <v>178</v>
      </c>
      <c r="BN443" s="38" t="s">
        <v>410</v>
      </c>
      <c r="BO443" s="38" t="s">
        <v>306</v>
      </c>
      <c r="BQ443" s="38" t="str">
        <f t="shared" si="57"/>
        <v>PA</v>
      </c>
      <c r="BR443" s="38" t="str">
        <f t="shared" si="51"/>
        <v>H</v>
      </c>
      <c r="BS443" s="38" t="str">
        <f t="shared" si="52"/>
        <v>N</v>
      </c>
      <c r="BT443" s="38" t="str">
        <f t="shared" si="53"/>
        <v>Y</v>
      </c>
      <c r="BU443" s="38" t="str">
        <f t="shared" si="54"/>
        <v>N</v>
      </c>
      <c r="BV443" s="38" t="str">
        <f t="shared" si="55"/>
        <v>HingedAlu-Gard Perforated AluminiumNot RequiredYes</v>
      </c>
      <c r="BW443" s="38" t="str">
        <f t="shared" si="56"/>
        <v>PAHNYN</v>
      </c>
    </row>
    <row r="444" spans="64:75" ht="14.4">
      <c r="BL444" s="38" t="s">
        <v>232</v>
      </c>
      <c r="BM444" s="38" t="s">
        <v>179</v>
      </c>
      <c r="BN444" s="38" t="s">
        <v>410</v>
      </c>
      <c r="BO444" s="38" t="s">
        <v>306</v>
      </c>
      <c r="BQ444" s="38" t="str">
        <f t="shared" si="57"/>
        <v>PA</v>
      </c>
      <c r="BR444" s="38" t="str">
        <f t="shared" si="51"/>
        <v>S</v>
      </c>
      <c r="BS444" s="38" t="str">
        <f t="shared" si="52"/>
        <v>N</v>
      </c>
      <c r="BT444" s="38" t="str">
        <f t="shared" si="53"/>
        <v>Y</v>
      </c>
      <c r="BU444" s="38" t="str">
        <f t="shared" si="54"/>
        <v>N</v>
      </c>
      <c r="BV444" s="38" t="str">
        <f t="shared" si="55"/>
        <v>SlidingAlu-Gard Perforated AluminiumNot RequiredYes</v>
      </c>
      <c r="BW444" s="38" t="str">
        <f t="shared" si="56"/>
        <v>PASNYN</v>
      </c>
    </row>
    <row r="445" spans="64:75" ht="14.4">
      <c r="BL445" s="38" t="s">
        <v>232</v>
      </c>
      <c r="BM445" s="38" t="s">
        <v>220</v>
      </c>
      <c r="BN445" s="38" t="s">
        <v>410</v>
      </c>
      <c r="BO445" s="38" t="s">
        <v>306</v>
      </c>
      <c r="BQ445" s="38" t="str">
        <f t="shared" si="57"/>
        <v>PA</v>
      </c>
      <c r="BR445" s="38" t="str">
        <f t="shared" si="51"/>
        <v>ST</v>
      </c>
      <c r="BS445" s="38" t="str">
        <f t="shared" si="52"/>
        <v>N</v>
      </c>
      <c r="BT445" s="38" t="str">
        <f t="shared" si="53"/>
        <v>Y</v>
      </c>
      <c r="BU445" s="38" t="str">
        <f t="shared" si="54"/>
        <v>N</v>
      </c>
      <c r="BV445" s="38" t="str">
        <f t="shared" si="55"/>
        <v>StackerAlu-Gard Perforated AluminiumNot RequiredYes</v>
      </c>
      <c r="BW445" s="38" t="str">
        <f t="shared" si="56"/>
        <v>PASTNYN</v>
      </c>
    </row>
    <row r="446" spans="64:75" ht="14.4">
      <c r="BL446" s="38" t="s">
        <v>232</v>
      </c>
      <c r="BM446" s="38" t="s">
        <v>178</v>
      </c>
      <c r="BN446" s="38" t="s">
        <v>383</v>
      </c>
      <c r="BO446" s="38" t="s">
        <v>306</v>
      </c>
      <c r="BQ446" s="38" t="str">
        <f t="shared" si="57"/>
        <v>PA</v>
      </c>
      <c r="BR446" s="38" t="str">
        <f t="shared" si="51"/>
        <v>H</v>
      </c>
      <c r="BS446" s="38" t="str">
        <f t="shared" si="52"/>
        <v>D</v>
      </c>
      <c r="BT446" s="38" t="str">
        <f t="shared" si="53"/>
        <v>Y</v>
      </c>
      <c r="BU446" s="38" t="str">
        <f t="shared" si="54"/>
        <v>N</v>
      </c>
      <c r="BV446" s="38" t="str">
        <f t="shared" si="55"/>
        <v>HingedAlu-Gard Perforated AluminiumUltra Secua Digital Triple LockYes</v>
      </c>
      <c r="BW446" s="38" t="str">
        <f t="shared" si="56"/>
        <v>PAHDYN</v>
      </c>
    </row>
    <row r="447" spans="64:75" ht="14.4">
      <c r="BL447" s="38" t="s">
        <v>232</v>
      </c>
      <c r="BM447" s="38" t="s">
        <v>179</v>
      </c>
      <c r="BN447" s="38" t="s">
        <v>383</v>
      </c>
      <c r="BO447" s="38" t="s">
        <v>306</v>
      </c>
      <c r="BQ447" s="38" t="str">
        <f t="shared" si="57"/>
        <v>PA</v>
      </c>
      <c r="BR447" s="38" t="str">
        <f t="shared" si="51"/>
        <v>S</v>
      </c>
      <c r="BS447" s="38" t="str">
        <f t="shared" si="52"/>
        <v>D</v>
      </c>
      <c r="BT447" s="38" t="str">
        <f t="shared" si="53"/>
        <v>Y</v>
      </c>
      <c r="BU447" s="38" t="str">
        <f t="shared" si="54"/>
        <v>N</v>
      </c>
      <c r="BV447" s="38" t="str">
        <f t="shared" si="55"/>
        <v>SlidingAlu-Gard Perforated AluminiumUltra Secua Digital Triple LockYes</v>
      </c>
      <c r="BW447" s="38" t="str">
        <f t="shared" si="56"/>
        <v>PASDYN</v>
      </c>
    </row>
    <row r="448" spans="64:75" ht="14.4">
      <c r="BL448" s="38" t="s">
        <v>232</v>
      </c>
      <c r="BM448" s="38" t="s">
        <v>220</v>
      </c>
      <c r="BN448" s="38" t="s">
        <v>383</v>
      </c>
      <c r="BO448" s="38" t="s">
        <v>306</v>
      </c>
      <c r="BQ448" s="38" t="str">
        <f t="shared" si="57"/>
        <v>PA</v>
      </c>
      <c r="BR448" s="38" t="str">
        <f t="shared" si="51"/>
        <v>ST</v>
      </c>
      <c r="BS448" s="38" t="str">
        <f t="shared" si="52"/>
        <v>D</v>
      </c>
      <c r="BT448" s="38" t="str">
        <f t="shared" si="53"/>
        <v>Y</v>
      </c>
      <c r="BU448" s="38" t="str">
        <f t="shared" si="54"/>
        <v>N</v>
      </c>
      <c r="BV448" s="38" t="str">
        <f t="shared" si="55"/>
        <v>StackerAlu-Gard Perforated AluminiumUltra Secua Digital Triple LockYes</v>
      </c>
      <c r="BW448" s="38" t="str">
        <f t="shared" si="56"/>
        <v>PASTDYN</v>
      </c>
    </row>
    <row r="449" spans="64:75" ht="14.4">
      <c r="BL449" s="38" t="s">
        <v>232</v>
      </c>
      <c r="BM449" s="38" t="s">
        <v>178</v>
      </c>
      <c r="BN449" s="38" t="s">
        <v>284</v>
      </c>
      <c r="BO449" s="38" t="s">
        <v>306</v>
      </c>
      <c r="BQ449" s="38" t="str">
        <f t="shared" si="57"/>
        <v>PA</v>
      </c>
      <c r="BR449" s="38" t="str">
        <f t="shared" si="51"/>
        <v>H</v>
      </c>
      <c r="BS449" s="38" t="str">
        <f t="shared" si="52"/>
        <v>B</v>
      </c>
      <c r="BT449" s="38" t="str">
        <f t="shared" si="53"/>
        <v>Y</v>
      </c>
      <c r="BU449" s="38" t="str">
        <f t="shared" si="54"/>
        <v>N</v>
      </c>
      <c r="BV449" s="38" t="str">
        <f t="shared" si="55"/>
        <v>HingedAlu-Gard Perforated AluminiumBass LatchYes</v>
      </c>
      <c r="BW449" s="38" t="str">
        <f t="shared" si="56"/>
        <v>PAHBYN</v>
      </c>
    </row>
    <row r="450" spans="64:75" ht="14.4">
      <c r="BL450" s="38" t="s">
        <v>232</v>
      </c>
      <c r="BM450" s="38" t="s">
        <v>179</v>
      </c>
      <c r="BN450" s="38" t="s">
        <v>284</v>
      </c>
      <c r="BO450" s="38" t="s">
        <v>306</v>
      </c>
      <c r="BQ450" s="38" t="str">
        <f t="shared" si="57"/>
        <v>PA</v>
      </c>
      <c r="BR450" s="38" t="str">
        <f t="shared" si="58" ref="BR450:BR513">IF(BM450="Hinged","H",IF(BM450="Sliding","S",IF(BM450="Stacker","ST")))</f>
        <v>S</v>
      </c>
      <c r="BS450" s="38" t="str">
        <f t="shared" si="59" ref="BS450:BS513">IF(BN450="Single Lock","S",IF(BN450="Triple Lock","T",IF(BN450="Not Required","N",IF(BN450="Ultra Secua Digital Triple Lock","D",IF(BN450="Bass Latch","B")))))</f>
        <v>B</v>
      </c>
      <c r="BT450" s="38" t="str">
        <f t="shared" si="60" ref="BT450:BT513">IF(BO450="No","N",IF(BO450="Yes","Y",IF(BO450="Not Required","N",IF(BO450="Yes - Centre","Y"))))</f>
        <v>Y</v>
      </c>
      <c r="BU450" s="38" t="str">
        <f t="shared" si="61" ref="BU450:BU513">IF(BP450="","N",IF(BP450="Yes","Y"))</f>
        <v>N</v>
      </c>
      <c r="BV450" s="38" t="str">
        <f t="shared" si="62" ref="BV450:BV513">CONCATENATE(BM450,BL450,BN450,BO450,BP450,)</f>
        <v>SlidingAlu-Gard Perforated AluminiumBass LatchYes</v>
      </c>
      <c r="BW450" s="38" t="str">
        <f t="shared" si="63" ref="BW450:BW513">CONCATENATE(BQ450,BR450,BS450,BT450,BU450)</f>
        <v>PASBYN</v>
      </c>
    </row>
    <row r="451" spans="64:75" ht="14.4">
      <c r="BL451" s="38" t="s">
        <v>232</v>
      </c>
      <c r="BM451" s="38" t="s">
        <v>220</v>
      </c>
      <c r="BN451" s="38" t="s">
        <v>284</v>
      </c>
      <c r="BO451" s="38" t="s">
        <v>306</v>
      </c>
      <c r="BQ451" s="38" t="str">
        <f t="shared" si="64" ref="BQ451:BQ514">IF(BL451="Standard Diamond","SD",IF(BL451="Decorative Diamond","DD",IF(BL451="Privacy-Gard","PG",IF(BL451="Flyscreen","FW",IF(BL451="Woven Stainless Steel","SS",IF(BL451="Alu-Gard Perforated Aluminium","PA",IF(BL451="Invisi-Gard Woven Stainless Steel","IG")))))))</f>
        <v>PA</v>
      </c>
      <c r="BR451" s="38" t="str">
        <f t="shared" si="58"/>
        <v>ST</v>
      </c>
      <c r="BS451" s="38" t="str">
        <f t="shared" si="59"/>
        <v>B</v>
      </c>
      <c r="BT451" s="38" t="str">
        <f t="shared" si="60"/>
        <v>Y</v>
      </c>
      <c r="BU451" s="38" t="str">
        <f t="shared" si="61"/>
        <v>N</v>
      </c>
      <c r="BV451" s="38" t="str">
        <f t="shared" si="62"/>
        <v>StackerAlu-Gard Perforated AluminiumBass LatchYes</v>
      </c>
      <c r="BW451" s="38" t="str">
        <f t="shared" si="63"/>
        <v>PASTBYN</v>
      </c>
    </row>
    <row r="452" spans="64:75" ht="14.4">
      <c r="BL452" s="38" t="s">
        <v>233</v>
      </c>
      <c r="BM452" s="38" t="s">
        <v>178</v>
      </c>
      <c r="BN452" s="38" t="s">
        <v>279</v>
      </c>
      <c r="BO452" s="38" t="s">
        <v>147</v>
      </c>
      <c r="BP452" s="38" t="s">
        <v>306</v>
      </c>
      <c r="BQ452" s="38" t="str">
        <f t="shared" si="64"/>
        <v>IG</v>
      </c>
      <c r="BR452" s="38" t="str">
        <f t="shared" si="58"/>
        <v>H</v>
      </c>
      <c r="BS452" s="38" t="str">
        <f t="shared" si="59"/>
        <v>S</v>
      </c>
      <c r="BT452" s="38" t="str">
        <f t="shared" si="60"/>
        <v>N</v>
      </c>
      <c r="BU452" s="38" t="str">
        <f t="shared" si="61"/>
        <v>Y</v>
      </c>
      <c r="BV452" s="38" t="str">
        <f t="shared" si="62"/>
        <v>HingedInvisi-Gard Woven Stainless SteelSingle LockNoYes</v>
      </c>
      <c r="BW452" s="38" t="str">
        <f t="shared" si="63"/>
        <v>IGHSNY</v>
      </c>
    </row>
    <row r="453" spans="64:75" ht="14.4">
      <c r="BL453" s="38" t="s">
        <v>233</v>
      </c>
      <c r="BM453" s="38" t="s">
        <v>179</v>
      </c>
      <c r="BN453" s="38" t="s">
        <v>279</v>
      </c>
      <c r="BO453" s="38" t="s">
        <v>147</v>
      </c>
      <c r="BP453" s="38" t="s">
        <v>306</v>
      </c>
      <c r="BQ453" s="38" t="str">
        <f t="shared" si="64"/>
        <v>IG</v>
      </c>
      <c r="BR453" s="38" t="str">
        <f t="shared" si="58"/>
        <v>S</v>
      </c>
      <c r="BS453" s="38" t="str">
        <f t="shared" si="59"/>
        <v>S</v>
      </c>
      <c r="BT453" s="38" t="str">
        <f t="shared" si="60"/>
        <v>N</v>
      </c>
      <c r="BU453" s="38" t="str">
        <f t="shared" si="61"/>
        <v>Y</v>
      </c>
      <c r="BV453" s="38" t="str">
        <f t="shared" si="62"/>
        <v>SlidingInvisi-Gard Woven Stainless SteelSingle LockNoYes</v>
      </c>
      <c r="BW453" s="38" t="str">
        <f t="shared" si="63"/>
        <v>IGSSNY</v>
      </c>
    </row>
    <row r="454" spans="64:75" ht="14.4">
      <c r="BL454" s="38" t="s">
        <v>233</v>
      </c>
      <c r="BM454" s="38" t="s">
        <v>220</v>
      </c>
      <c r="BN454" s="38" t="s">
        <v>279</v>
      </c>
      <c r="BO454" s="38" t="s">
        <v>147</v>
      </c>
      <c r="BP454" s="38" t="s">
        <v>306</v>
      </c>
      <c r="BQ454" s="38" t="str">
        <f t="shared" si="64"/>
        <v>IG</v>
      </c>
      <c r="BR454" s="38" t="str">
        <f t="shared" si="58"/>
        <v>ST</v>
      </c>
      <c r="BS454" s="38" t="str">
        <f t="shared" si="59"/>
        <v>S</v>
      </c>
      <c r="BT454" s="38" t="str">
        <f t="shared" si="60"/>
        <v>N</v>
      </c>
      <c r="BU454" s="38" t="str">
        <f t="shared" si="61"/>
        <v>Y</v>
      </c>
      <c r="BV454" s="38" t="str">
        <f t="shared" si="62"/>
        <v>StackerInvisi-Gard Woven Stainless SteelSingle LockNoYes</v>
      </c>
      <c r="BW454" s="38" t="str">
        <f t="shared" si="63"/>
        <v>IGSTSNY</v>
      </c>
    </row>
    <row r="455" spans="64:75" ht="14.4">
      <c r="BL455" s="38" t="s">
        <v>233</v>
      </c>
      <c r="BM455" s="38" t="s">
        <v>178</v>
      </c>
      <c r="BN455" s="38" t="s">
        <v>275</v>
      </c>
      <c r="BO455" s="38" t="s">
        <v>147</v>
      </c>
      <c r="BP455" s="38" t="s">
        <v>306</v>
      </c>
      <c r="BQ455" s="38" t="str">
        <f t="shared" si="64"/>
        <v>IG</v>
      </c>
      <c r="BR455" s="38" t="str">
        <f t="shared" si="58"/>
        <v>H</v>
      </c>
      <c r="BS455" s="38" t="str">
        <f t="shared" si="59"/>
        <v>T</v>
      </c>
      <c r="BT455" s="38" t="str">
        <f t="shared" si="60"/>
        <v>N</v>
      </c>
      <c r="BU455" s="38" t="str">
        <f t="shared" si="61"/>
        <v>Y</v>
      </c>
      <c r="BV455" s="38" t="str">
        <f t="shared" si="62"/>
        <v>HingedInvisi-Gard Woven Stainless SteelTriple LockNoYes</v>
      </c>
      <c r="BW455" s="38" t="str">
        <f t="shared" si="63"/>
        <v>IGHTNY</v>
      </c>
    </row>
    <row r="456" spans="64:75" ht="14.4">
      <c r="BL456" s="38" t="s">
        <v>233</v>
      </c>
      <c r="BM456" s="38" t="s">
        <v>179</v>
      </c>
      <c r="BN456" s="38" t="s">
        <v>275</v>
      </c>
      <c r="BO456" s="38" t="s">
        <v>147</v>
      </c>
      <c r="BP456" s="38" t="s">
        <v>306</v>
      </c>
      <c r="BQ456" s="38" t="str">
        <f t="shared" si="64"/>
        <v>IG</v>
      </c>
      <c r="BR456" s="38" t="str">
        <f t="shared" si="58"/>
        <v>S</v>
      </c>
      <c r="BS456" s="38" t="str">
        <f t="shared" si="59"/>
        <v>T</v>
      </c>
      <c r="BT456" s="38" t="str">
        <f t="shared" si="60"/>
        <v>N</v>
      </c>
      <c r="BU456" s="38" t="str">
        <f t="shared" si="61"/>
        <v>Y</v>
      </c>
      <c r="BV456" s="38" t="str">
        <f t="shared" si="62"/>
        <v>SlidingInvisi-Gard Woven Stainless SteelTriple LockNoYes</v>
      </c>
      <c r="BW456" s="38" t="str">
        <f t="shared" si="63"/>
        <v>IGSTNY</v>
      </c>
    </row>
    <row r="457" spans="64:75" ht="14.4">
      <c r="BL457" s="38" t="s">
        <v>233</v>
      </c>
      <c r="BM457" s="38" t="s">
        <v>220</v>
      </c>
      <c r="BN457" s="38" t="s">
        <v>275</v>
      </c>
      <c r="BO457" s="38" t="s">
        <v>147</v>
      </c>
      <c r="BP457" s="38" t="s">
        <v>306</v>
      </c>
      <c r="BQ457" s="38" t="str">
        <f t="shared" si="64"/>
        <v>IG</v>
      </c>
      <c r="BR457" s="38" t="str">
        <f t="shared" si="58"/>
        <v>ST</v>
      </c>
      <c r="BS457" s="38" t="str">
        <f t="shared" si="59"/>
        <v>T</v>
      </c>
      <c r="BT457" s="38" t="str">
        <f t="shared" si="60"/>
        <v>N</v>
      </c>
      <c r="BU457" s="38" t="str">
        <f t="shared" si="61"/>
        <v>Y</v>
      </c>
      <c r="BV457" s="38" t="str">
        <f t="shared" si="62"/>
        <v>StackerInvisi-Gard Woven Stainless SteelTriple LockNoYes</v>
      </c>
      <c r="BW457" s="38" t="str">
        <f t="shared" si="63"/>
        <v>IGSTTNY</v>
      </c>
    </row>
    <row r="458" spans="64:75" ht="14.4">
      <c r="BL458" s="38" t="s">
        <v>233</v>
      </c>
      <c r="BM458" s="38" t="s">
        <v>178</v>
      </c>
      <c r="BN458" s="38" t="s">
        <v>410</v>
      </c>
      <c r="BO458" s="38" t="s">
        <v>147</v>
      </c>
      <c r="BP458" s="38" t="s">
        <v>306</v>
      </c>
      <c r="BQ458" s="38" t="str">
        <f t="shared" si="64"/>
        <v>IG</v>
      </c>
      <c r="BR458" s="38" t="str">
        <f t="shared" si="58"/>
        <v>H</v>
      </c>
      <c r="BS458" s="38" t="str">
        <f t="shared" si="59"/>
        <v>N</v>
      </c>
      <c r="BT458" s="38" t="str">
        <f t="shared" si="60"/>
        <v>N</v>
      </c>
      <c r="BU458" s="38" t="str">
        <f t="shared" si="61"/>
        <v>Y</v>
      </c>
      <c r="BV458" s="38" t="str">
        <f t="shared" si="62"/>
        <v>HingedInvisi-Gard Woven Stainless SteelNot RequiredNoYes</v>
      </c>
      <c r="BW458" s="38" t="str">
        <f t="shared" si="63"/>
        <v>IGHNNY</v>
      </c>
    </row>
    <row r="459" spans="64:75" ht="14.4">
      <c r="BL459" s="38" t="s">
        <v>233</v>
      </c>
      <c r="BM459" s="38" t="s">
        <v>179</v>
      </c>
      <c r="BN459" s="38" t="s">
        <v>410</v>
      </c>
      <c r="BO459" s="38" t="s">
        <v>147</v>
      </c>
      <c r="BP459" s="38" t="s">
        <v>306</v>
      </c>
      <c r="BQ459" s="38" t="str">
        <f t="shared" si="64"/>
        <v>IG</v>
      </c>
      <c r="BR459" s="38" t="str">
        <f t="shared" si="58"/>
        <v>S</v>
      </c>
      <c r="BS459" s="38" t="str">
        <f t="shared" si="59"/>
        <v>N</v>
      </c>
      <c r="BT459" s="38" t="str">
        <f t="shared" si="60"/>
        <v>N</v>
      </c>
      <c r="BU459" s="38" t="str">
        <f t="shared" si="61"/>
        <v>Y</v>
      </c>
      <c r="BV459" s="38" t="str">
        <f t="shared" si="62"/>
        <v>SlidingInvisi-Gard Woven Stainless SteelNot RequiredNoYes</v>
      </c>
      <c r="BW459" s="38" t="str">
        <f t="shared" si="63"/>
        <v>IGSNNY</v>
      </c>
    </row>
    <row r="460" spans="64:75" ht="14.4">
      <c r="BL460" s="38" t="s">
        <v>233</v>
      </c>
      <c r="BM460" s="38" t="s">
        <v>220</v>
      </c>
      <c r="BN460" s="38" t="s">
        <v>410</v>
      </c>
      <c r="BO460" s="38" t="s">
        <v>147</v>
      </c>
      <c r="BP460" s="38" t="s">
        <v>306</v>
      </c>
      <c r="BQ460" s="38" t="str">
        <f t="shared" si="64"/>
        <v>IG</v>
      </c>
      <c r="BR460" s="38" t="str">
        <f t="shared" si="58"/>
        <v>ST</v>
      </c>
      <c r="BS460" s="38" t="str">
        <f t="shared" si="59"/>
        <v>N</v>
      </c>
      <c r="BT460" s="38" t="str">
        <f t="shared" si="60"/>
        <v>N</v>
      </c>
      <c r="BU460" s="38" t="str">
        <f t="shared" si="61"/>
        <v>Y</v>
      </c>
      <c r="BV460" s="38" t="str">
        <f t="shared" si="62"/>
        <v>StackerInvisi-Gard Woven Stainless SteelNot RequiredNoYes</v>
      </c>
      <c r="BW460" s="38" t="str">
        <f t="shared" si="63"/>
        <v>IGSTNNY</v>
      </c>
    </row>
    <row r="461" spans="64:75" ht="14.4">
      <c r="BL461" s="38" t="s">
        <v>233</v>
      </c>
      <c r="BM461" s="38" t="s">
        <v>178</v>
      </c>
      <c r="BN461" s="38" t="s">
        <v>383</v>
      </c>
      <c r="BO461" s="38" t="s">
        <v>147</v>
      </c>
      <c r="BP461" s="38" t="s">
        <v>306</v>
      </c>
      <c r="BQ461" s="38" t="str">
        <f t="shared" si="64"/>
        <v>IG</v>
      </c>
      <c r="BR461" s="38" t="str">
        <f t="shared" si="58"/>
        <v>H</v>
      </c>
      <c r="BS461" s="38" t="str">
        <f t="shared" si="59"/>
        <v>D</v>
      </c>
      <c r="BT461" s="38" t="str">
        <f t="shared" si="60"/>
        <v>N</v>
      </c>
      <c r="BU461" s="38" t="str">
        <f t="shared" si="61"/>
        <v>Y</v>
      </c>
      <c r="BV461" s="38" t="str">
        <f t="shared" si="62"/>
        <v>HingedInvisi-Gard Woven Stainless SteelUltra Secua Digital Triple LockNoYes</v>
      </c>
      <c r="BW461" s="38" t="str">
        <f t="shared" si="63"/>
        <v>IGHDNY</v>
      </c>
    </row>
    <row r="462" spans="64:75" ht="14.4">
      <c r="BL462" s="38" t="s">
        <v>233</v>
      </c>
      <c r="BM462" s="38" t="s">
        <v>179</v>
      </c>
      <c r="BN462" s="38" t="s">
        <v>383</v>
      </c>
      <c r="BO462" s="38" t="s">
        <v>147</v>
      </c>
      <c r="BP462" s="38" t="s">
        <v>306</v>
      </c>
      <c r="BQ462" s="38" t="str">
        <f t="shared" si="64"/>
        <v>IG</v>
      </c>
      <c r="BR462" s="38" t="str">
        <f t="shared" si="58"/>
        <v>S</v>
      </c>
      <c r="BS462" s="38" t="str">
        <f t="shared" si="59"/>
        <v>D</v>
      </c>
      <c r="BT462" s="38" t="str">
        <f t="shared" si="60"/>
        <v>N</v>
      </c>
      <c r="BU462" s="38" t="str">
        <f t="shared" si="61"/>
        <v>Y</v>
      </c>
      <c r="BV462" s="38" t="str">
        <f t="shared" si="62"/>
        <v>SlidingInvisi-Gard Woven Stainless SteelUltra Secua Digital Triple LockNoYes</v>
      </c>
      <c r="BW462" s="38" t="str">
        <f t="shared" si="63"/>
        <v>IGSDNY</v>
      </c>
    </row>
    <row r="463" spans="64:75" ht="14.4">
      <c r="BL463" s="38" t="s">
        <v>233</v>
      </c>
      <c r="BM463" s="38" t="s">
        <v>220</v>
      </c>
      <c r="BN463" s="38" t="s">
        <v>383</v>
      </c>
      <c r="BO463" s="38" t="s">
        <v>147</v>
      </c>
      <c r="BP463" s="38" t="s">
        <v>306</v>
      </c>
      <c r="BQ463" s="38" t="str">
        <f t="shared" si="64"/>
        <v>IG</v>
      </c>
      <c r="BR463" s="38" t="str">
        <f t="shared" si="58"/>
        <v>ST</v>
      </c>
      <c r="BS463" s="38" t="str">
        <f t="shared" si="59"/>
        <v>D</v>
      </c>
      <c r="BT463" s="38" t="str">
        <f t="shared" si="60"/>
        <v>N</v>
      </c>
      <c r="BU463" s="38" t="str">
        <f t="shared" si="61"/>
        <v>Y</v>
      </c>
      <c r="BV463" s="38" t="str">
        <f t="shared" si="62"/>
        <v>StackerInvisi-Gard Woven Stainless SteelUltra Secua Digital Triple LockNoYes</v>
      </c>
      <c r="BW463" s="38" t="str">
        <f t="shared" si="63"/>
        <v>IGSTDNY</v>
      </c>
    </row>
    <row r="464" spans="64:75" ht="14.4">
      <c r="BL464" s="38" t="s">
        <v>233</v>
      </c>
      <c r="BM464" s="38" t="s">
        <v>178</v>
      </c>
      <c r="BN464" s="38" t="s">
        <v>284</v>
      </c>
      <c r="BO464" s="38" t="s">
        <v>147</v>
      </c>
      <c r="BP464" s="38" t="s">
        <v>306</v>
      </c>
      <c r="BQ464" s="38" t="str">
        <f t="shared" si="64"/>
        <v>IG</v>
      </c>
      <c r="BR464" s="38" t="str">
        <f t="shared" si="58"/>
        <v>H</v>
      </c>
      <c r="BS464" s="38" t="str">
        <f t="shared" si="59"/>
        <v>B</v>
      </c>
      <c r="BT464" s="38" t="str">
        <f t="shared" si="60"/>
        <v>N</v>
      </c>
      <c r="BU464" s="38" t="str">
        <f t="shared" si="61"/>
        <v>Y</v>
      </c>
      <c r="BV464" s="38" t="str">
        <f t="shared" si="62"/>
        <v>HingedInvisi-Gard Woven Stainless SteelBass LatchNoYes</v>
      </c>
      <c r="BW464" s="38" t="str">
        <f t="shared" si="63"/>
        <v>IGHBNY</v>
      </c>
    </row>
    <row r="465" spans="64:75" ht="14.4">
      <c r="BL465" s="38" t="s">
        <v>233</v>
      </c>
      <c r="BM465" s="38" t="s">
        <v>179</v>
      </c>
      <c r="BN465" s="38" t="s">
        <v>284</v>
      </c>
      <c r="BO465" s="38" t="s">
        <v>147</v>
      </c>
      <c r="BP465" s="38" t="s">
        <v>306</v>
      </c>
      <c r="BQ465" s="38" t="str">
        <f t="shared" si="64"/>
        <v>IG</v>
      </c>
      <c r="BR465" s="38" t="str">
        <f t="shared" si="58"/>
        <v>S</v>
      </c>
      <c r="BS465" s="38" t="str">
        <f t="shared" si="59"/>
        <v>B</v>
      </c>
      <c r="BT465" s="38" t="str">
        <f t="shared" si="60"/>
        <v>N</v>
      </c>
      <c r="BU465" s="38" t="str">
        <f t="shared" si="61"/>
        <v>Y</v>
      </c>
      <c r="BV465" s="38" t="str">
        <f t="shared" si="62"/>
        <v>SlidingInvisi-Gard Woven Stainless SteelBass LatchNoYes</v>
      </c>
      <c r="BW465" s="38" t="str">
        <f t="shared" si="63"/>
        <v>IGSBNY</v>
      </c>
    </row>
    <row r="466" spans="64:75" ht="14.4">
      <c r="BL466" s="38" t="s">
        <v>233</v>
      </c>
      <c r="BM466" s="38" t="s">
        <v>220</v>
      </c>
      <c r="BN466" s="38" t="s">
        <v>284</v>
      </c>
      <c r="BO466" s="38" t="s">
        <v>147</v>
      </c>
      <c r="BP466" s="38" t="s">
        <v>306</v>
      </c>
      <c r="BQ466" s="38" t="str">
        <f t="shared" si="64"/>
        <v>IG</v>
      </c>
      <c r="BR466" s="38" t="str">
        <f t="shared" si="58"/>
        <v>ST</v>
      </c>
      <c r="BS466" s="38" t="str">
        <f t="shared" si="59"/>
        <v>B</v>
      </c>
      <c r="BT466" s="38" t="str">
        <f t="shared" si="60"/>
        <v>N</v>
      </c>
      <c r="BU466" s="38" t="str">
        <f t="shared" si="61"/>
        <v>Y</v>
      </c>
      <c r="BV466" s="38" t="str">
        <f t="shared" si="62"/>
        <v>StackerInvisi-Gard Woven Stainless SteelBass LatchNoYes</v>
      </c>
      <c r="BW466" s="38" t="str">
        <f t="shared" si="63"/>
        <v>IGSTBNY</v>
      </c>
    </row>
    <row r="467" spans="64:75" ht="14.4">
      <c r="BL467" s="38" t="s">
        <v>233</v>
      </c>
      <c r="BM467" s="38" t="s">
        <v>178</v>
      </c>
      <c r="BN467" s="38" t="s">
        <v>279</v>
      </c>
      <c r="BO467" s="38" t="s">
        <v>411</v>
      </c>
      <c r="BP467" s="38" t="s">
        <v>306</v>
      </c>
      <c r="BQ467" s="38" t="str">
        <f t="shared" si="64"/>
        <v>IG</v>
      </c>
      <c r="BR467" s="38" t="str">
        <f t="shared" si="58"/>
        <v>H</v>
      </c>
      <c r="BS467" s="38" t="str">
        <f t="shared" si="59"/>
        <v>S</v>
      </c>
      <c r="BT467" s="38" t="str">
        <f t="shared" si="60"/>
        <v>Y</v>
      </c>
      <c r="BU467" s="38" t="str">
        <f t="shared" si="61"/>
        <v>Y</v>
      </c>
      <c r="BV467" s="38" t="str">
        <f t="shared" si="62"/>
        <v>HingedInvisi-Gard Woven Stainless SteelSingle LockYes - CentreYes</v>
      </c>
      <c r="BW467" s="38" t="str">
        <f t="shared" si="63"/>
        <v>IGHSYY</v>
      </c>
    </row>
    <row r="468" spans="64:75" ht="14.4">
      <c r="BL468" s="38" t="s">
        <v>233</v>
      </c>
      <c r="BM468" s="38" t="s">
        <v>179</v>
      </c>
      <c r="BN468" s="38" t="s">
        <v>279</v>
      </c>
      <c r="BO468" s="38" t="s">
        <v>411</v>
      </c>
      <c r="BP468" s="38" t="s">
        <v>306</v>
      </c>
      <c r="BQ468" s="38" t="str">
        <f t="shared" si="64"/>
        <v>IG</v>
      </c>
      <c r="BR468" s="38" t="str">
        <f t="shared" si="58"/>
        <v>S</v>
      </c>
      <c r="BS468" s="38" t="str">
        <f t="shared" si="59"/>
        <v>S</v>
      </c>
      <c r="BT468" s="38" t="str">
        <f t="shared" si="60"/>
        <v>Y</v>
      </c>
      <c r="BU468" s="38" t="str">
        <f t="shared" si="61"/>
        <v>Y</v>
      </c>
      <c r="BV468" s="38" t="str">
        <f t="shared" si="62"/>
        <v>SlidingInvisi-Gard Woven Stainless SteelSingle LockYes - CentreYes</v>
      </c>
      <c r="BW468" s="38" t="str">
        <f t="shared" si="63"/>
        <v>IGSSYY</v>
      </c>
    </row>
    <row r="469" spans="64:75" ht="14.4">
      <c r="BL469" s="38" t="s">
        <v>233</v>
      </c>
      <c r="BM469" s="38" t="s">
        <v>220</v>
      </c>
      <c r="BN469" s="38" t="s">
        <v>279</v>
      </c>
      <c r="BO469" s="38" t="s">
        <v>411</v>
      </c>
      <c r="BP469" s="38" t="s">
        <v>306</v>
      </c>
      <c r="BQ469" s="38" t="str">
        <f t="shared" si="64"/>
        <v>IG</v>
      </c>
      <c r="BR469" s="38" t="str">
        <f t="shared" si="58"/>
        <v>ST</v>
      </c>
      <c r="BS469" s="38" t="str">
        <f t="shared" si="59"/>
        <v>S</v>
      </c>
      <c r="BT469" s="38" t="str">
        <f t="shared" si="60"/>
        <v>Y</v>
      </c>
      <c r="BU469" s="38" t="str">
        <f t="shared" si="61"/>
        <v>Y</v>
      </c>
      <c r="BV469" s="38" t="str">
        <f t="shared" si="62"/>
        <v>StackerInvisi-Gard Woven Stainless SteelSingle LockYes - CentreYes</v>
      </c>
      <c r="BW469" s="38" t="str">
        <f t="shared" si="63"/>
        <v>IGSTSYY</v>
      </c>
    </row>
    <row r="470" spans="64:75" ht="14.4">
      <c r="BL470" s="38" t="s">
        <v>233</v>
      </c>
      <c r="BM470" s="38" t="s">
        <v>178</v>
      </c>
      <c r="BN470" s="38" t="s">
        <v>275</v>
      </c>
      <c r="BO470" s="38" t="s">
        <v>411</v>
      </c>
      <c r="BP470" s="38" t="s">
        <v>306</v>
      </c>
      <c r="BQ470" s="38" t="str">
        <f t="shared" si="64"/>
        <v>IG</v>
      </c>
      <c r="BR470" s="38" t="str">
        <f t="shared" si="58"/>
        <v>H</v>
      </c>
      <c r="BS470" s="38" t="str">
        <f t="shared" si="59"/>
        <v>T</v>
      </c>
      <c r="BT470" s="38" t="str">
        <f t="shared" si="60"/>
        <v>Y</v>
      </c>
      <c r="BU470" s="38" t="str">
        <f t="shared" si="61"/>
        <v>Y</v>
      </c>
      <c r="BV470" s="38" t="str">
        <f t="shared" si="62"/>
        <v>HingedInvisi-Gard Woven Stainless SteelTriple LockYes - CentreYes</v>
      </c>
      <c r="BW470" s="38" t="str">
        <f t="shared" si="63"/>
        <v>IGHTYY</v>
      </c>
    </row>
    <row r="471" spans="64:75" ht="14.4">
      <c r="BL471" s="38" t="s">
        <v>233</v>
      </c>
      <c r="BM471" s="38" t="s">
        <v>179</v>
      </c>
      <c r="BN471" s="38" t="s">
        <v>275</v>
      </c>
      <c r="BO471" s="38" t="s">
        <v>411</v>
      </c>
      <c r="BP471" s="38" t="s">
        <v>306</v>
      </c>
      <c r="BQ471" s="38" t="str">
        <f t="shared" si="64"/>
        <v>IG</v>
      </c>
      <c r="BR471" s="38" t="str">
        <f t="shared" si="58"/>
        <v>S</v>
      </c>
      <c r="BS471" s="38" t="str">
        <f t="shared" si="59"/>
        <v>T</v>
      </c>
      <c r="BT471" s="38" t="str">
        <f t="shared" si="60"/>
        <v>Y</v>
      </c>
      <c r="BU471" s="38" t="str">
        <f t="shared" si="61"/>
        <v>Y</v>
      </c>
      <c r="BV471" s="38" t="str">
        <f t="shared" si="62"/>
        <v>SlidingInvisi-Gard Woven Stainless SteelTriple LockYes - CentreYes</v>
      </c>
      <c r="BW471" s="38" t="str">
        <f t="shared" si="63"/>
        <v>IGSTYY</v>
      </c>
    </row>
    <row r="472" spans="64:75" ht="14.4">
      <c r="BL472" s="38" t="s">
        <v>233</v>
      </c>
      <c r="BM472" s="38" t="s">
        <v>220</v>
      </c>
      <c r="BN472" s="38" t="s">
        <v>275</v>
      </c>
      <c r="BO472" s="38" t="s">
        <v>411</v>
      </c>
      <c r="BP472" s="38" t="s">
        <v>306</v>
      </c>
      <c r="BQ472" s="38" t="str">
        <f t="shared" si="64"/>
        <v>IG</v>
      </c>
      <c r="BR472" s="38" t="str">
        <f t="shared" si="58"/>
        <v>ST</v>
      </c>
      <c r="BS472" s="38" t="str">
        <f t="shared" si="59"/>
        <v>T</v>
      </c>
      <c r="BT472" s="38" t="str">
        <f t="shared" si="60"/>
        <v>Y</v>
      </c>
      <c r="BU472" s="38" t="str">
        <f t="shared" si="61"/>
        <v>Y</v>
      </c>
      <c r="BV472" s="38" t="str">
        <f t="shared" si="62"/>
        <v>StackerInvisi-Gard Woven Stainless SteelTriple LockYes - CentreYes</v>
      </c>
      <c r="BW472" s="38" t="str">
        <f t="shared" si="63"/>
        <v>IGSTTYY</v>
      </c>
    </row>
    <row r="473" spans="64:75" ht="14.4">
      <c r="BL473" s="38" t="s">
        <v>233</v>
      </c>
      <c r="BM473" s="38" t="s">
        <v>178</v>
      </c>
      <c r="BN473" s="38" t="s">
        <v>410</v>
      </c>
      <c r="BO473" s="38" t="s">
        <v>411</v>
      </c>
      <c r="BP473" s="38" t="s">
        <v>306</v>
      </c>
      <c r="BQ473" s="38" t="str">
        <f t="shared" si="64"/>
        <v>IG</v>
      </c>
      <c r="BR473" s="38" t="str">
        <f t="shared" si="58"/>
        <v>H</v>
      </c>
      <c r="BS473" s="38" t="str">
        <f t="shared" si="59"/>
        <v>N</v>
      </c>
      <c r="BT473" s="38" t="str">
        <f t="shared" si="60"/>
        <v>Y</v>
      </c>
      <c r="BU473" s="38" t="str">
        <f t="shared" si="61"/>
        <v>Y</v>
      </c>
      <c r="BV473" s="38" t="str">
        <f t="shared" si="62"/>
        <v>HingedInvisi-Gard Woven Stainless SteelNot RequiredYes - CentreYes</v>
      </c>
      <c r="BW473" s="38" t="str">
        <f t="shared" si="63"/>
        <v>IGHNYY</v>
      </c>
    </row>
    <row r="474" spans="64:75" ht="14.4">
      <c r="BL474" s="38" t="s">
        <v>233</v>
      </c>
      <c r="BM474" s="38" t="s">
        <v>179</v>
      </c>
      <c r="BN474" s="38" t="s">
        <v>410</v>
      </c>
      <c r="BO474" s="38" t="s">
        <v>411</v>
      </c>
      <c r="BP474" s="38" t="s">
        <v>306</v>
      </c>
      <c r="BQ474" s="38" t="str">
        <f t="shared" si="64"/>
        <v>IG</v>
      </c>
      <c r="BR474" s="38" t="str">
        <f t="shared" si="58"/>
        <v>S</v>
      </c>
      <c r="BS474" s="38" t="str">
        <f t="shared" si="59"/>
        <v>N</v>
      </c>
      <c r="BT474" s="38" t="str">
        <f t="shared" si="60"/>
        <v>Y</v>
      </c>
      <c r="BU474" s="38" t="str">
        <f t="shared" si="61"/>
        <v>Y</v>
      </c>
      <c r="BV474" s="38" t="str">
        <f t="shared" si="62"/>
        <v>SlidingInvisi-Gard Woven Stainless SteelNot RequiredYes - CentreYes</v>
      </c>
      <c r="BW474" s="38" t="str">
        <f t="shared" si="63"/>
        <v>IGSNYY</v>
      </c>
    </row>
    <row r="475" spans="64:75" ht="14.4">
      <c r="BL475" s="38" t="s">
        <v>233</v>
      </c>
      <c r="BM475" s="38" t="s">
        <v>220</v>
      </c>
      <c r="BN475" s="38" t="s">
        <v>410</v>
      </c>
      <c r="BO475" s="38" t="s">
        <v>411</v>
      </c>
      <c r="BP475" s="38" t="s">
        <v>306</v>
      </c>
      <c r="BQ475" s="38" t="str">
        <f t="shared" si="64"/>
        <v>IG</v>
      </c>
      <c r="BR475" s="38" t="str">
        <f t="shared" si="58"/>
        <v>ST</v>
      </c>
      <c r="BS475" s="38" t="str">
        <f t="shared" si="59"/>
        <v>N</v>
      </c>
      <c r="BT475" s="38" t="str">
        <f t="shared" si="60"/>
        <v>Y</v>
      </c>
      <c r="BU475" s="38" t="str">
        <f t="shared" si="61"/>
        <v>Y</v>
      </c>
      <c r="BV475" s="38" t="str">
        <f t="shared" si="62"/>
        <v>StackerInvisi-Gard Woven Stainless SteelNot RequiredYes - CentreYes</v>
      </c>
      <c r="BW475" s="38" t="str">
        <f t="shared" si="63"/>
        <v>IGSTNYY</v>
      </c>
    </row>
    <row r="476" spans="64:75" ht="14.4">
      <c r="BL476" s="38" t="s">
        <v>233</v>
      </c>
      <c r="BM476" s="38" t="s">
        <v>178</v>
      </c>
      <c r="BN476" s="38" t="s">
        <v>383</v>
      </c>
      <c r="BO476" s="38" t="s">
        <v>411</v>
      </c>
      <c r="BP476" s="38" t="s">
        <v>306</v>
      </c>
      <c r="BQ476" s="38" t="str">
        <f t="shared" si="64"/>
        <v>IG</v>
      </c>
      <c r="BR476" s="38" t="str">
        <f t="shared" si="58"/>
        <v>H</v>
      </c>
      <c r="BS476" s="38" t="str">
        <f t="shared" si="59"/>
        <v>D</v>
      </c>
      <c r="BT476" s="38" t="str">
        <f t="shared" si="60"/>
        <v>Y</v>
      </c>
      <c r="BU476" s="38" t="str">
        <f t="shared" si="61"/>
        <v>Y</v>
      </c>
      <c r="BV476" s="38" t="str">
        <f t="shared" si="62"/>
        <v>HingedInvisi-Gard Woven Stainless SteelUltra Secua Digital Triple LockYes - CentreYes</v>
      </c>
      <c r="BW476" s="38" t="str">
        <f t="shared" si="63"/>
        <v>IGHDYY</v>
      </c>
    </row>
    <row r="477" spans="64:75" ht="14.4">
      <c r="BL477" s="38" t="s">
        <v>233</v>
      </c>
      <c r="BM477" s="38" t="s">
        <v>179</v>
      </c>
      <c r="BN477" s="38" t="s">
        <v>383</v>
      </c>
      <c r="BO477" s="38" t="s">
        <v>411</v>
      </c>
      <c r="BP477" s="38" t="s">
        <v>306</v>
      </c>
      <c r="BQ477" s="38" t="str">
        <f t="shared" si="64"/>
        <v>IG</v>
      </c>
      <c r="BR477" s="38" t="str">
        <f t="shared" si="58"/>
        <v>S</v>
      </c>
      <c r="BS477" s="38" t="str">
        <f t="shared" si="59"/>
        <v>D</v>
      </c>
      <c r="BT477" s="38" t="str">
        <f t="shared" si="60"/>
        <v>Y</v>
      </c>
      <c r="BU477" s="38" t="str">
        <f t="shared" si="61"/>
        <v>Y</v>
      </c>
      <c r="BV477" s="38" t="str">
        <f t="shared" si="62"/>
        <v>SlidingInvisi-Gard Woven Stainless SteelUltra Secua Digital Triple LockYes - CentreYes</v>
      </c>
      <c r="BW477" s="38" t="str">
        <f t="shared" si="63"/>
        <v>IGSDYY</v>
      </c>
    </row>
    <row r="478" spans="64:75" ht="14.4">
      <c r="BL478" s="38" t="s">
        <v>233</v>
      </c>
      <c r="BM478" s="38" t="s">
        <v>220</v>
      </c>
      <c r="BN478" s="38" t="s">
        <v>383</v>
      </c>
      <c r="BO478" s="38" t="s">
        <v>411</v>
      </c>
      <c r="BP478" s="38" t="s">
        <v>306</v>
      </c>
      <c r="BQ478" s="38" t="str">
        <f t="shared" si="64"/>
        <v>IG</v>
      </c>
      <c r="BR478" s="38" t="str">
        <f t="shared" si="58"/>
        <v>ST</v>
      </c>
      <c r="BS478" s="38" t="str">
        <f t="shared" si="59"/>
        <v>D</v>
      </c>
      <c r="BT478" s="38" t="str">
        <f t="shared" si="60"/>
        <v>Y</v>
      </c>
      <c r="BU478" s="38" t="str">
        <f t="shared" si="61"/>
        <v>Y</v>
      </c>
      <c r="BV478" s="38" t="str">
        <f t="shared" si="62"/>
        <v>StackerInvisi-Gard Woven Stainless SteelUltra Secua Digital Triple LockYes - CentreYes</v>
      </c>
      <c r="BW478" s="38" t="str">
        <f t="shared" si="63"/>
        <v>IGSTDYY</v>
      </c>
    </row>
    <row r="479" spans="64:75" ht="14.4">
      <c r="BL479" s="38" t="s">
        <v>233</v>
      </c>
      <c r="BM479" s="38" t="s">
        <v>178</v>
      </c>
      <c r="BN479" s="38" t="s">
        <v>284</v>
      </c>
      <c r="BO479" s="38" t="s">
        <v>411</v>
      </c>
      <c r="BP479" s="38" t="s">
        <v>306</v>
      </c>
      <c r="BQ479" s="38" t="str">
        <f t="shared" si="64"/>
        <v>IG</v>
      </c>
      <c r="BR479" s="38" t="str">
        <f t="shared" si="58"/>
        <v>H</v>
      </c>
      <c r="BS479" s="38" t="str">
        <f t="shared" si="59"/>
        <v>B</v>
      </c>
      <c r="BT479" s="38" t="str">
        <f t="shared" si="60"/>
        <v>Y</v>
      </c>
      <c r="BU479" s="38" t="str">
        <f t="shared" si="61"/>
        <v>Y</v>
      </c>
      <c r="BV479" s="38" t="str">
        <f t="shared" si="62"/>
        <v>HingedInvisi-Gard Woven Stainless SteelBass LatchYes - CentreYes</v>
      </c>
      <c r="BW479" s="38" t="str">
        <f t="shared" si="63"/>
        <v>IGHBYY</v>
      </c>
    </row>
    <row r="480" spans="64:75" ht="14.4">
      <c r="BL480" s="38" t="s">
        <v>233</v>
      </c>
      <c r="BM480" s="38" t="s">
        <v>179</v>
      </c>
      <c r="BN480" s="38" t="s">
        <v>284</v>
      </c>
      <c r="BO480" s="38" t="s">
        <v>411</v>
      </c>
      <c r="BP480" s="38" t="s">
        <v>306</v>
      </c>
      <c r="BQ480" s="38" t="str">
        <f t="shared" si="64"/>
        <v>IG</v>
      </c>
      <c r="BR480" s="38" t="str">
        <f t="shared" si="58"/>
        <v>S</v>
      </c>
      <c r="BS480" s="38" t="str">
        <f t="shared" si="59"/>
        <v>B</v>
      </c>
      <c r="BT480" s="38" t="str">
        <f t="shared" si="60"/>
        <v>Y</v>
      </c>
      <c r="BU480" s="38" t="str">
        <f t="shared" si="61"/>
        <v>Y</v>
      </c>
      <c r="BV480" s="38" t="str">
        <f t="shared" si="62"/>
        <v>SlidingInvisi-Gard Woven Stainless SteelBass LatchYes - CentreYes</v>
      </c>
      <c r="BW480" s="38" t="str">
        <f t="shared" si="63"/>
        <v>IGSBYY</v>
      </c>
    </row>
    <row r="481" spans="64:75" ht="14.4">
      <c r="BL481" s="38" t="s">
        <v>233</v>
      </c>
      <c r="BM481" s="38" t="s">
        <v>220</v>
      </c>
      <c r="BN481" s="38" t="s">
        <v>284</v>
      </c>
      <c r="BO481" s="38" t="s">
        <v>411</v>
      </c>
      <c r="BP481" s="38" t="s">
        <v>306</v>
      </c>
      <c r="BQ481" s="38" t="str">
        <f t="shared" si="64"/>
        <v>IG</v>
      </c>
      <c r="BR481" s="38" t="str">
        <f t="shared" si="58"/>
        <v>ST</v>
      </c>
      <c r="BS481" s="38" t="str">
        <f t="shared" si="59"/>
        <v>B</v>
      </c>
      <c r="BT481" s="38" t="str">
        <f t="shared" si="60"/>
        <v>Y</v>
      </c>
      <c r="BU481" s="38" t="str">
        <f t="shared" si="61"/>
        <v>Y</v>
      </c>
      <c r="BV481" s="38" t="str">
        <f t="shared" si="62"/>
        <v>StackerInvisi-Gard Woven Stainless SteelBass LatchYes - CentreYes</v>
      </c>
      <c r="BW481" s="38" t="str">
        <f t="shared" si="63"/>
        <v>IGSTBYY</v>
      </c>
    </row>
    <row r="482" spans="64:75" ht="14.4">
      <c r="BL482" s="38" t="s">
        <v>233</v>
      </c>
      <c r="BM482" s="38" t="s">
        <v>178</v>
      </c>
      <c r="BN482" s="38" t="s">
        <v>279</v>
      </c>
      <c r="BO482" s="38" t="s">
        <v>306</v>
      </c>
      <c r="BP482" s="38" t="s">
        <v>306</v>
      </c>
      <c r="BQ482" s="38" t="str">
        <f t="shared" si="64"/>
        <v>IG</v>
      </c>
      <c r="BR482" s="38" t="str">
        <f t="shared" si="58"/>
        <v>H</v>
      </c>
      <c r="BS482" s="38" t="str">
        <f t="shared" si="59"/>
        <v>S</v>
      </c>
      <c r="BT482" s="38" t="str">
        <f t="shared" si="60"/>
        <v>Y</v>
      </c>
      <c r="BU482" s="38" t="str">
        <f t="shared" si="61"/>
        <v>Y</v>
      </c>
      <c r="BV482" s="38" t="str">
        <f t="shared" si="62"/>
        <v>HingedInvisi-Gard Woven Stainless SteelSingle LockYesYes</v>
      </c>
      <c r="BW482" s="38" t="str">
        <f t="shared" si="63"/>
        <v>IGHSYY</v>
      </c>
    </row>
    <row r="483" spans="64:75" ht="14.4">
      <c r="BL483" s="38" t="s">
        <v>233</v>
      </c>
      <c r="BM483" s="38" t="s">
        <v>179</v>
      </c>
      <c r="BN483" s="38" t="s">
        <v>279</v>
      </c>
      <c r="BO483" s="38" t="s">
        <v>306</v>
      </c>
      <c r="BP483" s="38" t="s">
        <v>306</v>
      </c>
      <c r="BQ483" s="38" t="str">
        <f t="shared" si="64"/>
        <v>IG</v>
      </c>
      <c r="BR483" s="38" t="str">
        <f t="shared" si="58"/>
        <v>S</v>
      </c>
      <c r="BS483" s="38" t="str">
        <f t="shared" si="59"/>
        <v>S</v>
      </c>
      <c r="BT483" s="38" t="str">
        <f t="shared" si="60"/>
        <v>Y</v>
      </c>
      <c r="BU483" s="38" t="str">
        <f t="shared" si="61"/>
        <v>Y</v>
      </c>
      <c r="BV483" s="38" t="str">
        <f t="shared" si="62"/>
        <v>SlidingInvisi-Gard Woven Stainless SteelSingle LockYesYes</v>
      </c>
      <c r="BW483" s="38" t="str">
        <f t="shared" si="63"/>
        <v>IGSSYY</v>
      </c>
    </row>
    <row r="484" spans="64:75" ht="14.4">
      <c r="BL484" s="38" t="s">
        <v>233</v>
      </c>
      <c r="BM484" s="38" t="s">
        <v>220</v>
      </c>
      <c r="BN484" s="38" t="s">
        <v>279</v>
      </c>
      <c r="BO484" s="38" t="s">
        <v>306</v>
      </c>
      <c r="BP484" s="38" t="s">
        <v>306</v>
      </c>
      <c r="BQ484" s="38" t="str">
        <f t="shared" si="64"/>
        <v>IG</v>
      </c>
      <c r="BR484" s="38" t="str">
        <f t="shared" si="58"/>
        <v>ST</v>
      </c>
      <c r="BS484" s="38" t="str">
        <f t="shared" si="59"/>
        <v>S</v>
      </c>
      <c r="BT484" s="38" t="str">
        <f t="shared" si="60"/>
        <v>Y</v>
      </c>
      <c r="BU484" s="38" t="str">
        <f t="shared" si="61"/>
        <v>Y</v>
      </c>
      <c r="BV484" s="38" t="str">
        <f t="shared" si="62"/>
        <v>StackerInvisi-Gard Woven Stainless SteelSingle LockYesYes</v>
      </c>
      <c r="BW484" s="38" t="str">
        <f t="shared" si="63"/>
        <v>IGSTSYY</v>
      </c>
    </row>
    <row r="485" spans="64:75" ht="14.4">
      <c r="BL485" s="38" t="s">
        <v>233</v>
      </c>
      <c r="BM485" s="38" t="s">
        <v>178</v>
      </c>
      <c r="BN485" s="38" t="s">
        <v>275</v>
      </c>
      <c r="BO485" s="38" t="s">
        <v>306</v>
      </c>
      <c r="BP485" s="38" t="s">
        <v>306</v>
      </c>
      <c r="BQ485" s="38" t="str">
        <f t="shared" si="64"/>
        <v>IG</v>
      </c>
      <c r="BR485" s="38" t="str">
        <f t="shared" si="58"/>
        <v>H</v>
      </c>
      <c r="BS485" s="38" t="str">
        <f t="shared" si="59"/>
        <v>T</v>
      </c>
      <c r="BT485" s="38" t="str">
        <f t="shared" si="60"/>
        <v>Y</v>
      </c>
      <c r="BU485" s="38" t="str">
        <f t="shared" si="61"/>
        <v>Y</v>
      </c>
      <c r="BV485" s="38" t="str">
        <f t="shared" si="62"/>
        <v>HingedInvisi-Gard Woven Stainless SteelTriple LockYesYes</v>
      </c>
      <c r="BW485" s="38" t="str">
        <f t="shared" si="63"/>
        <v>IGHTYY</v>
      </c>
    </row>
    <row r="486" spans="64:75" ht="14.4">
      <c r="BL486" s="38" t="s">
        <v>233</v>
      </c>
      <c r="BM486" s="38" t="s">
        <v>179</v>
      </c>
      <c r="BN486" s="38" t="s">
        <v>275</v>
      </c>
      <c r="BO486" s="38" t="s">
        <v>306</v>
      </c>
      <c r="BP486" s="38" t="s">
        <v>306</v>
      </c>
      <c r="BQ486" s="38" t="str">
        <f t="shared" si="64"/>
        <v>IG</v>
      </c>
      <c r="BR486" s="38" t="str">
        <f t="shared" si="58"/>
        <v>S</v>
      </c>
      <c r="BS486" s="38" t="str">
        <f t="shared" si="59"/>
        <v>T</v>
      </c>
      <c r="BT486" s="38" t="str">
        <f t="shared" si="60"/>
        <v>Y</v>
      </c>
      <c r="BU486" s="38" t="str">
        <f t="shared" si="61"/>
        <v>Y</v>
      </c>
      <c r="BV486" s="38" t="str">
        <f t="shared" si="62"/>
        <v>SlidingInvisi-Gard Woven Stainless SteelTriple LockYesYes</v>
      </c>
      <c r="BW486" s="38" t="str">
        <f t="shared" si="63"/>
        <v>IGSTYY</v>
      </c>
    </row>
    <row r="487" spans="64:75" ht="14.4">
      <c r="BL487" s="38" t="s">
        <v>233</v>
      </c>
      <c r="BM487" s="38" t="s">
        <v>220</v>
      </c>
      <c r="BN487" s="38" t="s">
        <v>275</v>
      </c>
      <c r="BO487" s="38" t="s">
        <v>306</v>
      </c>
      <c r="BP487" s="38" t="s">
        <v>306</v>
      </c>
      <c r="BQ487" s="38" t="str">
        <f t="shared" si="64"/>
        <v>IG</v>
      </c>
      <c r="BR487" s="38" t="str">
        <f t="shared" si="58"/>
        <v>ST</v>
      </c>
      <c r="BS487" s="38" t="str">
        <f t="shared" si="59"/>
        <v>T</v>
      </c>
      <c r="BT487" s="38" t="str">
        <f t="shared" si="60"/>
        <v>Y</v>
      </c>
      <c r="BU487" s="38" t="str">
        <f t="shared" si="61"/>
        <v>Y</v>
      </c>
      <c r="BV487" s="38" t="str">
        <f t="shared" si="62"/>
        <v>StackerInvisi-Gard Woven Stainless SteelTriple LockYesYes</v>
      </c>
      <c r="BW487" s="38" t="str">
        <f t="shared" si="63"/>
        <v>IGSTTYY</v>
      </c>
    </row>
    <row r="488" spans="64:75" ht="14.4">
      <c r="BL488" s="38" t="s">
        <v>233</v>
      </c>
      <c r="BM488" s="38" t="s">
        <v>178</v>
      </c>
      <c r="BN488" s="38" t="s">
        <v>410</v>
      </c>
      <c r="BO488" s="38" t="s">
        <v>306</v>
      </c>
      <c r="BP488" s="38" t="s">
        <v>306</v>
      </c>
      <c r="BQ488" s="38" t="str">
        <f t="shared" si="64"/>
        <v>IG</v>
      </c>
      <c r="BR488" s="38" t="str">
        <f t="shared" si="58"/>
        <v>H</v>
      </c>
      <c r="BS488" s="38" t="str">
        <f t="shared" si="59"/>
        <v>N</v>
      </c>
      <c r="BT488" s="38" t="str">
        <f t="shared" si="60"/>
        <v>Y</v>
      </c>
      <c r="BU488" s="38" t="str">
        <f t="shared" si="61"/>
        <v>Y</v>
      </c>
      <c r="BV488" s="38" t="str">
        <f t="shared" si="62"/>
        <v>HingedInvisi-Gard Woven Stainless SteelNot RequiredYesYes</v>
      </c>
      <c r="BW488" s="38" t="str">
        <f t="shared" si="63"/>
        <v>IGHNYY</v>
      </c>
    </row>
    <row r="489" spans="64:75" ht="14.4">
      <c r="BL489" s="38" t="s">
        <v>233</v>
      </c>
      <c r="BM489" s="38" t="s">
        <v>179</v>
      </c>
      <c r="BN489" s="38" t="s">
        <v>410</v>
      </c>
      <c r="BO489" s="38" t="s">
        <v>306</v>
      </c>
      <c r="BP489" s="38" t="s">
        <v>306</v>
      </c>
      <c r="BQ489" s="38" t="str">
        <f t="shared" si="64"/>
        <v>IG</v>
      </c>
      <c r="BR489" s="38" t="str">
        <f t="shared" si="58"/>
        <v>S</v>
      </c>
      <c r="BS489" s="38" t="str">
        <f t="shared" si="59"/>
        <v>N</v>
      </c>
      <c r="BT489" s="38" t="str">
        <f t="shared" si="60"/>
        <v>Y</v>
      </c>
      <c r="BU489" s="38" t="str">
        <f t="shared" si="61"/>
        <v>Y</v>
      </c>
      <c r="BV489" s="38" t="str">
        <f t="shared" si="62"/>
        <v>SlidingInvisi-Gard Woven Stainless SteelNot RequiredYesYes</v>
      </c>
      <c r="BW489" s="38" t="str">
        <f t="shared" si="63"/>
        <v>IGSNYY</v>
      </c>
    </row>
    <row r="490" spans="64:75" ht="14.4">
      <c r="BL490" s="38" t="s">
        <v>233</v>
      </c>
      <c r="BM490" s="38" t="s">
        <v>220</v>
      </c>
      <c r="BN490" s="38" t="s">
        <v>410</v>
      </c>
      <c r="BO490" s="38" t="s">
        <v>306</v>
      </c>
      <c r="BP490" s="38" t="s">
        <v>306</v>
      </c>
      <c r="BQ490" s="38" t="str">
        <f t="shared" si="64"/>
        <v>IG</v>
      </c>
      <c r="BR490" s="38" t="str">
        <f t="shared" si="58"/>
        <v>ST</v>
      </c>
      <c r="BS490" s="38" t="str">
        <f t="shared" si="59"/>
        <v>N</v>
      </c>
      <c r="BT490" s="38" t="str">
        <f t="shared" si="60"/>
        <v>Y</v>
      </c>
      <c r="BU490" s="38" t="str">
        <f t="shared" si="61"/>
        <v>Y</v>
      </c>
      <c r="BV490" s="38" t="str">
        <f t="shared" si="62"/>
        <v>StackerInvisi-Gard Woven Stainless SteelNot RequiredYesYes</v>
      </c>
      <c r="BW490" s="38" t="str">
        <f t="shared" si="63"/>
        <v>IGSTNYY</v>
      </c>
    </row>
    <row r="491" spans="64:75" ht="14.4">
      <c r="BL491" s="38" t="s">
        <v>233</v>
      </c>
      <c r="BM491" s="38" t="s">
        <v>178</v>
      </c>
      <c r="BN491" s="38" t="s">
        <v>383</v>
      </c>
      <c r="BO491" s="38" t="s">
        <v>306</v>
      </c>
      <c r="BP491" s="38" t="s">
        <v>306</v>
      </c>
      <c r="BQ491" s="38" t="str">
        <f t="shared" si="64"/>
        <v>IG</v>
      </c>
      <c r="BR491" s="38" t="str">
        <f t="shared" si="58"/>
        <v>H</v>
      </c>
      <c r="BS491" s="38" t="str">
        <f t="shared" si="59"/>
        <v>D</v>
      </c>
      <c r="BT491" s="38" t="str">
        <f t="shared" si="60"/>
        <v>Y</v>
      </c>
      <c r="BU491" s="38" t="str">
        <f t="shared" si="61"/>
        <v>Y</v>
      </c>
      <c r="BV491" s="38" t="str">
        <f t="shared" si="62"/>
        <v>HingedInvisi-Gard Woven Stainless SteelUltra Secua Digital Triple LockYesYes</v>
      </c>
      <c r="BW491" s="38" t="str">
        <f t="shared" si="63"/>
        <v>IGHDYY</v>
      </c>
    </row>
    <row r="492" spans="64:75" ht="14.4">
      <c r="BL492" s="38" t="s">
        <v>233</v>
      </c>
      <c r="BM492" s="38" t="s">
        <v>179</v>
      </c>
      <c r="BN492" s="38" t="s">
        <v>383</v>
      </c>
      <c r="BO492" s="38" t="s">
        <v>306</v>
      </c>
      <c r="BP492" s="38" t="s">
        <v>306</v>
      </c>
      <c r="BQ492" s="38" t="str">
        <f t="shared" si="64"/>
        <v>IG</v>
      </c>
      <c r="BR492" s="38" t="str">
        <f t="shared" si="58"/>
        <v>S</v>
      </c>
      <c r="BS492" s="38" t="str">
        <f t="shared" si="59"/>
        <v>D</v>
      </c>
      <c r="BT492" s="38" t="str">
        <f t="shared" si="60"/>
        <v>Y</v>
      </c>
      <c r="BU492" s="38" t="str">
        <f t="shared" si="61"/>
        <v>Y</v>
      </c>
      <c r="BV492" s="38" t="str">
        <f t="shared" si="62"/>
        <v>SlidingInvisi-Gard Woven Stainless SteelUltra Secua Digital Triple LockYesYes</v>
      </c>
      <c r="BW492" s="38" t="str">
        <f t="shared" si="63"/>
        <v>IGSDYY</v>
      </c>
    </row>
    <row r="493" spans="64:75" ht="14.4">
      <c r="BL493" s="38" t="s">
        <v>233</v>
      </c>
      <c r="BM493" s="38" t="s">
        <v>220</v>
      </c>
      <c r="BN493" s="38" t="s">
        <v>383</v>
      </c>
      <c r="BO493" s="38" t="s">
        <v>306</v>
      </c>
      <c r="BP493" s="38" t="s">
        <v>306</v>
      </c>
      <c r="BQ493" s="38" t="str">
        <f t="shared" si="64"/>
        <v>IG</v>
      </c>
      <c r="BR493" s="38" t="str">
        <f t="shared" si="58"/>
        <v>ST</v>
      </c>
      <c r="BS493" s="38" t="str">
        <f t="shared" si="59"/>
        <v>D</v>
      </c>
      <c r="BT493" s="38" t="str">
        <f t="shared" si="60"/>
        <v>Y</v>
      </c>
      <c r="BU493" s="38" t="str">
        <f t="shared" si="61"/>
        <v>Y</v>
      </c>
      <c r="BV493" s="38" t="str">
        <f t="shared" si="62"/>
        <v>StackerInvisi-Gard Woven Stainless SteelUltra Secua Digital Triple LockYesYes</v>
      </c>
      <c r="BW493" s="38" t="str">
        <f t="shared" si="63"/>
        <v>IGSTDYY</v>
      </c>
    </row>
    <row r="494" spans="64:75" ht="14.4">
      <c r="BL494" s="38" t="s">
        <v>233</v>
      </c>
      <c r="BM494" s="38" t="s">
        <v>178</v>
      </c>
      <c r="BN494" s="38" t="s">
        <v>284</v>
      </c>
      <c r="BO494" s="38" t="s">
        <v>306</v>
      </c>
      <c r="BP494" s="38" t="s">
        <v>306</v>
      </c>
      <c r="BQ494" s="38" t="str">
        <f t="shared" si="64"/>
        <v>IG</v>
      </c>
      <c r="BR494" s="38" t="str">
        <f t="shared" si="58"/>
        <v>H</v>
      </c>
      <c r="BS494" s="38" t="str">
        <f t="shared" si="59"/>
        <v>B</v>
      </c>
      <c r="BT494" s="38" t="str">
        <f t="shared" si="60"/>
        <v>Y</v>
      </c>
      <c r="BU494" s="38" t="str">
        <f t="shared" si="61"/>
        <v>Y</v>
      </c>
      <c r="BV494" s="38" t="str">
        <f t="shared" si="62"/>
        <v>HingedInvisi-Gard Woven Stainless SteelBass LatchYesYes</v>
      </c>
      <c r="BW494" s="38" t="str">
        <f t="shared" si="63"/>
        <v>IGHBYY</v>
      </c>
    </row>
    <row r="495" spans="64:75" ht="14.4">
      <c r="BL495" s="38" t="s">
        <v>233</v>
      </c>
      <c r="BM495" s="38" t="s">
        <v>179</v>
      </c>
      <c r="BN495" s="38" t="s">
        <v>284</v>
      </c>
      <c r="BO495" s="38" t="s">
        <v>306</v>
      </c>
      <c r="BP495" s="38" t="s">
        <v>306</v>
      </c>
      <c r="BQ495" s="38" t="str">
        <f t="shared" si="64"/>
        <v>IG</v>
      </c>
      <c r="BR495" s="38" t="str">
        <f t="shared" si="58"/>
        <v>S</v>
      </c>
      <c r="BS495" s="38" t="str">
        <f t="shared" si="59"/>
        <v>B</v>
      </c>
      <c r="BT495" s="38" t="str">
        <f t="shared" si="60"/>
        <v>Y</v>
      </c>
      <c r="BU495" s="38" t="str">
        <f t="shared" si="61"/>
        <v>Y</v>
      </c>
      <c r="BV495" s="38" t="str">
        <f t="shared" si="62"/>
        <v>SlidingInvisi-Gard Woven Stainless SteelBass LatchYesYes</v>
      </c>
      <c r="BW495" s="38" t="str">
        <f t="shared" si="63"/>
        <v>IGSBYY</v>
      </c>
    </row>
    <row r="496" spans="64:75" ht="14.4">
      <c r="BL496" s="38" t="s">
        <v>233</v>
      </c>
      <c r="BM496" s="38" t="s">
        <v>220</v>
      </c>
      <c r="BN496" s="38" t="s">
        <v>284</v>
      </c>
      <c r="BO496" s="38" t="s">
        <v>306</v>
      </c>
      <c r="BP496" s="38" t="s">
        <v>306</v>
      </c>
      <c r="BQ496" s="38" t="str">
        <f t="shared" si="64"/>
        <v>IG</v>
      </c>
      <c r="BR496" s="38" t="str">
        <f t="shared" si="58"/>
        <v>ST</v>
      </c>
      <c r="BS496" s="38" t="str">
        <f t="shared" si="59"/>
        <v>B</v>
      </c>
      <c r="BT496" s="38" t="str">
        <f t="shared" si="60"/>
        <v>Y</v>
      </c>
      <c r="BU496" s="38" t="str">
        <f t="shared" si="61"/>
        <v>Y</v>
      </c>
      <c r="BV496" s="38" t="str">
        <f t="shared" si="62"/>
        <v>StackerInvisi-Gard Woven Stainless SteelBass LatchYesYes</v>
      </c>
      <c r="BW496" s="38" t="str">
        <f t="shared" si="63"/>
        <v>IGSTBYY</v>
      </c>
    </row>
    <row r="497" spans="64:75" ht="14.4">
      <c r="BL497" s="38" t="s">
        <v>233</v>
      </c>
      <c r="BM497" s="38" t="s">
        <v>178</v>
      </c>
      <c r="BN497" s="38" t="s">
        <v>279</v>
      </c>
      <c r="BO497" s="38" t="s">
        <v>147</v>
      </c>
      <c r="BQ497" s="38" t="str">
        <f t="shared" si="64"/>
        <v>IG</v>
      </c>
      <c r="BR497" s="38" t="str">
        <f t="shared" si="58"/>
        <v>H</v>
      </c>
      <c r="BS497" s="38" t="str">
        <f t="shared" si="59"/>
        <v>S</v>
      </c>
      <c r="BT497" s="38" t="str">
        <f t="shared" si="60"/>
        <v>N</v>
      </c>
      <c r="BU497" s="38" t="str">
        <f t="shared" si="61"/>
        <v>N</v>
      </c>
      <c r="BV497" s="38" t="str">
        <f t="shared" si="62"/>
        <v>HingedInvisi-Gard Woven Stainless SteelSingle LockNo</v>
      </c>
      <c r="BW497" s="38" t="str">
        <f t="shared" si="63"/>
        <v>IGHSNN</v>
      </c>
    </row>
    <row r="498" spans="64:75" ht="14.4">
      <c r="BL498" s="38" t="s">
        <v>233</v>
      </c>
      <c r="BM498" s="38" t="s">
        <v>179</v>
      </c>
      <c r="BN498" s="38" t="s">
        <v>279</v>
      </c>
      <c r="BO498" s="38" t="s">
        <v>147</v>
      </c>
      <c r="BQ498" s="38" t="str">
        <f t="shared" si="64"/>
        <v>IG</v>
      </c>
      <c r="BR498" s="38" t="str">
        <f t="shared" si="58"/>
        <v>S</v>
      </c>
      <c r="BS498" s="38" t="str">
        <f t="shared" si="59"/>
        <v>S</v>
      </c>
      <c r="BT498" s="38" t="str">
        <f t="shared" si="60"/>
        <v>N</v>
      </c>
      <c r="BU498" s="38" t="str">
        <f t="shared" si="61"/>
        <v>N</v>
      </c>
      <c r="BV498" s="38" t="str">
        <f t="shared" si="62"/>
        <v>SlidingInvisi-Gard Woven Stainless SteelSingle LockNo</v>
      </c>
      <c r="BW498" s="38" t="str">
        <f t="shared" si="63"/>
        <v>IGSSNN</v>
      </c>
    </row>
    <row r="499" spans="64:75" ht="14.4">
      <c r="BL499" s="38" t="s">
        <v>233</v>
      </c>
      <c r="BM499" s="38" t="s">
        <v>220</v>
      </c>
      <c r="BN499" s="38" t="s">
        <v>279</v>
      </c>
      <c r="BO499" s="38" t="s">
        <v>147</v>
      </c>
      <c r="BQ499" s="38" t="str">
        <f t="shared" si="64"/>
        <v>IG</v>
      </c>
      <c r="BR499" s="38" t="str">
        <f t="shared" si="58"/>
        <v>ST</v>
      </c>
      <c r="BS499" s="38" t="str">
        <f t="shared" si="59"/>
        <v>S</v>
      </c>
      <c r="BT499" s="38" t="str">
        <f t="shared" si="60"/>
        <v>N</v>
      </c>
      <c r="BU499" s="38" t="str">
        <f t="shared" si="61"/>
        <v>N</v>
      </c>
      <c r="BV499" s="38" t="str">
        <f t="shared" si="62"/>
        <v>StackerInvisi-Gard Woven Stainless SteelSingle LockNo</v>
      </c>
      <c r="BW499" s="38" t="str">
        <f t="shared" si="63"/>
        <v>IGSTSNN</v>
      </c>
    </row>
    <row r="500" spans="64:75" ht="14.4">
      <c r="BL500" s="38" t="s">
        <v>233</v>
      </c>
      <c r="BM500" s="38" t="s">
        <v>178</v>
      </c>
      <c r="BN500" s="38" t="s">
        <v>275</v>
      </c>
      <c r="BO500" s="38" t="s">
        <v>147</v>
      </c>
      <c r="BQ500" s="38" t="str">
        <f t="shared" si="64"/>
        <v>IG</v>
      </c>
      <c r="BR500" s="38" t="str">
        <f t="shared" si="58"/>
        <v>H</v>
      </c>
      <c r="BS500" s="38" t="str">
        <f t="shared" si="59"/>
        <v>T</v>
      </c>
      <c r="BT500" s="38" t="str">
        <f t="shared" si="60"/>
        <v>N</v>
      </c>
      <c r="BU500" s="38" t="str">
        <f t="shared" si="61"/>
        <v>N</v>
      </c>
      <c r="BV500" s="38" t="str">
        <f t="shared" si="62"/>
        <v>HingedInvisi-Gard Woven Stainless SteelTriple LockNo</v>
      </c>
      <c r="BW500" s="38" t="str">
        <f t="shared" si="63"/>
        <v>IGHTNN</v>
      </c>
    </row>
    <row r="501" spans="64:75" ht="14.4">
      <c r="BL501" s="38" t="s">
        <v>233</v>
      </c>
      <c r="BM501" s="38" t="s">
        <v>179</v>
      </c>
      <c r="BN501" s="38" t="s">
        <v>275</v>
      </c>
      <c r="BO501" s="38" t="s">
        <v>147</v>
      </c>
      <c r="BQ501" s="38" t="str">
        <f t="shared" si="64"/>
        <v>IG</v>
      </c>
      <c r="BR501" s="38" t="str">
        <f t="shared" si="58"/>
        <v>S</v>
      </c>
      <c r="BS501" s="38" t="str">
        <f t="shared" si="59"/>
        <v>T</v>
      </c>
      <c r="BT501" s="38" t="str">
        <f t="shared" si="60"/>
        <v>N</v>
      </c>
      <c r="BU501" s="38" t="str">
        <f t="shared" si="61"/>
        <v>N</v>
      </c>
      <c r="BV501" s="38" t="str">
        <f t="shared" si="62"/>
        <v>SlidingInvisi-Gard Woven Stainless SteelTriple LockNo</v>
      </c>
      <c r="BW501" s="38" t="str">
        <f t="shared" si="63"/>
        <v>IGSTNN</v>
      </c>
    </row>
    <row r="502" spans="64:75" ht="14.4">
      <c r="BL502" s="38" t="s">
        <v>233</v>
      </c>
      <c r="BM502" s="38" t="s">
        <v>220</v>
      </c>
      <c r="BN502" s="38" t="s">
        <v>275</v>
      </c>
      <c r="BO502" s="38" t="s">
        <v>147</v>
      </c>
      <c r="BQ502" s="38" t="str">
        <f t="shared" si="64"/>
        <v>IG</v>
      </c>
      <c r="BR502" s="38" t="str">
        <f t="shared" si="58"/>
        <v>ST</v>
      </c>
      <c r="BS502" s="38" t="str">
        <f t="shared" si="59"/>
        <v>T</v>
      </c>
      <c r="BT502" s="38" t="str">
        <f t="shared" si="60"/>
        <v>N</v>
      </c>
      <c r="BU502" s="38" t="str">
        <f t="shared" si="61"/>
        <v>N</v>
      </c>
      <c r="BV502" s="38" t="str">
        <f t="shared" si="62"/>
        <v>StackerInvisi-Gard Woven Stainless SteelTriple LockNo</v>
      </c>
      <c r="BW502" s="38" t="str">
        <f t="shared" si="63"/>
        <v>IGSTTNN</v>
      </c>
    </row>
    <row r="503" spans="64:75" ht="14.4">
      <c r="BL503" s="38" t="s">
        <v>233</v>
      </c>
      <c r="BM503" s="38" t="s">
        <v>178</v>
      </c>
      <c r="BN503" s="38" t="s">
        <v>410</v>
      </c>
      <c r="BO503" s="38" t="s">
        <v>147</v>
      </c>
      <c r="BQ503" s="38" t="str">
        <f t="shared" si="64"/>
        <v>IG</v>
      </c>
      <c r="BR503" s="38" t="str">
        <f t="shared" si="58"/>
        <v>H</v>
      </c>
      <c r="BS503" s="38" t="str">
        <f t="shared" si="59"/>
        <v>N</v>
      </c>
      <c r="BT503" s="38" t="str">
        <f t="shared" si="60"/>
        <v>N</v>
      </c>
      <c r="BU503" s="38" t="str">
        <f t="shared" si="61"/>
        <v>N</v>
      </c>
      <c r="BV503" s="38" t="str">
        <f t="shared" si="62"/>
        <v>HingedInvisi-Gard Woven Stainless SteelNot RequiredNo</v>
      </c>
      <c r="BW503" s="38" t="str">
        <f t="shared" si="63"/>
        <v>IGHNNN</v>
      </c>
    </row>
    <row r="504" spans="64:75" ht="14.4">
      <c r="BL504" s="38" t="s">
        <v>233</v>
      </c>
      <c r="BM504" s="38" t="s">
        <v>179</v>
      </c>
      <c r="BN504" s="38" t="s">
        <v>410</v>
      </c>
      <c r="BO504" s="38" t="s">
        <v>147</v>
      </c>
      <c r="BQ504" s="38" t="str">
        <f t="shared" si="64"/>
        <v>IG</v>
      </c>
      <c r="BR504" s="38" t="str">
        <f t="shared" si="58"/>
        <v>S</v>
      </c>
      <c r="BS504" s="38" t="str">
        <f t="shared" si="59"/>
        <v>N</v>
      </c>
      <c r="BT504" s="38" t="str">
        <f t="shared" si="60"/>
        <v>N</v>
      </c>
      <c r="BU504" s="38" t="str">
        <f t="shared" si="61"/>
        <v>N</v>
      </c>
      <c r="BV504" s="38" t="str">
        <f t="shared" si="62"/>
        <v>SlidingInvisi-Gard Woven Stainless SteelNot RequiredNo</v>
      </c>
      <c r="BW504" s="38" t="str">
        <f t="shared" si="63"/>
        <v>IGSNNN</v>
      </c>
    </row>
    <row r="505" spans="64:75" ht="14.4">
      <c r="BL505" s="38" t="s">
        <v>233</v>
      </c>
      <c r="BM505" s="38" t="s">
        <v>220</v>
      </c>
      <c r="BN505" s="38" t="s">
        <v>410</v>
      </c>
      <c r="BO505" s="38" t="s">
        <v>147</v>
      </c>
      <c r="BQ505" s="38" t="str">
        <f t="shared" si="64"/>
        <v>IG</v>
      </c>
      <c r="BR505" s="38" t="str">
        <f t="shared" si="58"/>
        <v>ST</v>
      </c>
      <c r="BS505" s="38" t="str">
        <f t="shared" si="59"/>
        <v>N</v>
      </c>
      <c r="BT505" s="38" t="str">
        <f t="shared" si="60"/>
        <v>N</v>
      </c>
      <c r="BU505" s="38" t="str">
        <f t="shared" si="61"/>
        <v>N</v>
      </c>
      <c r="BV505" s="38" t="str">
        <f t="shared" si="62"/>
        <v>StackerInvisi-Gard Woven Stainless SteelNot RequiredNo</v>
      </c>
      <c r="BW505" s="38" t="str">
        <f t="shared" si="63"/>
        <v>IGSTNNN</v>
      </c>
    </row>
    <row r="506" spans="64:75" ht="14.4">
      <c r="BL506" s="38" t="s">
        <v>233</v>
      </c>
      <c r="BM506" s="38" t="s">
        <v>178</v>
      </c>
      <c r="BN506" s="38" t="s">
        <v>383</v>
      </c>
      <c r="BO506" s="38" t="s">
        <v>147</v>
      </c>
      <c r="BQ506" s="38" t="str">
        <f t="shared" si="64"/>
        <v>IG</v>
      </c>
      <c r="BR506" s="38" t="str">
        <f t="shared" si="58"/>
        <v>H</v>
      </c>
      <c r="BS506" s="38" t="str">
        <f t="shared" si="59"/>
        <v>D</v>
      </c>
      <c r="BT506" s="38" t="str">
        <f t="shared" si="60"/>
        <v>N</v>
      </c>
      <c r="BU506" s="38" t="str">
        <f t="shared" si="61"/>
        <v>N</v>
      </c>
      <c r="BV506" s="38" t="str">
        <f t="shared" si="62"/>
        <v>HingedInvisi-Gard Woven Stainless SteelUltra Secua Digital Triple LockNo</v>
      </c>
      <c r="BW506" s="38" t="str">
        <f t="shared" si="63"/>
        <v>IGHDNN</v>
      </c>
    </row>
    <row r="507" spans="64:75" ht="14.4">
      <c r="BL507" s="38" t="s">
        <v>233</v>
      </c>
      <c r="BM507" s="38" t="s">
        <v>179</v>
      </c>
      <c r="BN507" s="38" t="s">
        <v>383</v>
      </c>
      <c r="BO507" s="38" t="s">
        <v>147</v>
      </c>
      <c r="BQ507" s="38" t="str">
        <f t="shared" si="64"/>
        <v>IG</v>
      </c>
      <c r="BR507" s="38" t="str">
        <f t="shared" si="58"/>
        <v>S</v>
      </c>
      <c r="BS507" s="38" t="str">
        <f t="shared" si="59"/>
        <v>D</v>
      </c>
      <c r="BT507" s="38" t="str">
        <f t="shared" si="60"/>
        <v>N</v>
      </c>
      <c r="BU507" s="38" t="str">
        <f t="shared" si="61"/>
        <v>N</v>
      </c>
      <c r="BV507" s="38" t="str">
        <f t="shared" si="62"/>
        <v>SlidingInvisi-Gard Woven Stainless SteelUltra Secua Digital Triple LockNo</v>
      </c>
      <c r="BW507" s="38" t="str">
        <f t="shared" si="63"/>
        <v>IGSDNN</v>
      </c>
    </row>
    <row r="508" spans="64:75" ht="14.4">
      <c r="BL508" s="38" t="s">
        <v>233</v>
      </c>
      <c r="BM508" s="38" t="s">
        <v>220</v>
      </c>
      <c r="BN508" s="38" t="s">
        <v>383</v>
      </c>
      <c r="BO508" s="38" t="s">
        <v>147</v>
      </c>
      <c r="BQ508" s="38" t="str">
        <f t="shared" si="64"/>
        <v>IG</v>
      </c>
      <c r="BR508" s="38" t="str">
        <f t="shared" si="58"/>
        <v>ST</v>
      </c>
      <c r="BS508" s="38" t="str">
        <f t="shared" si="59"/>
        <v>D</v>
      </c>
      <c r="BT508" s="38" t="str">
        <f t="shared" si="60"/>
        <v>N</v>
      </c>
      <c r="BU508" s="38" t="str">
        <f t="shared" si="61"/>
        <v>N</v>
      </c>
      <c r="BV508" s="38" t="str">
        <f t="shared" si="62"/>
        <v>StackerInvisi-Gard Woven Stainless SteelUltra Secua Digital Triple LockNo</v>
      </c>
      <c r="BW508" s="38" t="str">
        <f t="shared" si="63"/>
        <v>IGSTDNN</v>
      </c>
    </row>
    <row r="509" spans="64:75" ht="14.4">
      <c r="BL509" s="38" t="s">
        <v>233</v>
      </c>
      <c r="BM509" s="38" t="s">
        <v>178</v>
      </c>
      <c r="BN509" s="38" t="s">
        <v>284</v>
      </c>
      <c r="BO509" s="38" t="s">
        <v>147</v>
      </c>
      <c r="BQ509" s="38" t="str">
        <f t="shared" si="64"/>
        <v>IG</v>
      </c>
      <c r="BR509" s="38" t="str">
        <f t="shared" si="58"/>
        <v>H</v>
      </c>
      <c r="BS509" s="38" t="str">
        <f t="shared" si="59"/>
        <v>B</v>
      </c>
      <c r="BT509" s="38" t="str">
        <f t="shared" si="60"/>
        <v>N</v>
      </c>
      <c r="BU509" s="38" t="str">
        <f t="shared" si="61"/>
        <v>N</v>
      </c>
      <c r="BV509" s="38" t="str">
        <f t="shared" si="62"/>
        <v>HingedInvisi-Gard Woven Stainless SteelBass LatchNo</v>
      </c>
      <c r="BW509" s="38" t="str">
        <f t="shared" si="63"/>
        <v>IGHBNN</v>
      </c>
    </row>
    <row r="510" spans="64:75" ht="14.4">
      <c r="BL510" s="38" t="s">
        <v>233</v>
      </c>
      <c r="BM510" s="38" t="s">
        <v>179</v>
      </c>
      <c r="BN510" s="38" t="s">
        <v>284</v>
      </c>
      <c r="BO510" s="38" t="s">
        <v>147</v>
      </c>
      <c r="BQ510" s="38" t="str">
        <f t="shared" si="64"/>
        <v>IG</v>
      </c>
      <c r="BR510" s="38" t="str">
        <f t="shared" si="58"/>
        <v>S</v>
      </c>
      <c r="BS510" s="38" t="str">
        <f t="shared" si="59"/>
        <v>B</v>
      </c>
      <c r="BT510" s="38" t="str">
        <f t="shared" si="60"/>
        <v>N</v>
      </c>
      <c r="BU510" s="38" t="str">
        <f t="shared" si="61"/>
        <v>N</v>
      </c>
      <c r="BV510" s="38" t="str">
        <f t="shared" si="62"/>
        <v>SlidingInvisi-Gard Woven Stainless SteelBass LatchNo</v>
      </c>
      <c r="BW510" s="38" t="str">
        <f t="shared" si="63"/>
        <v>IGSBNN</v>
      </c>
    </row>
    <row r="511" spans="64:75" ht="14.4">
      <c r="BL511" s="38" t="s">
        <v>233</v>
      </c>
      <c r="BM511" s="38" t="s">
        <v>220</v>
      </c>
      <c r="BN511" s="38" t="s">
        <v>284</v>
      </c>
      <c r="BO511" s="38" t="s">
        <v>147</v>
      </c>
      <c r="BQ511" s="38" t="str">
        <f t="shared" si="64"/>
        <v>IG</v>
      </c>
      <c r="BR511" s="38" t="str">
        <f t="shared" si="58"/>
        <v>ST</v>
      </c>
      <c r="BS511" s="38" t="str">
        <f t="shared" si="59"/>
        <v>B</v>
      </c>
      <c r="BT511" s="38" t="str">
        <f t="shared" si="60"/>
        <v>N</v>
      </c>
      <c r="BU511" s="38" t="str">
        <f t="shared" si="61"/>
        <v>N</v>
      </c>
      <c r="BV511" s="38" t="str">
        <f t="shared" si="62"/>
        <v>StackerInvisi-Gard Woven Stainless SteelBass LatchNo</v>
      </c>
      <c r="BW511" s="38" t="str">
        <f t="shared" si="63"/>
        <v>IGSTBNN</v>
      </c>
    </row>
    <row r="512" spans="64:75" ht="14.4">
      <c r="BL512" s="38" t="s">
        <v>233</v>
      </c>
      <c r="BM512" s="38" t="s">
        <v>178</v>
      </c>
      <c r="BN512" s="38" t="s">
        <v>279</v>
      </c>
      <c r="BO512" s="38" t="s">
        <v>411</v>
      </c>
      <c r="BQ512" s="38" t="str">
        <f t="shared" si="64"/>
        <v>IG</v>
      </c>
      <c r="BR512" s="38" t="str">
        <f t="shared" si="58"/>
        <v>H</v>
      </c>
      <c r="BS512" s="38" t="str">
        <f t="shared" si="59"/>
        <v>S</v>
      </c>
      <c r="BT512" s="38" t="str">
        <f t="shared" si="60"/>
        <v>Y</v>
      </c>
      <c r="BU512" s="38" t="str">
        <f t="shared" si="61"/>
        <v>N</v>
      </c>
      <c r="BV512" s="38" t="str">
        <f t="shared" si="62"/>
        <v>HingedInvisi-Gard Woven Stainless SteelSingle LockYes - Centre</v>
      </c>
      <c r="BW512" s="38" t="str">
        <f t="shared" si="63"/>
        <v>IGHSYN</v>
      </c>
    </row>
    <row r="513" spans="64:75" ht="14.4">
      <c r="BL513" s="38" t="s">
        <v>233</v>
      </c>
      <c r="BM513" s="38" t="s">
        <v>179</v>
      </c>
      <c r="BN513" s="38" t="s">
        <v>279</v>
      </c>
      <c r="BO513" s="38" t="s">
        <v>411</v>
      </c>
      <c r="BQ513" s="38" t="str">
        <f t="shared" si="64"/>
        <v>IG</v>
      </c>
      <c r="BR513" s="38" t="str">
        <f t="shared" si="58"/>
        <v>S</v>
      </c>
      <c r="BS513" s="38" t="str">
        <f t="shared" si="59"/>
        <v>S</v>
      </c>
      <c r="BT513" s="38" t="str">
        <f t="shared" si="60"/>
        <v>Y</v>
      </c>
      <c r="BU513" s="38" t="str">
        <f t="shared" si="61"/>
        <v>N</v>
      </c>
      <c r="BV513" s="38" t="str">
        <f t="shared" si="62"/>
        <v>SlidingInvisi-Gard Woven Stainless SteelSingle LockYes - Centre</v>
      </c>
      <c r="BW513" s="38" t="str">
        <f t="shared" si="63"/>
        <v>IGSSYN</v>
      </c>
    </row>
    <row r="514" spans="64:75" ht="14.4">
      <c r="BL514" s="38" t="s">
        <v>233</v>
      </c>
      <c r="BM514" s="38" t="s">
        <v>220</v>
      </c>
      <c r="BN514" s="38" t="s">
        <v>279</v>
      </c>
      <c r="BO514" s="38" t="s">
        <v>411</v>
      </c>
      <c r="BQ514" s="38" t="str">
        <f t="shared" si="64"/>
        <v>IG</v>
      </c>
      <c r="BR514" s="38" t="str">
        <f t="shared" si="65" ref="BR514:BR541">IF(BM514="Hinged","H",IF(BM514="Sliding","S",IF(BM514="Stacker","ST")))</f>
        <v>ST</v>
      </c>
      <c r="BS514" s="38" t="str">
        <f t="shared" si="66" ref="BS514:BS541">IF(BN514="Single Lock","S",IF(BN514="Triple Lock","T",IF(BN514="Not Required","N",IF(BN514="Ultra Secua Digital Triple Lock","D",IF(BN514="Bass Latch","B")))))</f>
        <v>S</v>
      </c>
      <c r="BT514" s="38" t="str">
        <f t="shared" si="67" ref="BT514:BT541">IF(BO514="No","N",IF(BO514="Yes","Y",IF(BO514="Not Required","N",IF(BO514="Yes - Centre","Y"))))</f>
        <v>Y</v>
      </c>
      <c r="BU514" s="38" t="str">
        <f t="shared" si="68" ref="BU514:BU541">IF(BP514="","N",IF(BP514="Yes","Y"))</f>
        <v>N</v>
      </c>
      <c r="BV514" s="38" t="str">
        <f t="shared" si="69" ref="BV514:BV541">CONCATENATE(BM514,BL514,BN514,BO514,BP514,)</f>
        <v>StackerInvisi-Gard Woven Stainless SteelSingle LockYes - Centre</v>
      </c>
      <c r="BW514" s="38" t="str">
        <f t="shared" si="70" ref="BW514:BW541">CONCATENATE(BQ514,BR514,BS514,BT514,BU514)</f>
        <v>IGSTSYN</v>
      </c>
    </row>
    <row r="515" spans="64:75" ht="14.4">
      <c r="BL515" s="38" t="s">
        <v>233</v>
      </c>
      <c r="BM515" s="38" t="s">
        <v>178</v>
      </c>
      <c r="BN515" s="38" t="s">
        <v>275</v>
      </c>
      <c r="BO515" s="38" t="s">
        <v>411</v>
      </c>
      <c r="BQ515" s="38" t="str">
        <f t="shared" si="71" ref="BQ515:BQ578">IF(BL515="Standard Diamond","SD",IF(BL515="Decorative Diamond","DD",IF(BL515="Privacy-Gard","PG",IF(BL515="Flyscreen","FW",IF(BL515="Woven Stainless Steel","SS",IF(BL515="Alu-Gard Perforated Aluminium","PA",IF(BL515="Invisi-Gard Woven Stainless Steel","IG")))))))</f>
        <v>IG</v>
      </c>
      <c r="BR515" s="38" t="str">
        <f t="shared" si="65"/>
        <v>H</v>
      </c>
      <c r="BS515" s="38" t="str">
        <f t="shared" si="66"/>
        <v>T</v>
      </c>
      <c r="BT515" s="38" t="str">
        <f t="shared" si="67"/>
        <v>Y</v>
      </c>
      <c r="BU515" s="38" t="str">
        <f t="shared" si="68"/>
        <v>N</v>
      </c>
      <c r="BV515" s="38" t="str">
        <f t="shared" si="69"/>
        <v>HingedInvisi-Gard Woven Stainless SteelTriple LockYes - Centre</v>
      </c>
      <c r="BW515" s="38" t="str">
        <f t="shared" si="70"/>
        <v>IGHTYN</v>
      </c>
    </row>
    <row r="516" spans="64:75" ht="14.4">
      <c r="BL516" s="38" t="s">
        <v>233</v>
      </c>
      <c r="BM516" s="38" t="s">
        <v>179</v>
      </c>
      <c r="BN516" s="38" t="s">
        <v>275</v>
      </c>
      <c r="BO516" s="38" t="s">
        <v>411</v>
      </c>
      <c r="BQ516" s="38" t="str">
        <f t="shared" si="71"/>
        <v>IG</v>
      </c>
      <c r="BR516" s="38" t="str">
        <f t="shared" si="65"/>
        <v>S</v>
      </c>
      <c r="BS516" s="38" t="str">
        <f t="shared" si="66"/>
        <v>T</v>
      </c>
      <c r="BT516" s="38" t="str">
        <f t="shared" si="67"/>
        <v>Y</v>
      </c>
      <c r="BU516" s="38" t="str">
        <f t="shared" si="68"/>
        <v>N</v>
      </c>
      <c r="BV516" s="38" t="str">
        <f t="shared" si="69"/>
        <v>SlidingInvisi-Gard Woven Stainless SteelTriple LockYes - Centre</v>
      </c>
      <c r="BW516" s="38" t="str">
        <f t="shared" si="70"/>
        <v>IGSTYN</v>
      </c>
    </row>
    <row r="517" spans="64:75" ht="14.4">
      <c r="BL517" s="38" t="s">
        <v>233</v>
      </c>
      <c r="BM517" s="38" t="s">
        <v>220</v>
      </c>
      <c r="BN517" s="38" t="s">
        <v>275</v>
      </c>
      <c r="BO517" s="38" t="s">
        <v>411</v>
      </c>
      <c r="BQ517" s="38" t="str">
        <f t="shared" si="71"/>
        <v>IG</v>
      </c>
      <c r="BR517" s="38" t="str">
        <f t="shared" si="65"/>
        <v>ST</v>
      </c>
      <c r="BS517" s="38" t="str">
        <f t="shared" si="66"/>
        <v>T</v>
      </c>
      <c r="BT517" s="38" t="str">
        <f t="shared" si="67"/>
        <v>Y</v>
      </c>
      <c r="BU517" s="38" t="str">
        <f t="shared" si="68"/>
        <v>N</v>
      </c>
      <c r="BV517" s="38" t="str">
        <f t="shared" si="69"/>
        <v>StackerInvisi-Gard Woven Stainless SteelTriple LockYes - Centre</v>
      </c>
      <c r="BW517" s="38" t="str">
        <f t="shared" si="70"/>
        <v>IGSTTYN</v>
      </c>
    </row>
    <row r="518" spans="64:75" ht="14.4">
      <c r="BL518" s="38" t="s">
        <v>233</v>
      </c>
      <c r="BM518" s="38" t="s">
        <v>178</v>
      </c>
      <c r="BN518" s="38" t="s">
        <v>410</v>
      </c>
      <c r="BO518" s="38" t="s">
        <v>411</v>
      </c>
      <c r="BQ518" s="38" t="str">
        <f t="shared" si="71"/>
        <v>IG</v>
      </c>
      <c r="BR518" s="38" t="str">
        <f t="shared" si="65"/>
        <v>H</v>
      </c>
      <c r="BS518" s="38" t="str">
        <f t="shared" si="66"/>
        <v>N</v>
      </c>
      <c r="BT518" s="38" t="str">
        <f t="shared" si="67"/>
        <v>Y</v>
      </c>
      <c r="BU518" s="38" t="str">
        <f t="shared" si="68"/>
        <v>N</v>
      </c>
      <c r="BV518" s="38" t="str">
        <f t="shared" si="69"/>
        <v>HingedInvisi-Gard Woven Stainless SteelNot RequiredYes - Centre</v>
      </c>
      <c r="BW518" s="38" t="str">
        <f t="shared" si="70"/>
        <v>IGHNYN</v>
      </c>
    </row>
    <row r="519" spans="64:75" ht="14.4">
      <c r="BL519" s="38" t="s">
        <v>233</v>
      </c>
      <c r="BM519" s="38" t="s">
        <v>179</v>
      </c>
      <c r="BN519" s="38" t="s">
        <v>410</v>
      </c>
      <c r="BO519" s="38" t="s">
        <v>411</v>
      </c>
      <c r="BQ519" s="38" t="str">
        <f t="shared" si="71"/>
        <v>IG</v>
      </c>
      <c r="BR519" s="38" t="str">
        <f t="shared" si="65"/>
        <v>S</v>
      </c>
      <c r="BS519" s="38" t="str">
        <f t="shared" si="66"/>
        <v>N</v>
      </c>
      <c r="BT519" s="38" t="str">
        <f t="shared" si="67"/>
        <v>Y</v>
      </c>
      <c r="BU519" s="38" t="str">
        <f t="shared" si="68"/>
        <v>N</v>
      </c>
      <c r="BV519" s="38" t="str">
        <f t="shared" si="69"/>
        <v>SlidingInvisi-Gard Woven Stainless SteelNot RequiredYes - Centre</v>
      </c>
      <c r="BW519" s="38" t="str">
        <f t="shared" si="70"/>
        <v>IGSNYN</v>
      </c>
    </row>
    <row r="520" spans="64:75" ht="14.4">
      <c r="BL520" s="38" t="s">
        <v>233</v>
      </c>
      <c r="BM520" s="38" t="s">
        <v>220</v>
      </c>
      <c r="BN520" s="38" t="s">
        <v>410</v>
      </c>
      <c r="BO520" s="38" t="s">
        <v>411</v>
      </c>
      <c r="BQ520" s="38" t="str">
        <f t="shared" si="71"/>
        <v>IG</v>
      </c>
      <c r="BR520" s="38" t="str">
        <f t="shared" si="65"/>
        <v>ST</v>
      </c>
      <c r="BS520" s="38" t="str">
        <f t="shared" si="66"/>
        <v>N</v>
      </c>
      <c r="BT520" s="38" t="str">
        <f t="shared" si="67"/>
        <v>Y</v>
      </c>
      <c r="BU520" s="38" t="str">
        <f t="shared" si="68"/>
        <v>N</v>
      </c>
      <c r="BV520" s="38" t="str">
        <f t="shared" si="69"/>
        <v>StackerInvisi-Gard Woven Stainless SteelNot RequiredYes - Centre</v>
      </c>
      <c r="BW520" s="38" t="str">
        <f t="shared" si="70"/>
        <v>IGSTNYN</v>
      </c>
    </row>
    <row r="521" spans="64:75" ht="14.4">
      <c r="BL521" s="38" t="s">
        <v>233</v>
      </c>
      <c r="BM521" s="38" t="s">
        <v>178</v>
      </c>
      <c r="BN521" s="38" t="s">
        <v>383</v>
      </c>
      <c r="BO521" s="38" t="s">
        <v>411</v>
      </c>
      <c r="BQ521" s="38" t="str">
        <f t="shared" si="71"/>
        <v>IG</v>
      </c>
      <c r="BR521" s="38" t="str">
        <f t="shared" si="65"/>
        <v>H</v>
      </c>
      <c r="BS521" s="38" t="str">
        <f t="shared" si="66"/>
        <v>D</v>
      </c>
      <c r="BT521" s="38" t="str">
        <f t="shared" si="67"/>
        <v>Y</v>
      </c>
      <c r="BU521" s="38" t="str">
        <f t="shared" si="68"/>
        <v>N</v>
      </c>
      <c r="BV521" s="38" t="str">
        <f t="shared" si="69"/>
        <v>HingedInvisi-Gard Woven Stainless SteelUltra Secua Digital Triple LockYes - Centre</v>
      </c>
      <c r="BW521" s="38" t="str">
        <f t="shared" si="70"/>
        <v>IGHDYN</v>
      </c>
    </row>
    <row r="522" spans="64:75" ht="14.4">
      <c r="BL522" s="38" t="s">
        <v>233</v>
      </c>
      <c r="BM522" s="38" t="s">
        <v>179</v>
      </c>
      <c r="BN522" s="38" t="s">
        <v>383</v>
      </c>
      <c r="BO522" s="38" t="s">
        <v>411</v>
      </c>
      <c r="BQ522" s="38" t="str">
        <f t="shared" si="71"/>
        <v>IG</v>
      </c>
      <c r="BR522" s="38" t="str">
        <f t="shared" si="65"/>
        <v>S</v>
      </c>
      <c r="BS522" s="38" t="str">
        <f t="shared" si="66"/>
        <v>D</v>
      </c>
      <c r="BT522" s="38" t="str">
        <f t="shared" si="67"/>
        <v>Y</v>
      </c>
      <c r="BU522" s="38" t="str">
        <f t="shared" si="68"/>
        <v>N</v>
      </c>
      <c r="BV522" s="38" t="str">
        <f t="shared" si="69"/>
        <v>SlidingInvisi-Gard Woven Stainless SteelUltra Secua Digital Triple LockYes - Centre</v>
      </c>
      <c r="BW522" s="38" t="str">
        <f t="shared" si="70"/>
        <v>IGSDYN</v>
      </c>
    </row>
    <row r="523" spans="64:75" ht="14.4">
      <c r="BL523" s="38" t="s">
        <v>233</v>
      </c>
      <c r="BM523" s="38" t="s">
        <v>220</v>
      </c>
      <c r="BN523" s="38" t="s">
        <v>383</v>
      </c>
      <c r="BO523" s="38" t="s">
        <v>411</v>
      </c>
      <c r="BQ523" s="38" t="str">
        <f t="shared" si="71"/>
        <v>IG</v>
      </c>
      <c r="BR523" s="38" t="str">
        <f t="shared" si="65"/>
        <v>ST</v>
      </c>
      <c r="BS523" s="38" t="str">
        <f t="shared" si="66"/>
        <v>D</v>
      </c>
      <c r="BT523" s="38" t="str">
        <f t="shared" si="67"/>
        <v>Y</v>
      </c>
      <c r="BU523" s="38" t="str">
        <f t="shared" si="68"/>
        <v>N</v>
      </c>
      <c r="BV523" s="38" t="str">
        <f t="shared" si="69"/>
        <v>StackerInvisi-Gard Woven Stainless SteelUltra Secua Digital Triple LockYes - Centre</v>
      </c>
      <c r="BW523" s="38" t="str">
        <f t="shared" si="70"/>
        <v>IGSTDYN</v>
      </c>
    </row>
    <row r="524" spans="64:75" ht="14.4">
      <c r="BL524" s="38" t="s">
        <v>233</v>
      </c>
      <c r="BM524" s="38" t="s">
        <v>178</v>
      </c>
      <c r="BN524" s="38" t="s">
        <v>284</v>
      </c>
      <c r="BO524" s="38" t="s">
        <v>411</v>
      </c>
      <c r="BQ524" s="38" t="str">
        <f t="shared" si="71"/>
        <v>IG</v>
      </c>
      <c r="BR524" s="38" t="str">
        <f t="shared" si="65"/>
        <v>H</v>
      </c>
      <c r="BS524" s="38" t="str">
        <f t="shared" si="66"/>
        <v>B</v>
      </c>
      <c r="BT524" s="38" t="str">
        <f t="shared" si="67"/>
        <v>Y</v>
      </c>
      <c r="BU524" s="38" t="str">
        <f t="shared" si="68"/>
        <v>N</v>
      </c>
      <c r="BV524" s="38" t="str">
        <f t="shared" si="69"/>
        <v>HingedInvisi-Gard Woven Stainless SteelBass LatchYes - Centre</v>
      </c>
      <c r="BW524" s="38" t="str">
        <f t="shared" si="70"/>
        <v>IGHBYN</v>
      </c>
    </row>
    <row r="525" spans="64:75" ht="14.4">
      <c r="BL525" s="38" t="s">
        <v>233</v>
      </c>
      <c r="BM525" s="38" t="s">
        <v>179</v>
      </c>
      <c r="BN525" s="38" t="s">
        <v>284</v>
      </c>
      <c r="BO525" s="38" t="s">
        <v>411</v>
      </c>
      <c r="BQ525" s="38" t="str">
        <f t="shared" si="71"/>
        <v>IG</v>
      </c>
      <c r="BR525" s="38" t="str">
        <f t="shared" si="65"/>
        <v>S</v>
      </c>
      <c r="BS525" s="38" t="str">
        <f t="shared" si="66"/>
        <v>B</v>
      </c>
      <c r="BT525" s="38" t="str">
        <f t="shared" si="67"/>
        <v>Y</v>
      </c>
      <c r="BU525" s="38" t="str">
        <f t="shared" si="68"/>
        <v>N</v>
      </c>
      <c r="BV525" s="38" t="str">
        <f t="shared" si="69"/>
        <v>SlidingInvisi-Gard Woven Stainless SteelBass LatchYes - Centre</v>
      </c>
      <c r="BW525" s="38" t="str">
        <f t="shared" si="70"/>
        <v>IGSBYN</v>
      </c>
    </row>
    <row r="526" spans="64:75" ht="14.4">
      <c r="BL526" s="38" t="s">
        <v>233</v>
      </c>
      <c r="BM526" s="38" t="s">
        <v>220</v>
      </c>
      <c r="BN526" s="38" t="s">
        <v>284</v>
      </c>
      <c r="BO526" s="38" t="s">
        <v>411</v>
      </c>
      <c r="BQ526" s="38" t="str">
        <f t="shared" si="71"/>
        <v>IG</v>
      </c>
      <c r="BR526" s="38" t="str">
        <f t="shared" si="65"/>
        <v>ST</v>
      </c>
      <c r="BS526" s="38" t="str">
        <f t="shared" si="66"/>
        <v>B</v>
      </c>
      <c r="BT526" s="38" t="str">
        <f t="shared" si="67"/>
        <v>Y</v>
      </c>
      <c r="BU526" s="38" t="str">
        <f t="shared" si="68"/>
        <v>N</v>
      </c>
      <c r="BV526" s="38" t="str">
        <f t="shared" si="69"/>
        <v>StackerInvisi-Gard Woven Stainless SteelBass LatchYes - Centre</v>
      </c>
      <c r="BW526" s="38" t="str">
        <f t="shared" si="70"/>
        <v>IGSTBYN</v>
      </c>
    </row>
    <row r="527" spans="64:75" ht="14.4">
      <c r="BL527" s="38" t="s">
        <v>233</v>
      </c>
      <c r="BM527" s="38" t="s">
        <v>178</v>
      </c>
      <c r="BN527" s="38" t="s">
        <v>279</v>
      </c>
      <c r="BO527" s="38" t="s">
        <v>306</v>
      </c>
      <c r="BQ527" s="38" t="str">
        <f t="shared" si="71"/>
        <v>IG</v>
      </c>
      <c r="BR527" s="38" t="str">
        <f t="shared" si="65"/>
        <v>H</v>
      </c>
      <c r="BS527" s="38" t="str">
        <f t="shared" si="66"/>
        <v>S</v>
      </c>
      <c r="BT527" s="38" t="str">
        <f t="shared" si="67"/>
        <v>Y</v>
      </c>
      <c r="BU527" s="38" t="str">
        <f t="shared" si="68"/>
        <v>N</v>
      </c>
      <c r="BV527" s="38" t="str">
        <f t="shared" si="69"/>
        <v>HingedInvisi-Gard Woven Stainless SteelSingle LockYes</v>
      </c>
      <c r="BW527" s="38" t="str">
        <f t="shared" si="70"/>
        <v>IGHSYN</v>
      </c>
    </row>
    <row r="528" spans="64:75" ht="14.4">
      <c r="BL528" s="38" t="s">
        <v>233</v>
      </c>
      <c r="BM528" s="38" t="s">
        <v>179</v>
      </c>
      <c r="BN528" s="38" t="s">
        <v>279</v>
      </c>
      <c r="BO528" s="38" t="s">
        <v>306</v>
      </c>
      <c r="BQ528" s="38" t="str">
        <f t="shared" si="71"/>
        <v>IG</v>
      </c>
      <c r="BR528" s="38" t="str">
        <f t="shared" si="65"/>
        <v>S</v>
      </c>
      <c r="BS528" s="38" t="str">
        <f t="shared" si="66"/>
        <v>S</v>
      </c>
      <c r="BT528" s="38" t="str">
        <f t="shared" si="67"/>
        <v>Y</v>
      </c>
      <c r="BU528" s="38" t="str">
        <f t="shared" si="68"/>
        <v>N</v>
      </c>
      <c r="BV528" s="38" t="str">
        <f t="shared" si="69"/>
        <v>SlidingInvisi-Gard Woven Stainless SteelSingle LockYes</v>
      </c>
      <c r="BW528" s="38" t="str">
        <f t="shared" si="70"/>
        <v>IGSSYN</v>
      </c>
    </row>
    <row r="529" spans="64:75" ht="14.4">
      <c r="BL529" s="38" t="s">
        <v>233</v>
      </c>
      <c r="BM529" s="38" t="s">
        <v>220</v>
      </c>
      <c r="BN529" s="38" t="s">
        <v>279</v>
      </c>
      <c r="BO529" s="38" t="s">
        <v>306</v>
      </c>
      <c r="BQ529" s="38" t="str">
        <f t="shared" si="71"/>
        <v>IG</v>
      </c>
      <c r="BR529" s="38" t="str">
        <f t="shared" si="65"/>
        <v>ST</v>
      </c>
      <c r="BS529" s="38" t="str">
        <f t="shared" si="66"/>
        <v>S</v>
      </c>
      <c r="BT529" s="38" t="str">
        <f t="shared" si="67"/>
        <v>Y</v>
      </c>
      <c r="BU529" s="38" t="str">
        <f t="shared" si="68"/>
        <v>N</v>
      </c>
      <c r="BV529" s="38" t="str">
        <f t="shared" si="69"/>
        <v>StackerInvisi-Gard Woven Stainless SteelSingle LockYes</v>
      </c>
      <c r="BW529" s="38" t="str">
        <f t="shared" si="70"/>
        <v>IGSTSYN</v>
      </c>
    </row>
    <row r="530" spans="64:75" ht="14.4">
      <c r="BL530" s="38" t="s">
        <v>233</v>
      </c>
      <c r="BM530" s="38" t="s">
        <v>178</v>
      </c>
      <c r="BN530" s="38" t="s">
        <v>275</v>
      </c>
      <c r="BO530" s="38" t="s">
        <v>306</v>
      </c>
      <c r="BQ530" s="38" t="str">
        <f t="shared" si="71"/>
        <v>IG</v>
      </c>
      <c r="BR530" s="38" t="str">
        <f t="shared" si="65"/>
        <v>H</v>
      </c>
      <c r="BS530" s="38" t="str">
        <f t="shared" si="66"/>
        <v>T</v>
      </c>
      <c r="BT530" s="38" t="str">
        <f t="shared" si="67"/>
        <v>Y</v>
      </c>
      <c r="BU530" s="38" t="str">
        <f t="shared" si="68"/>
        <v>N</v>
      </c>
      <c r="BV530" s="38" t="str">
        <f t="shared" si="69"/>
        <v>HingedInvisi-Gard Woven Stainless SteelTriple LockYes</v>
      </c>
      <c r="BW530" s="38" t="str">
        <f t="shared" si="70"/>
        <v>IGHTYN</v>
      </c>
    </row>
    <row r="531" spans="64:75" ht="14.4">
      <c r="BL531" s="38" t="s">
        <v>233</v>
      </c>
      <c r="BM531" s="38" t="s">
        <v>179</v>
      </c>
      <c r="BN531" s="38" t="s">
        <v>275</v>
      </c>
      <c r="BO531" s="38" t="s">
        <v>306</v>
      </c>
      <c r="BQ531" s="38" t="str">
        <f t="shared" si="71"/>
        <v>IG</v>
      </c>
      <c r="BR531" s="38" t="str">
        <f t="shared" si="65"/>
        <v>S</v>
      </c>
      <c r="BS531" s="38" t="str">
        <f t="shared" si="66"/>
        <v>T</v>
      </c>
      <c r="BT531" s="38" t="str">
        <f t="shared" si="67"/>
        <v>Y</v>
      </c>
      <c r="BU531" s="38" t="str">
        <f t="shared" si="68"/>
        <v>N</v>
      </c>
      <c r="BV531" s="38" t="str">
        <f t="shared" si="69"/>
        <v>SlidingInvisi-Gard Woven Stainless SteelTriple LockYes</v>
      </c>
      <c r="BW531" s="38" t="str">
        <f t="shared" si="70"/>
        <v>IGSTYN</v>
      </c>
    </row>
    <row r="532" spans="64:75" ht="14.4">
      <c r="BL532" s="38" t="s">
        <v>233</v>
      </c>
      <c r="BM532" s="38" t="s">
        <v>220</v>
      </c>
      <c r="BN532" s="38" t="s">
        <v>275</v>
      </c>
      <c r="BO532" s="38" t="s">
        <v>306</v>
      </c>
      <c r="BQ532" s="38" t="str">
        <f t="shared" si="71"/>
        <v>IG</v>
      </c>
      <c r="BR532" s="38" t="str">
        <f t="shared" si="65"/>
        <v>ST</v>
      </c>
      <c r="BS532" s="38" t="str">
        <f t="shared" si="66"/>
        <v>T</v>
      </c>
      <c r="BT532" s="38" t="str">
        <f t="shared" si="67"/>
        <v>Y</v>
      </c>
      <c r="BU532" s="38" t="str">
        <f t="shared" si="68"/>
        <v>N</v>
      </c>
      <c r="BV532" s="38" t="str">
        <f t="shared" si="69"/>
        <v>StackerInvisi-Gard Woven Stainless SteelTriple LockYes</v>
      </c>
      <c r="BW532" s="38" t="str">
        <f t="shared" si="70"/>
        <v>IGSTTYN</v>
      </c>
    </row>
    <row r="533" spans="64:75" ht="14.4">
      <c r="BL533" s="38" t="s">
        <v>233</v>
      </c>
      <c r="BM533" s="38" t="s">
        <v>178</v>
      </c>
      <c r="BN533" s="38" t="s">
        <v>410</v>
      </c>
      <c r="BO533" s="38" t="s">
        <v>306</v>
      </c>
      <c r="BQ533" s="38" t="str">
        <f t="shared" si="71"/>
        <v>IG</v>
      </c>
      <c r="BR533" s="38" t="str">
        <f t="shared" si="65"/>
        <v>H</v>
      </c>
      <c r="BS533" s="38" t="str">
        <f t="shared" si="66"/>
        <v>N</v>
      </c>
      <c r="BT533" s="38" t="str">
        <f t="shared" si="67"/>
        <v>Y</v>
      </c>
      <c r="BU533" s="38" t="str">
        <f t="shared" si="68"/>
        <v>N</v>
      </c>
      <c r="BV533" s="38" t="str">
        <f t="shared" si="69"/>
        <v>HingedInvisi-Gard Woven Stainless SteelNot RequiredYes</v>
      </c>
      <c r="BW533" s="38" t="str">
        <f t="shared" si="70"/>
        <v>IGHNYN</v>
      </c>
    </row>
    <row r="534" spans="64:75" ht="14.4">
      <c r="BL534" s="38" t="s">
        <v>233</v>
      </c>
      <c r="BM534" s="38" t="s">
        <v>179</v>
      </c>
      <c r="BN534" s="38" t="s">
        <v>410</v>
      </c>
      <c r="BO534" s="38" t="s">
        <v>306</v>
      </c>
      <c r="BQ534" s="38" t="str">
        <f t="shared" si="71"/>
        <v>IG</v>
      </c>
      <c r="BR534" s="38" t="str">
        <f t="shared" si="65"/>
        <v>S</v>
      </c>
      <c r="BS534" s="38" t="str">
        <f t="shared" si="66"/>
        <v>N</v>
      </c>
      <c r="BT534" s="38" t="str">
        <f t="shared" si="67"/>
        <v>Y</v>
      </c>
      <c r="BU534" s="38" t="str">
        <f t="shared" si="68"/>
        <v>N</v>
      </c>
      <c r="BV534" s="38" t="str">
        <f t="shared" si="69"/>
        <v>SlidingInvisi-Gard Woven Stainless SteelNot RequiredYes</v>
      </c>
      <c r="BW534" s="38" t="str">
        <f t="shared" si="70"/>
        <v>IGSNYN</v>
      </c>
    </row>
    <row r="535" spans="64:75" ht="14.4">
      <c r="BL535" s="38" t="s">
        <v>233</v>
      </c>
      <c r="BM535" s="38" t="s">
        <v>220</v>
      </c>
      <c r="BN535" s="38" t="s">
        <v>410</v>
      </c>
      <c r="BO535" s="38" t="s">
        <v>306</v>
      </c>
      <c r="BQ535" s="38" t="str">
        <f t="shared" si="71"/>
        <v>IG</v>
      </c>
      <c r="BR535" s="38" t="str">
        <f t="shared" si="65"/>
        <v>ST</v>
      </c>
      <c r="BS535" s="38" t="str">
        <f t="shared" si="66"/>
        <v>N</v>
      </c>
      <c r="BT535" s="38" t="str">
        <f t="shared" si="67"/>
        <v>Y</v>
      </c>
      <c r="BU535" s="38" t="str">
        <f t="shared" si="68"/>
        <v>N</v>
      </c>
      <c r="BV535" s="38" t="str">
        <f t="shared" si="69"/>
        <v>StackerInvisi-Gard Woven Stainless SteelNot RequiredYes</v>
      </c>
      <c r="BW535" s="38" t="str">
        <f t="shared" si="70"/>
        <v>IGSTNYN</v>
      </c>
    </row>
    <row r="536" spans="64:75" ht="14.4">
      <c r="BL536" s="38" t="s">
        <v>233</v>
      </c>
      <c r="BM536" s="38" t="s">
        <v>178</v>
      </c>
      <c r="BN536" s="38" t="s">
        <v>383</v>
      </c>
      <c r="BO536" s="38" t="s">
        <v>306</v>
      </c>
      <c r="BQ536" s="38" t="str">
        <f t="shared" si="71"/>
        <v>IG</v>
      </c>
      <c r="BR536" s="38" t="str">
        <f t="shared" si="65"/>
        <v>H</v>
      </c>
      <c r="BS536" s="38" t="str">
        <f t="shared" si="66"/>
        <v>D</v>
      </c>
      <c r="BT536" s="38" t="str">
        <f t="shared" si="67"/>
        <v>Y</v>
      </c>
      <c r="BU536" s="38" t="str">
        <f t="shared" si="68"/>
        <v>N</v>
      </c>
      <c r="BV536" s="38" t="str">
        <f t="shared" si="69"/>
        <v>HingedInvisi-Gard Woven Stainless SteelUltra Secua Digital Triple LockYes</v>
      </c>
      <c r="BW536" s="38" t="str">
        <f t="shared" si="70"/>
        <v>IGHDYN</v>
      </c>
    </row>
    <row r="537" spans="64:75" ht="14.4">
      <c r="BL537" s="38" t="s">
        <v>233</v>
      </c>
      <c r="BM537" s="38" t="s">
        <v>179</v>
      </c>
      <c r="BN537" s="38" t="s">
        <v>383</v>
      </c>
      <c r="BO537" s="38" t="s">
        <v>306</v>
      </c>
      <c r="BQ537" s="38" t="str">
        <f t="shared" si="71"/>
        <v>IG</v>
      </c>
      <c r="BR537" s="38" t="str">
        <f t="shared" si="65"/>
        <v>S</v>
      </c>
      <c r="BS537" s="38" t="str">
        <f t="shared" si="66"/>
        <v>D</v>
      </c>
      <c r="BT537" s="38" t="str">
        <f t="shared" si="67"/>
        <v>Y</v>
      </c>
      <c r="BU537" s="38" t="str">
        <f t="shared" si="68"/>
        <v>N</v>
      </c>
      <c r="BV537" s="38" t="str">
        <f t="shared" si="69"/>
        <v>SlidingInvisi-Gard Woven Stainless SteelUltra Secua Digital Triple LockYes</v>
      </c>
      <c r="BW537" s="38" t="str">
        <f t="shared" si="70"/>
        <v>IGSDYN</v>
      </c>
    </row>
    <row r="538" spans="64:75" ht="14.4">
      <c r="BL538" s="38" t="s">
        <v>233</v>
      </c>
      <c r="BM538" s="38" t="s">
        <v>220</v>
      </c>
      <c r="BN538" s="38" t="s">
        <v>383</v>
      </c>
      <c r="BO538" s="38" t="s">
        <v>306</v>
      </c>
      <c r="BQ538" s="38" t="str">
        <f t="shared" si="71"/>
        <v>IG</v>
      </c>
      <c r="BR538" s="38" t="str">
        <f t="shared" si="65"/>
        <v>ST</v>
      </c>
      <c r="BS538" s="38" t="str">
        <f t="shared" si="66"/>
        <v>D</v>
      </c>
      <c r="BT538" s="38" t="str">
        <f t="shared" si="67"/>
        <v>Y</v>
      </c>
      <c r="BU538" s="38" t="str">
        <f t="shared" si="68"/>
        <v>N</v>
      </c>
      <c r="BV538" s="38" t="str">
        <f t="shared" si="69"/>
        <v>StackerInvisi-Gard Woven Stainless SteelUltra Secua Digital Triple LockYes</v>
      </c>
      <c r="BW538" s="38" t="str">
        <f t="shared" si="70"/>
        <v>IGSTDYN</v>
      </c>
    </row>
    <row r="539" spans="64:75" ht="14.4">
      <c r="BL539" s="38" t="s">
        <v>233</v>
      </c>
      <c r="BM539" s="38" t="s">
        <v>178</v>
      </c>
      <c r="BN539" s="38" t="s">
        <v>284</v>
      </c>
      <c r="BO539" s="38" t="s">
        <v>306</v>
      </c>
      <c r="BQ539" s="38" t="str">
        <f t="shared" si="71"/>
        <v>IG</v>
      </c>
      <c r="BR539" s="38" t="str">
        <f t="shared" si="65"/>
        <v>H</v>
      </c>
      <c r="BS539" s="38" t="str">
        <f t="shared" si="66"/>
        <v>B</v>
      </c>
      <c r="BT539" s="38" t="str">
        <f t="shared" si="67"/>
        <v>Y</v>
      </c>
      <c r="BU539" s="38" t="str">
        <f t="shared" si="68"/>
        <v>N</v>
      </c>
      <c r="BV539" s="38" t="str">
        <f t="shared" si="69"/>
        <v>HingedInvisi-Gard Woven Stainless SteelBass LatchYes</v>
      </c>
      <c r="BW539" s="38" t="str">
        <f t="shared" si="70"/>
        <v>IGHBYN</v>
      </c>
    </row>
    <row r="540" spans="64:75" ht="14.4">
      <c r="BL540" s="38" t="s">
        <v>233</v>
      </c>
      <c r="BM540" s="38" t="s">
        <v>179</v>
      </c>
      <c r="BN540" s="38" t="s">
        <v>284</v>
      </c>
      <c r="BO540" s="38" t="s">
        <v>306</v>
      </c>
      <c r="BQ540" s="38" t="str">
        <f t="shared" si="71"/>
        <v>IG</v>
      </c>
      <c r="BR540" s="38" t="str">
        <f t="shared" si="65"/>
        <v>S</v>
      </c>
      <c r="BS540" s="38" t="str">
        <f t="shared" si="66"/>
        <v>B</v>
      </c>
      <c r="BT540" s="38" t="str">
        <f t="shared" si="67"/>
        <v>Y</v>
      </c>
      <c r="BU540" s="38" t="str">
        <f t="shared" si="68"/>
        <v>N</v>
      </c>
      <c r="BV540" s="38" t="str">
        <f t="shared" si="69"/>
        <v>SlidingInvisi-Gard Woven Stainless SteelBass LatchYes</v>
      </c>
      <c r="BW540" s="38" t="str">
        <f t="shared" si="70"/>
        <v>IGSBYN</v>
      </c>
    </row>
    <row r="541" spans="64:75" ht="14.4">
      <c r="BL541" s="38" t="s">
        <v>233</v>
      </c>
      <c r="BM541" s="38" t="s">
        <v>220</v>
      </c>
      <c r="BN541" s="38" t="s">
        <v>284</v>
      </c>
      <c r="BO541" s="38" t="s">
        <v>306</v>
      </c>
      <c r="BQ541" s="38" t="str">
        <f t="shared" si="71"/>
        <v>IG</v>
      </c>
      <c r="BR541" s="38" t="str">
        <f t="shared" si="65"/>
        <v>ST</v>
      </c>
      <c r="BS541" s="38" t="str">
        <f t="shared" si="66"/>
        <v>B</v>
      </c>
      <c r="BT541" s="38" t="str">
        <f t="shared" si="67"/>
        <v>Y</v>
      </c>
      <c r="BU541" s="38" t="str">
        <f t="shared" si="68"/>
        <v>N</v>
      </c>
      <c r="BV541" s="38" t="str">
        <f t="shared" si="69"/>
        <v>StackerInvisi-Gard Woven Stainless SteelBass LatchYes</v>
      </c>
      <c r="BW541" s="38" t="str">
        <f t="shared" si="70"/>
        <v>IGSTBYN</v>
      </c>
    </row>
    <row r="542" spans="64:75" ht="14.4">
      <c r="BL542" s="38" t="s">
        <v>416</v>
      </c>
      <c r="BM542" s="38" t="s">
        <v>178</v>
      </c>
      <c r="BN542" s="38" t="s">
        <v>279</v>
      </c>
      <c r="BO542" s="38" t="s">
        <v>147</v>
      </c>
      <c r="BP542" s="38" t="s">
        <v>306</v>
      </c>
      <c r="BQ542" s="38" t="str">
        <f t="shared" si="71"/>
        <v>FW</v>
      </c>
      <c r="BR542" s="38" t="str">
        <f t="shared" si="72" ref="BR542:BR548">IF(BM542="Hinged","H",IF(BM542="Sliding","S",IF(BM542="Stacker","ST")))</f>
        <v>H</v>
      </c>
      <c r="BS542" s="38" t="str">
        <f t="shared" si="73" ref="BS542:BS548">IF(BN542="Single Lock","S",IF(BN542="Triple Lock","T",IF(BN542="Not Required","N",IF(BN542="Ultra Secua Digital Triple Lock","D",IF(BN542="Bass Latch","B")))))</f>
        <v>S</v>
      </c>
      <c r="BT542" s="38" t="str">
        <f t="shared" si="74" ref="BT542:BT548">IF(BO542="No","N",IF(BO542="Yes","Y",IF(BO542="Not Required","N",IF(BO542="Yes - Centre","Y"))))</f>
        <v>N</v>
      </c>
      <c r="BU542" s="38" t="str">
        <f t="shared" si="75" ref="BU542:BU548">IF(BP542="","N",IF(BP542="Yes","Y"))</f>
        <v>Y</v>
      </c>
      <c r="BV542" s="38" t="str">
        <f t="shared" si="76" ref="BV542:BV548">CONCATENATE(BM542,BL542,BN542,BO542,BP542,)</f>
        <v>HingedFlyscreenSingle LockNoYes</v>
      </c>
      <c r="BW542" s="38" t="str">
        <f t="shared" si="77" ref="BW542:BW548">CONCATENATE(BQ542,BR542,BS542,BT542,BU542)</f>
        <v>FWHSNY</v>
      </c>
    </row>
    <row r="543" spans="64:75" ht="14.4">
      <c r="BL543" s="38" t="s">
        <v>416</v>
      </c>
      <c r="BM543" s="38" t="s">
        <v>179</v>
      </c>
      <c r="BN543" s="38" t="s">
        <v>279</v>
      </c>
      <c r="BO543" s="38" t="s">
        <v>147</v>
      </c>
      <c r="BP543" s="38" t="s">
        <v>306</v>
      </c>
      <c r="BQ543" s="38" t="str">
        <f t="shared" si="71"/>
        <v>FW</v>
      </c>
      <c r="BR543" s="38" t="str">
        <f t="shared" si="72"/>
        <v>S</v>
      </c>
      <c r="BS543" s="38" t="str">
        <f t="shared" si="73"/>
        <v>S</v>
      </c>
      <c r="BT543" s="38" t="str">
        <f t="shared" si="74"/>
        <v>N</v>
      </c>
      <c r="BU543" s="38" t="str">
        <f t="shared" si="75"/>
        <v>Y</v>
      </c>
      <c r="BV543" s="38" t="str">
        <f t="shared" si="76"/>
        <v>SlidingFlyscreenSingle LockNoYes</v>
      </c>
      <c r="BW543" s="38" t="str">
        <f t="shared" si="77"/>
        <v>FWSSNY</v>
      </c>
    </row>
    <row r="544" spans="64:75" ht="14.4">
      <c r="BL544" s="38" t="s">
        <v>416</v>
      </c>
      <c r="BM544" s="38" t="s">
        <v>220</v>
      </c>
      <c r="BN544" s="38" t="s">
        <v>279</v>
      </c>
      <c r="BO544" s="38" t="s">
        <v>147</v>
      </c>
      <c r="BP544" s="38" t="s">
        <v>306</v>
      </c>
      <c r="BQ544" s="38" t="str">
        <f t="shared" si="71"/>
        <v>FW</v>
      </c>
      <c r="BR544" s="38" t="str">
        <f t="shared" si="72"/>
        <v>ST</v>
      </c>
      <c r="BS544" s="38" t="str">
        <f t="shared" si="73"/>
        <v>S</v>
      </c>
      <c r="BT544" s="38" t="str">
        <f t="shared" si="74"/>
        <v>N</v>
      </c>
      <c r="BU544" s="38" t="str">
        <f t="shared" si="75"/>
        <v>Y</v>
      </c>
      <c r="BV544" s="38" t="str">
        <f t="shared" si="76"/>
        <v>StackerFlyscreenSingle LockNoYes</v>
      </c>
      <c r="BW544" s="38" t="str">
        <f t="shared" si="77"/>
        <v>FWSTSNY</v>
      </c>
    </row>
    <row r="545" spans="64:75" ht="14.4">
      <c r="BL545" s="38" t="s">
        <v>416</v>
      </c>
      <c r="BM545" s="38" t="s">
        <v>178</v>
      </c>
      <c r="BN545" s="38" t="s">
        <v>275</v>
      </c>
      <c r="BO545" s="38" t="s">
        <v>147</v>
      </c>
      <c r="BP545" s="38" t="s">
        <v>306</v>
      </c>
      <c r="BQ545" s="38" t="str">
        <f t="shared" si="71"/>
        <v>FW</v>
      </c>
      <c r="BR545" s="38" t="str">
        <f t="shared" si="72"/>
        <v>H</v>
      </c>
      <c r="BS545" s="38" t="str">
        <f t="shared" si="73"/>
        <v>T</v>
      </c>
      <c r="BT545" s="38" t="str">
        <f t="shared" si="74"/>
        <v>N</v>
      </c>
      <c r="BU545" s="38" t="str">
        <f t="shared" si="75"/>
        <v>Y</v>
      </c>
      <c r="BV545" s="38" t="str">
        <f t="shared" si="76"/>
        <v>HingedFlyscreenTriple LockNoYes</v>
      </c>
      <c r="BW545" s="38" t="str">
        <f t="shared" si="77"/>
        <v>FWHTNY</v>
      </c>
    </row>
    <row r="546" spans="64:75" ht="14.4">
      <c r="BL546" s="38" t="s">
        <v>416</v>
      </c>
      <c r="BM546" s="38" t="s">
        <v>179</v>
      </c>
      <c r="BN546" s="38" t="s">
        <v>275</v>
      </c>
      <c r="BO546" s="38" t="s">
        <v>147</v>
      </c>
      <c r="BP546" s="38" t="s">
        <v>306</v>
      </c>
      <c r="BQ546" s="38" t="str">
        <f t="shared" si="71"/>
        <v>FW</v>
      </c>
      <c r="BR546" s="38" t="str">
        <f t="shared" si="72"/>
        <v>S</v>
      </c>
      <c r="BS546" s="38" t="str">
        <f t="shared" si="73"/>
        <v>T</v>
      </c>
      <c r="BT546" s="38" t="str">
        <f t="shared" si="74"/>
        <v>N</v>
      </c>
      <c r="BU546" s="38" t="str">
        <f t="shared" si="75"/>
        <v>Y</v>
      </c>
      <c r="BV546" s="38" t="str">
        <f t="shared" si="76"/>
        <v>SlidingFlyscreenTriple LockNoYes</v>
      </c>
      <c r="BW546" s="38" t="str">
        <f t="shared" si="77"/>
        <v>FWSTNY</v>
      </c>
    </row>
    <row r="547" spans="64:75" ht="14.4">
      <c r="BL547" s="38" t="s">
        <v>416</v>
      </c>
      <c r="BM547" s="38" t="s">
        <v>220</v>
      </c>
      <c r="BN547" s="38" t="s">
        <v>275</v>
      </c>
      <c r="BO547" s="38" t="s">
        <v>147</v>
      </c>
      <c r="BP547" s="38" t="s">
        <v>306</v>
      </c>
      <c r="BQ547" s="38" t="str">
        <f t="shared" si="71"/>
        <v>FW</v>
      </c>
      <c r="BR547" s="38" t="str">
        <f t="shared" si="72"/>
        <v>ST</v>
      </c>
      <c r="BS547" s="38" t="str">
        <f t="shared" si="73"/>
        <v>T</v>
      </c>
      <c r="BT547" s="38" t="str">
        <f t="shared" si="74"/>
        <v>N</v>
      </c>
      <c r="BU547" s="38" t="str">
        <f t="shared" si="75"/>
        <v>Y</v>
      </c>
      <c r="BV547" s="38" t="str">
        <f t="shared" si="76"/>
        <v>StackerFlyscreenTriple LockNoYes</v>
      </c>
      <c r="BW547" s="38" t="str">
        <f t="shared" si="77"/>
        <v>FWSTTNY</v>
      </c>
    </row>
    <row r="548" spans="64:75" ht="14.4">
      <c r="BL548" s="38" t="s">
        <v>416</v>
      </c>
      <c r="BM548" s="38" t="s">
        <v>178</v>
      </c>
      <c r="BN548" s="38" t="s">
        <v>410</v>
      </c>
      <c r="BO548" s="38" t="s">
        <v>147</v>
      </c>
      <c r="BP548" s="38" t="s">
        <v>306</v>
      </c>
      <c r="BQ548" s="38" t="str">
        <f t="shared" si="71"/>
        <v>FW</v>
      </c>
      <c r="BR548" s="38" t="str">
        <f t="shared" si="72"/>
        <v>H</v>
      </c>
      <c r="BS548" s="38" t="str">
        <f t="shared" si="73"/>
        <v>N</v>
      </c>
      <c r="BT548" s="38" t="str">
        <f t="shared" si="74"/>
        <v>N</v>
      </c>
      <c r="BU548" s="38" t="str">
        <f t="shared" si="75"/>
        <v>Y</v>
      </c>
      <c r="BV548" s="38" t="str">
        <f t="shared" si="76"/>
        <v>HingedFlyscreenNot RequiredNoYes</v>
      </c>
      <c r="BW548" s="38" t="str">
        <f t="shared" si="77"/>
        <v>FWHNNY</v>
      </c>
    </row>
    <row r="549" spans="64:75" ht="14.4">
      <c r="BL549" s="38" t="s">
        <v>416</v>
      </c>
      <c r="BM549" s="38" t="s">
        <v>179</v>
      </c>
      <c r="BN549" s="38" t="s">
        <v>410</v>
      </c>
      <c r="BO549" s="38" t="s">
        <v>147</v>
      </c>
      <c r="BP549" s="38" t="s">
        <v>306</v>
      </c>
      <c r="BQ549" s="38" t="str">
        <f t="shared" si="71"/>
        <v>FW</v>
      </c>
      <c r="BR549" s="38" t="str">
        <f t="shared" si="78" ref="BR549:BR612">IF(BM549="Hinged","H",IF(BM549="Sliding","S",IF(BM549="Stacker","ST")))</f>
        <v>S</v>
      </c>
      <c r="BS549" s="38" t="str">
        <f t="shared" si="79" ref="BS549:BS612">IF(BN549="Single Lock","S",IF(BN549="Triple Lock","T",IF(BN549="Not Required","N",IF(BN549="Ultra Secua Digital Triple Lock","D",IF(BN549="Bass Latch","B")))))</f>
        <v>N</v>
      </c>
      <c r="BT549" s="38" t="str">
        <f t="shared" si="80" ref="BT549:BT612">IF(BO549="No","N",IF(BO549="Yes","Y",IF(BO549="Not Required","N",IF(BO549="Yes - Centre","Y"))))</f>
        <v>N</v>
      </c>
      <c r="BU549" s="38" t="str">
        <f t="shared" si="81" ref="BU549:BU612">IF(BP549="","N",IF(BP549="Yes","Y"))</f>
        <v>Y</v>
      </c>
      <c r="BV549" s="38" t="str">
        <f t="shared" si="82" ref="BV549:BV612">CONCATENATE(BM549,BL549,BN549,BO549,BP549,)</f>
        <v>SlidingFlyscreenNot RequiredNoYes</v>
      </c>
      <c r="BW549" s="38" t="str">
        <f t="shared" si="83" ref="BW549:BW612">CONCATENATE(BQ549,BR549,BS549,BT549,BU549)</f>
        <v>FWSNNY</v>
      </c>
    </row>
    <row r="550" spans="64:75" ht="14.4">
      <c r="BL550" s="38" t="s">
        <v>416</v>
      </c>
      <c r="BM550" s="38" t="s">
        <v>220</v>
      </c>
      <c r="BN550" s="38" t="s">
        <v>410</v>
      </c>
      <c r="BO550" s="38" t="s">
        <v>147</v>
      </c>
      <c r="BP550" s="38" t="s">
        <v>306</v>
      </c>
      <c r="BQ550" s="38" t="str">
        <f t="shared" si="71"/>
        <v>FW</v>
      </c>
      <c r="BR550" s="38" t="str">
        <f t="shared" si="78"/>
        <v>ST</v>
      </c>
      <c r="BS550" s="38" t="str">
        <f t="shared" si="79"/>
        <v>N</v>
      </c>
      <c r="BT550" s="38" t="str">
        <f t="shared" si="80"/>
        <v>N</v>
      </c>
      <c r="BU550" s="38" t="str">
        <f t="shared" si="81"/>
        <v>Y</v>
      </c>
      <c r="BV550" s="38" t="str">
        <f t="shared" si="82"/>
        <v>StackerFlyscreenNot RequiredNoYes</v>
      </c>
      <c r="BW550" s="38" t="str">
        <f t="shared" si="83"/>
        <v>FWSTNNY</v>
      </c>
    </row>
    <row r="551" spans="64:75" ht="14.4">
      <c r="BL551" s="38" t="s">
        <v>416</v>
      </c>
      <c r="BM551" s="38" t="s">
        <v>178</v>
      </c>
      <c r="BN551" s="38" t="s">
        <v>383</v>
      </c>
      <c r="BO551" s="38" t="s">
        <v>147</v>
      </c>
      <c r="BP551" s="38" t="s">
        <v>306</v>
      </c>
      <c r="BQ551" s="38" t="str">
        <f t="shared" si="71"/>
        <v>FW</v>
      </c>
      <c r="BR551" s="38" t="str">
        <f t="shared" si="78"/>
        <v>H</v>
      </c>
      <c r="BS551" s="38" t="str">
        <f t="shared" si="79"/>
        <v>D</v>
      </c>
      <c r="BT551" s="38" t="str">
        <f t="shared" si="80"/>
        <v>N</v>
      </c>
      <c r="BU551" s="38" t="str">
        <f t="shared" si="81"/>
        <v>Y</v>
      </c>
      <c r="BV551" s="38" t="str">
        <f t="shared" si="82"/>
        <v>HingedFlyscreenUltra Secua Digital Triple LockNoYes</v>
      </c>
      <c r="BW551" s="38" t="str">
        <f t="shared" si="83"/>
        <v>FWHDNY</v>
      </c>
    </row>
    <row r="552" spans="64:75" ht="14.4">
      <c r="BL552" s="38" t="s">
        <v>416</v>
      </c>
      <c r="BM552" s="38" t="s">
        <v>179</v>
      </c>
      <c r="BN552" s="38" t="s">
        <v>383</v>
      </c>
      <c r="BO552" s="38" t="s">
        <v>147</v>
      </c>
      <c r="BP552" s="38" t="s">
        <v>306</v>
      </c>
      <c r="BQ552" s="38" t="str">
        <f t="shared" si="71"/>
        <v>FW</v>
      </c>
      <c r="BR552" s="38" t="str">
        <f t="shared" si="78"/>
        <v>S</v>
      </c>
      <c r="BS552" s="38" t="str">
        <f t="shared" si="79"/>
        <v>D</v>
      </c>
      <c r="BT552" s="38" t="str">
        <f t="shared" si="80"/>
        <v>N</v>
      </c>
      <c r="BU552" s="38" t="str">
        <f t="shared" si="81"/>
        <v>Y</v>
      </c>
      <c r="BV552" s="38" t="str">
        <f t="shared" si="82"/>
        <v>SlidingFlyscreenUltra Secua Digital Triple LockNoYes</v>
      </c>
      <c r="BW552" s="38" t="str">
        <f t="shared" si="83"/>
        <v>FWSDNY</v>
      </c>
    </row>
    <row r="553" spans="64:75" ht="14.4">
      <c r="BL553" s="38" t="s">
        <v>416</v>
      </c>
      <c r="BM553" s="38" t="s">
        <v>220</v>
      </c>
      <c r="BN553" s="38" t="s">
        <v>383</v>
      </c>
      <c r="BO553" s="38" t="s">
        <v>147</v>
      </c>
      <c r="BP553" s="38" t="s">
        <v>306</v>
      </c>
      <c r="BQ553" s="38" t="str">
        <f t="shared" si="71"/>
        <v>FW</v>
      </c>
      <c r="BR553" s="38" t="str">
        <f t="shared" si="78"/>
        <v>ST</v>
      </c>
      <c r="BS553" s="38" t="str">
        <f t="shared" si="79"/>
        <v>D</v>
      </c>
      <c r="BT553" s="38" t="str">
        <f t="shared" si="80"/>
        <v>N</v>
      </c>
      <c r="BU553" s="38" t="str">
        <f t="shared" si="81"/>
        <v>Y</v>
      </c>
      <c r="BV553" s="38" t="str">
        <f t="shared" si="82"/>
        <v>StackerFlyscreenUltra Secua Digital Triple LockNoYes</v>
      </c>
      <c r="BW553" s="38" t="str">
        <f t="shared" si="83"/>
        <v>FWSTDNY</v>
      </c>
    </row>
    <row r="554" spans="64:75" ht="14.4">
      <c r="BL554" s="38" t="s">
        <v>416</v>
      </c>
      <c r="BM554" s="38" t="s">
        <v>178</v>
      </c>
      <c r="BN554" s="38" t="s">
        <v>284</v>
      </c>
      <c r="BO554" s="38" t="s">
        <v>147</v>
      </c>
      <c r="BP554" s="38" t="s">
        <v>306</v>
      </c>
      <c r="BQ554" s="38" t="str">
        <f t="shared" si="71"/>
        <v>FW</v>
      </c>
      <c r="BR554" s="38" t="str">
        <f t="shared" si="78"/>
        <v>H</v>
      </c>
      <c r="BS554" s="38" t="str">
        <f t="shared" si="79"/>
        <v>B</v>
      </c>
      <c r="BT554" s="38" t="str">
        <f t="shared" si="80"/>
        <v>N</v>
      </c>
      <c r="BU554" s="38" t="str">
        <f t="shared" si="81"/>
        <v>Y</v>
      </c>
      <c r="BV554" s="38" t="str">
        <f t="shared" si="82"/>
        <v>HingedFlyscreenBass LatchNoYes</v>
      </c>
      <c r="BW554" s="38" t="str">
        <f t="shared" si="83"/>
        <v>FWHBNY</v>
      </c>
    </row>
    <row r="555" spans="64:75" ht="14.4">
      <c r="BL555" s="38" t="s">
        <v>416</v>
      </c>
      <c r="BM555" s="38" t="s">
        <v>179</v>
      </c>
      <c r="BN555" s="38" t="s">
        <v>284</v>
      </c>
      <c r="BO555" s="38" t="s">
        <v>147</v>
      </c>
      <c r="BP555" s="38" t="s">
        <v>306</v>
      </c>
      <c r="BQ555" s="38" t="str">
        <f t="shared" si="71"/>
        <v>FW</v>
      </c>
      <c r="BR555" s="38" t="str">
        <f t="shared" si="78"/>
        <v>S</v>
      </c>
      <c r="BS555" s="38" t="str">
        <f t="shared" si="79"/>
        <v>B</v>
      </c>
      <c r="BT555" s="38" t="str">
        <f t="shared" si="80"/>
        <v>N</v>
      </c>
      <c r="BU555" s="38" t="str">
        <f t="shared" si="81"/>
        <v>Y</v>
      </c>
      <c r="BV555" s="38" t="str">
        <f t="shared" si="82"/>
        <v>SlidingFlyscreenBass LatchNoYes</v>
      </c>
      <c r="BW555" s="38" t="str">
        <f t="shared" si="83"/>
        <v>FWSBNY</v>
      </c>
    </row>
    <row r="556" spans="64:75" ht="14.4">
      <c r="BL556" s="38" t="s">
        <v>416</v>
      </c>
      <c r="BM556" s="38" t="s">
        <v>220</v>
      </c>
      <c r="BN556" s="38" t="s">
        <v>284</v>
      </c>
      <c r="BO556" s="38" t="s">
        <v>147</v>
      </c>
      <c r="BP556" s="38" t="s">
        <v>306</v>
      </c>
      <c r="BQ556" s="38" t="str">
        <f t="shared" si="71"/>
        <v>FW</v>
      </c>
      <c r="BR556" s="38" t="str">
        <f t="shared" si="78"/>
        <v>ST</v>
      </c>
      <c r="BS556" s="38" t="str">
        <f t="shared" si="79"/>
        <v>B</v>
      </c>
      <c r="BT556" s="38" t="str">
        <f t="shared" si="80"/>
        <v>N</v>
      </c>
      <c r="BU556" s="38" t="str">
        <f t="shared" si="81"/>
        <v>Y</v>
      </c>
      <c r="BV556" s="38" t="str">
        <f t="shared" si="82"/>
        <v>StackerFlyscreenBass LatchNoYes</v>
      </c>
      <c r="BW556" s="38" t="str">
        <f t="shared" si="83"/>
        <v>FWSTBNY</v>
      </c>
    </row>
    <row r="557" spans="64:75" ht="14.4">
      <c r="BL557" s="38" t="s">
        <v>416</v>
      </c>
      <c r="BM557" s="38" t="s">
        <v>178</v>
      </c>
      <c r="BN557" s="38" t="s">
        <v>279</v>
      </c>
      <c r="BO557" s="38" t="s">
        <v>411</v>
      </c>
      <c r="BP557" s="38" t="s">
        <v>306</v>
      </c>
      <c r="BQ557" s="38" t="str">
        <f t="shared" si="71"/>
        <v>FW</v>
      </c>
      <c r="BR557" s="38" t="str">
        <f t="shared" si="78"/>
        <v>H</v>
      </c>
      <c r="BS557" s="38" t="str">
        <f t="shared" si="79"/>
        <v>S</v>
      </c>
      <c r="BT557" s="38" t="str">
        <f t="shared" si="80"/>
        <v>Y</v>
      </c>
      <c r="BU557" s="38" t="str">
        <f t="shared" si="81"/>
        <v>Y</v>
      </c>
      <c r="BV557" s="38" t="str">
        <f t="shared" si="82"/>
        <v>HingedFlyscreenSingle LockYes - CentreYes</v>
      </c>
      <c r="BW557" s="38" t="str">
        <f t="shared" si="83"/>
        <v>FWHSYY</v>
      </c>
    </row>
    <row r="558" spans="64:75" ht="14.4">
      <c r="BL558" s="38" t="s">
        <v>416</v>
      </c>
      <c r="BM558" s="38" t="s">
        <v>179</v>
      </c>
      <c r="BN558" s="38" t="s">
        <v>279</v>
      </c>
      <c r="BO558" s="38" t="s">
        <v>411</v>
      </c>
      <c r="BP558" s="38" t="s">
        <v>306</v>
      </c>
      <c r="BQ558" s="38" t="str">
        <f t="shared" si="71"/>
        <v>FW</v>
      </c>
      <c r="BR558" s="38" t="str">
        <f t="shared" si="78"/>
        <v>S</v>
      </c>
      <c r="BS558" s="38" t="str">
        <f t="shared" si="79"/>
        <v>S</v>
      </c>
      <c r="BT558" s="38" t="str">
        <f t="shared" si="80"/>
        <v>Y</v>
      </c>
      <c r="BU558" s="38" t="str">
        <f t="shared" si="81"/>
        <v>Y</v>
      </c>
      <c r="BV558" s="38" t="str">
        <f t="shared" si="82"/>
        <v>SlidingFlyscreenSingle LockYes - CentreYes</v>
      </c>
      <c r="BW558" s="38" t="str">
        <f t="shared" si="83"/>
        <v>FWSSYY</v>
      </c>
    </row>
    <row r="559" spans="64:75" ht="14.4">
      <c r="BL559" s="38" t="s">
        <v>416</v>
      </c>
      <c r="BM559" s="38" t="s">
        <v>220</v>
      </c>
      <c r="BN559" s="38" t="s">
        <v>279</v>
      </c>
      <c r="BO559" s="38" t="s">
        <v>411</v>
      </c>
      <c r="BP559" s="38" t="s">
        <v>306</v>
      </c>
      <c r="BQ559" s="38" t="str">
        <f t="shared" si="71"/>
        <v>FW</v>
      </c>
      <c r="BR559" s="38" t="str">
        <f t="shared" si="78"/>
        <v>ST</v>
      </c>
      <c r="BS559" s="38" t="str">
        <f t="shared" si="79"/>
        <v>S</v>
      </c>
      <c r="BT559" s="38" t="str">
        <f t="shared" si="80"/>
        <v>Y</v>
      </c>
      <c r="BU559" s="38" t="str">
        <f t="shared" si="81"/>
        <v>Y</v>
      </c>
      <c r="BV559" s="38" t="str">
        <f t="shared" si="82"/>
        <v>StackerFlyscreenSingle LockYes - CentreYes</v>
      </c>
      <c r="BW559" s="38" t="str">
        <f t="shared" si="83"/>
        <v>FWSTSYY</v>
      </c>
    </row>
    <row r="560" spans="64:75" ht="14.4">
      <c r="BL560" s="38" t="s">
        <v>416</v>
      </c>
      <c r="BM560" s="38" t="s">
        <v>178</v>
      </c>
      <c r="BN560" s="38" t="s">
        <v>275</v>
      </c>
      <c r="BO560" s="38" t="s">
        <v>411</v>
      </c>
      <c r="BP560" s="38" t="s">
        <v>306</v>
      </c>
      <c r="BQ560" s="38" t="str">
        <f t="shared" si="71"/>
        <v>FW</v>
      </c>
      <c r="BR560" s="38" t="str">
        <f t="shared" si="78"/>
        <v>H</v>
      </c>
      <c r="BS560" s="38" t="str">
        <f t="shared" si="79"/>
        <v>T</v>
      </c>
      <c r="BT560" s="38" t="str">
        <f t="shared" si="80"/>
        <v>Y</v>
      </c>
      <c r="BU560" s="38" t="str">
        <f t="shared" si="81"/>
        <v>Y</v>
      </c>
      <c r="BV560" s="38" t="str">
        <f t="shared" si="82"/>
        <v>HingedFlyscreenTriple LockYes - CentreYes</v>
      </c>
      <c r="BW560" s="38" t="str">
        <f t="shared" si="83"/>
        <v>FWHTYY</v>
      </c>
    </row>
    <row r="561" spans="64:75" ht="14.4">
      <c r="BL561" s="38" t="s">
        <v>416</v>
      </c>
      <c r="BM561" s="38" t="s">
        <v>179</v>
      </c>
      <c r="BN561" s="38" t="s">
        <v>275</v>
      </c>
      <c r="BO561" s="38" t="s">
        <v>411</v>
      </c>
      <c r="BP561" s="38" t="s">
        <v>306</v>
      </c>
      <c r="BQ561" s="38" t="str">
        <f t="shared" si="71"/>
        <v>FW</v>
      </c>
      <c r="BR561" s="38" t="str">
        <f t="shared" si="78"/>
        <v>S</v>
      </c>
      <c r="BS561" s="38" t="str">
        <f t="shared" si="79"/>
        <v>T</v>
      </c>
      <c r="BT561" s="38" t="str">
        <f t="shared" si="80"/>
        <v>Y</v>
      </c>
      <c r="BU561" s="38" t="str">
        <f t="shared" si="81"/>
        <v>Y</v>
      </c>
      <c r="BV561" s="38" t="str">
        <f t="shared" si="82"/>
        <v>SlidingFlyscreenTriple LockYes - CentreYes</v>
      </c>
      <c r="BW561" s="38" t="str">
        <f t="shared" si="83"/>
        <v>FWSTYY</v>
      </c>
    </row>
    <row r="562" spans="64:75" ht="14.4">
      <c r="BL562" s="38" t="s">
        <v>416</v>
      </c>
      <c r="BM562" s="38" t="s">
        <v>220</v>
      </c>
      <c r="BN562" s="38" t="s">
        <v>275</v>
      </c>
      <c r="BO562" s="38" t="s">
        <v>411</v>
      </c>
      <c r="BP562" s="38" t="s">
        <v>306</v>
      </c>
      <c r="BQ562" s="38" t="str">
        <f t="shared" si="71"/>
        <v>FW</v>
      </c>
      <c r="BR562" s="38" t="str">
        <f t="shared" si="78"/>
        <v>ST</v>
      </c>
      <c r="BS562" s="38" t="str">
        <f t="shared" si="79"/>
        <v>T</v>
      </c>
      <c r="BT562" s="38" t="str">
        <f t="shared" si="80"/>
        <v>Y</v>
      </c>
      <c r="BU562" s="38" t="str">
        <f t="shared" si="81"/>
        <v>Y</v>
      </c>
      <c r="BV562" s="38" t="str">
        <f t="shared" si="82"/>
        <v>StackerFlyscreenTriple LockYes - CentreYes</v>
      </c>
      <c r="BW562" s="38" t="str">
        <f t="shared" si="83"/>
        <v>FWSTTYY</v>
      </c>
    </row>
    <row r="563" spans="64:75" ht="14.4">
      <c r="BL563" s="38" t="s">
        <v>416</v>
      </c>
      <c r="BM563" s="38" t="s">
        <v>178</v>
      </c>
      <c r="BN563" s="38" t="s">
        <v>410</v>
      </c>
      <c r="BO563" s="38" t="s">
        <v>411</v>
      </c>
      <c r="BP563" s="38" t="s">
        <v>306</v>
      </c>
      <c r="BQ563" s="38" t="str">
        <f t="shared" si="71"/>
        <v>FW</v>
      </c>
      <c r="BR563" s="38" t="str">
        <f t="shared" si="78"/>
        <v>H</v>
      </c>
      <c r="BS563" s="38" t="str">
        <f t="shared" si="79"/>
        <v>N</v>
      </c>
      <c r="BT563" s="38" t="str">
        <f t="shared" si="80"/>
        <v>Y</v>
      </c>
      <c r="BU563" s="38" t="str">
        <f t="shared" si="81"/>
        <v>Y</v>
      </c>
      <c r="BV563" s="38" t="str">
        <f t="shared" si="82"/>
        <v>HingedFlyscreenNot RequiredYes - CentreYes</v>
      </c>
      <c r="BW563" s="38" t="str">
        <f t="shared" si="83"/>
        <v>FWHNYY</v>
      </c>
    </row>
    <row r="564" spans="64:75" ht="14.4">
      <c r="BL564" s="38" t="s">
        <v>416</v>
      </c>
      <c r="BM564" s="38" t="s">
        <v>179</v>
      </c>
      <c r="BN564" s="38" t="s">
        <v>410</v>
      </c>
      <c r="BO564" s="38" t="s">
        <v>411</v>
      </c>
      <c r="BP564" s="38" t="s">
        <v>306</v>
      </c>
      <c r="BQ564" s="38" t="str">
        <f t="shared" si="71"/>
        <v>FW</v>
      </c>
      <c r="BR564" s="38" t="str">
        <f t="shared" si="78"/>
        <v>S</v>
      </c>
      <c r="BS564" s="38" t="str">
        <f t="shared" si="79"/>
        <v>N</v>
      </c>
      <c r="BT564" s="38" t="str">
        <f t="shared" si="80"/>
        <v>Y</v>
      </c>
      <c r="BU564" s="38" t="str">
        <f t="shared" si="81"/>
        <v>Y</v>
      </c>
      <c r="BV564" s="38" t="str">
        <f t="shared" si="82"/>
        <v>SlidingFlyscreenNot RequiredYes - CentreYes</v>
      </c>
      <c r="BW564" s="38" t="str">
        <f t="shared" si="83"/>
        <v>FWSNYY</v>
      </c>
    </row>
    <row r="565" spans="64:75" ht="14.4">
      <c r="BL565" s="38" t="s">
        <v>416</v>
      </c>
      <c r="BM565" s="38" t="s">
        <v>220</v>
      </c>
      <c r="BN565" s="38" t="s">
        <v>410</v>
      </c>
      <c r="BO565" s="38" t="s">
        <v>411</v>
      </c>
      <c r="BP565" s="38" t="s">
        <v>306</v>
      </c>
      <c r="BQ565" s="38" t="str">
        <f t="shared" si="71"/>
        <v>FW</v>
      </c>
      <c r="BR565" s="38" t="str">
        <f t="shared" si="78"/>
        <v>ST</v>
      </c>
      <c r="BS565" s="38" t="str">
        <f t="shared" si="79"/>
        <v>N</v>
      </c>
      <c r="BT565" s="38" t="str">
        <f t="shared" si="80"/>
        <v>Y</v>
      </c>
      <c r="BU565" s="38" t="str">
        <f t="shared" si="81"/>
        <v>Y</v>
      </c>
      <c r="BV565" s="38" t="str">
        <f t="shared" si="82"/>
        <v>StackerFlyscreenNot RequiredYes - CentreYes</v>
      </c>
      <c r="BW565" s="38" t="str">
        <f t="shared" si="83"/>
        <v>FWSTNYY</v>
      </c>
    </row>
    <row r="566" spans="64:75" ht="14.4">
      <c r="BL566" s="38" t="s">
        <v>416</v>
      </c>
      <c r="BM566" s="38" t="s">
        <v>178</v>
      </c>
      <c r="BN566" s="38" t="s">
        <v>383</v>
      </c>
      <c r="BO566" s="38" t="s">
        <v>411</v>
      </c>
      <c r="BP566" s="38" t="s">
        <v>306</v>
      </c>
      <c r="BQ566" s="38" t="str">
        <f t="shared" si="71"/>
        <v>FW</v>
      </c>
      <c r="BR566" s="38" t="str">
        <f t="shared" si="78"/>
        <v>H</v>
      </c>
      <c r="BS566" s="38" t="str">
        <f t="shared" si="79"/>
        <v>D</v>
      </c>
      <c r="BT566" s="38" t="str">
        <f t="shared" si="80"/>
        <v>Y</v>
      </c>
      <c r="BU566" s="38" t="str">
        <f t="shared" si="81"/>
        <v>Y</v>
      </c>
      <c r="BV566" s="38" t="str">
        <f t="shared" si="82"/>
        <v>HingedFlyscreenUltra Secua Digital Triple LockYes - CentreYes</v>
      </c>
      <c r="BW566" s="38" t="str">
        <f t="shared" si="83"/>
        <v>FWHDYY</v>
      </c>
    </row>
    <row r="567" spans="64:75" ht="14.4">
      <c r="BL567" s="38" t="s">
        <v>416</v>
      </c>
      <c r="BM567" s="38" t="s">
        <v>179</v>
      </c>
      <c r="BN567" s="38" t="s">
        <v>383</v>
      </c>
      <c r="BO567" s="38" t="s">
        <v>411</v>
      </c>
      <c r="BP567" s="38" t="s">
        <v>306</v>
      </c>
      <c r="BQ567" s="38" t="str">
        <f t="shared" si="71"/>
        <v>FW</v>
      </c>
      <c r="BR567" s="38" t="str">
        <f t="shared" si="78"/>
        <v>S</v>
      </c>
      <c r="BS567" s="38" t="str">
        <f t="shared" si="79"/>
        <v>D</v>
      </c>
      <c r="BT567" s="38" t="str">
        <f t="shared" si="80"/>
        <v>Y</v>
      </c>
      <c r="BU567" s="38" t="str">
        <f t="shared" si="81"/>
        <v>Y</v>
      </c>
      <c r="BV567" s="38" t="str">
        <f t="shared" si="82"/>
        <v>SlidingFlyscreenUltra Secua Digital Triple LockYes - CentreYes</v>
      </c>
      <c r="BW567" s="38" t="str">
        <f t="shared" si="83"/>
        <v>FWSDYY</v>
      </c>
    </row>
    <row r="568" spans="64:75" ht="14.4">
      <c r="BL568" s="38" t="s">
        <v>416</v>
      </c>
      <c r="BM568" s="38" t="s">
        <v>220</v>
      </c>
      <c r="BN568" s="38" t="s">
        <v>383</v>
      </c>
      <c r="BO568" s="38" t="s">
        <v>411</v>
      </c>
      <c r="BP568" s="38" t="s">
        <v>306</v>
      </c>
      <c r="BQ568" s="38" t="str">
        <f t="shared" si="71"/>
        <v>FW</v>
      </c>
      <c r="BR568" s="38" t="str">
        <f t="shared" si="78"/>
        <v>ST</v>
      </c>
      <c r="BS568" s="38" t="str">
        <f t="shared" si="79"/>
        <v>D</v>
      </c>
      <c r="BT568" s="38" t="str">
        <f t="shared" si="80"/>
        <v>Y</v>
      </c>
      <c r="BU568" s="38" t="str">
        <f t="shared" si="81"/>
        <v>Y</v>
      </c>
      <c r="BV568" s="38" t="str">
        <f t="shared" si="82"/>
        <v>StackerFlyscreenUltra Secua Digital Triple LockYes - CentreYes</v>
      </c>
      <c r="BW568" s="38" t="str">
        <f t="shared" si="83"/>
        <v>FWSTDYY</v>
      </c>
    </row>
    <row r="569" spans="64:75" ht="14.4">
      <c r="BL569" s="38" t="s">
        <v>416</v>
      </c>
      <c r="BM569" s="38" t="s">
        <v>178</v>
      </c>
      <c r="BN569" s="38" t="s">
        <v>284</v>
      </c>
      <c r="BO569" s="38" t="s">
        <v>411</v>
      </c>
      <c r="BP569" s="38" t="s">
        <v>306</v>
      </c>
      <c r="BQ569" s="38" t="str">
        <f t="shared" si="71"/>
        <v>FW</v>
      </c>
      <c r="BR569" s="38" t="str">
        <f t="shared" si="78"/>
        <v>H</v>
      </c>
      <c r="BS569" s="38" t="str">
        <f t="shared" si="79"/>
        <v>B</v>
      </c>
      <c r="BT569" s="38" t="str">
        <f t="shared" si="80"/>
        <v>Y</v>
      </c>
      <c r="BU569" s="38" t="str">
        <f t="shared" si="81"/>
        <v>Y</v>
      </c>
      <c r="BV569" s="38" t="str">
        <f t="shared" si="82"/>
        <v>HingedFlyscreenBass LatchYes - CentreYes</v>
      </c>
      <c r="BW569" s="38" t="str">
        <f t="shared" si="83"/>
        <v>FWHBYY</v>
      </c>
    </row>
    <row r="570" spans="64:75" ht="14.4">
      <c r="BL570" s="38" t="s">
        <v>416</v>
      </c>
      <c r="BM570" s="38" t="s">
        <v>179</v>
      </c>
      <c r="BN570" s="38" t="s">
        <v>284</v>
      </c>
      <c r="BO570" s="38" t="s">
        <v>411</v>
      </c>
      <c r="BP570" s="38" t="s">
        <v>306</v>
      </c>
      <c r="BQ570" s="38" t="str">
        <f t="shared" si="71"/>
        <v>FW</v>
      </c>
      <c r="BR570" s="38" t="str">
        <f t="shared" si="78"/>
        <v>S</v>
      </c>
      <c r="BS570" s="38" t="str">
        <f t="shared" si="79"/>
        <v>B</v>
      </c>
      <c r="BT570" s="38" t="str">
        <f t="shared" si="80"/>
        <v>Y</v>
      </c>
      <c r="BU570" s="38" t="str">
        <f t="shared" si="81"/>
        <v>Y</v>
      </c>
      <c r="BV570" s="38" t="str">
        <f t="shared" si="82"/>
        <v>SlidingFlyscreenBass LatchYes - CentreYes</v>
      </c>
      <c r="BW570" s="38" t="str">
        <f t="shared" si="83"/>
        <v>FWSBYY</v>
      </c>
    </row>
    <row r="571" spans="64:75" ht="14.4">
      <c r="BL571" s="38" t="s">
        <v>416</v>
      </c>
      <c r="BM571" s="38" t="s">
        <v>220</v>
      </c>
      <c r="BN571" s="38" t="s">
        <v>284</v>
      </c>
      <c r="BO571" s="38" t="s">
        <v>411</v>
      </c>
      <c r="BP571" s="38" t="s">
        <v>306</v>
      </c>
      <c r="BQ571" s="38" t="str">
        <f t="shared" si="71"/>
        <v>FW</v>
      </c>
      <c r="BR571" s="38" t="str">
        <f t="shared" si="78"/>
        <v>ST</v>
      </c>
      <c r="BS571" s="38" t="str">
        <f t="shared" si="79"/>
        <v>B</v>
      </c>
      <c r="BT571" s="38" t="str">
        <f t="shared" si="80"/>
        <v>Y</v>
      </c>
      <c r="BU571" s="38" t="str">
        <f t="shared" si="81"/>
        <v>Y</v>
      </c>
      <c r="BV571" s="38" t="str">
        <f t="shared" si="82"/>
        <v>StackerFlyscreenBass LatchYes - CentreYes</v>
      </c>
      <c r="BW571" s="38" t="str">
        <f t="shared" si="83"/>
        <v>FWSTBYY</v>
      </c>
    </row>
    <row r="572" spans="64:75" ht="14.4">
      <c r="BL572" s="38" t="s">
        <v>416</v>
      </c>
      <c r="BM572" s="38" t="s">
        <v>178</v>
      </c>
      <c r="BN572" s="38" t="s">
        <v>279</v>
      </c>
      <c r="BO572" s="38" t="s">
        <v>306</v>
      </c>
      <c r="BP572" s="38" t="s">
        <v>306</v>
      </c>
      <c r="BQ572" s="38" t="str">
        <f t="shared" si="71"/>
        <v>FW</v>
      </c>
      <c r="BR572" s="38" t="str">
        <f t="shared" si="78"/>
        <v>H</v>
      </c>
      <c r="BS572" s="38" t="str">
        <f t="shared" si="79"/>
        <v>S</v>
      </c>
      <c r="BT572" s="38" t="str">
        <f t="shared" si="80"/>
        <v>Y</v>
      </c>
      <c r="BU572" s="38" t="str">
        <f t="shared" si="81"/>
        <v>Y</v>
      </c>
      <c r="BV572" s="38" t="str">
        <f t="shared" si="82"/>
        <v>HingedFlyscreenSingle LockYesYes</v>
      </c>
      <c r="BW572" s="38" t="str">
        <f t="shared" si="83"/>
        <v>FWHSYY</v>
      </c>
    </row>
    <row r="573" spans="64:75" ht="14.4">
      <c r="BL573" s="38" t="s">
        <v>416</v>
      </c>
      <c r="BM573" s="38" t="s">
        <v>179</v>
      </c>
      <c r="BN573" s="38" t="s">
        <v>279</v>
      </c>
      <c r="BO573" s="38" t="s">
        <v>306</v>
      </c>
      <c r="BP573" s="38" t="s">
        <v>306</v>
      </c>
      <c r="BQ573" s="38" t="str">
        <f t="shared" si="71"/>
        <v>FW</v>
      </c>
      <c r="BR573" s="38" t="str">
        <f t="shared" si="78"/>
        <v>S</v>
      </c>
      <c r="BS573" s="38" t="str">
        <f t="shared" si="79"/>
        <v>S</v>
      </c>
      <c r="BT573" s="38" t="str">
        <f t="shared" si="80"/>
        <v>Y</v>
      </c>
      <c r="BU573" s="38" t="str">
        <f t="shared" si="81"/>
        <v>Y</v>
      </c>
      <c r="BV573" s="38" t="str">
        <f t="shared" si="82"/>
        <v>SlidingFlyscreenSingle LockYesYes</v>
      </c>
      <c r="BW573" s="38" t="str">
        <f t="shared" si="83"/>
        <v>FWSSYY</v>
      </c>
    </row>
    <row r="574" spans="64:75" ht="14.4">
      <c r="BL574" s="38" t="s">
        <v>416</v>
      </c>
      <c r="BM574" s="38" t="s">
        <v>220</v>
      </c>
      <c r="BN574" s="38" t="s">
        <v>279</v>
      </c>
      <c r="BO574" s="38" t="s">
        <v>306</v>
      </c>
      <c r="BP574" s="38" t="s">
        <v>306</v>
      </c>
      <c r="BQ574" s="38" t="str">
        <f t="shared" si="71"/>
        <v>FW</v>
      </c>
      <c r="BR574" s="38" t="str">
        <f t="shared" si="78"/>
        <v>ST</v>
      </c>
      <c r="BS574" s="38" t="str">
        <f t="shared" si="79"/>
        <v>S</v>
      </c>
      <c r="BT574" s="38" t="str">
        <f t="shared" si="80"/>
        <v>Y</v>
      </c>
      <c r="BU574" s="38" t="str">
        <f t="shared" si="81"/>
        <v>Y</v>
      </c>
      <c r="BV574" s="38" t="str">
        <f t="shared" si="82"/>
        <v>StackerFlyscreenSingle LockYesYes</v>
      </c>
      <c r="BW574" s="38" t="str">
        <f t="shared" si="83"/>
        <v>FWSTSYY</v>
      </c>
    </row>
    <row r="575" spans="64:75" ht="14.4">
      <c r="BL575" s="38" t="s">
        <v>416</v>
      </c>
      <c r="BM575" s="38" t="s">
        <v>178</v>
      </c>
      <c r="BN575" s="38" t="s">
        <v>275</v>
      </c>
      <c r="BO575" s="38" t="s">
        <v>306</v>
      </c>
      <c r="BP575" s="38" t="s">
        <v>306</v>
      </c>
      <c r="BQ575" s="38" t="str">
        <f t="shared" si="71"/>
        <v>FW</v>
      </c>
      <c r="BR575" s="38" t="str">
        <f t="shared" si="78"/>
        <v>H</v>
      </c>
      <c r="BS575" s="38" t="str">
        <f t="shared" si="79"/>
        <v>T</v>
      </c>
      <c r="BT575" s="38" t="str">
        <f t="shared" si="80"/>
        <v>Y</v>
      </c>
      <c r="BU575" s="38" t="str">
        <f t="shared" si="81"/>
        <v>Y</v>
      </c>
      <c r="BV575" s="38" t="str">
        <f t="shared" si="82"/>
        <v>HingedFlyscreenTriple LockYesYes</v>
      </c>
      <c r="BW575" s="38" t="str">
        <f t="shared" si="83"/>
        <v>FWHTYY</v>
      </c>
    </row>
    <row r="576" spans="64:75" ht="14.4">
      <c r="BL576" s="38" t="s">
        <v>416</v>
      </c>
      <c r="BM576" s="38" t="s">
        <v>179</v>
      </c>
      <c r="BN576" s="38" t="s">
        <v>275</v>
      </c>
      <c r="BO576" s="38" t="s">
        <v>306</v>
      </c>
      <c r="BP576" s="38" t="s">
        <v>306</v>
      </c>
      <c r="BQ576" s="38" t="str">
        <f t="shared" si="71"/>
        <v>FW</v>
      </c>
      <c r="BR576" s="38" t="str">
        <f t="shared" si="78"/>
        <v>S</v>
      </c>
      <c r="BS576" s="38" t="str">
        <f t="shared" si="79"/>
        <v>T</v>
      </c>
      <c r="BT576" s="38" t="str">
        <f t="shared" si="80"/>
        <v>Y</v>
      </c>
      <c r="BU576" s="38" t="str">
        <f t="shared" si="81"/>
        <v>Y</v>
      </c>
      <c r="BV576" s="38" t="str">
        <f t="shared" si="82"/>
        <v>SlidingFlyscreenTriple LockYesYes</v>
      </c>
      <c r="BW576" s="38" t="str">
        <f t="shared" si="83"/>
        <v>FWSTYY</v>
      </c>
    </row>
    <row r="577" spans="64:75" ht="14.4">
      <c r="BL577" s="38" t="s">
        <v>416</v>
      </c>
      <c r="BM577" s="38" t="s">
        <v>220</v>
      </c>
      <c r="BN577" s="38" t="s">
        <v>275</v>
      </c>
      <c r="BO577" s="38" t="s">
        <v>306</v>
      </c>
      <c r="BP577" s="38" t="s">
        <v>306</v>
      </c>
      <c r="BQ577" s="38" t="str">
        <f t="shared" si="71"/>
        <v>FW</v>
      </c>
      <c r="BR577" s="38" t="str">
        <f t="shared" si="78"/>
        <v>ST</v>
      </c>
      <c r="BS577" s="38" t="str">
        <f t="shared" si="79"/>
        <v>T</v>
      </c>
      <c r="BT577" s="38" t="str">
        <f t="shared" si="80"/>
        <v>Y</v>
      </c>
      <c r="BU577" s="38" t="str">
        <f t="shared" si="81"/>
        <v>Y</v>
      </c>
      <c r="BV577" s="38" t="str">
        <f t="shared" si="82"/>
        <v>StackerFlyscreenTriple LockYesYes</v>
      </c>
      <c r="BW577" s="38" t="str">
        <f t="shared" si="83"/>
        <v>FWSTTYY</v>
      </c>
    </row>
    <row r="578" spans="64:75" ht="14.4">
      <c r="BL578" s="38" t="s">
        <v>416</v>
      </c>
      <c r="BM578" s="38" t="s">
        <v>178</v>
      </c>
      <c r="BN578" s="38" t="s">
        <v>410</v>
      </c>
      <c r="BO578" s="38" t="s">
        <v>306</v>
      </c>
      <c r="BP578" s="38" t="s">
        <v>306</v>
      </c>
      <c r="BQ578" s="38" t="str">
        <f t="shared" si="71"/>
        <v>FW</v>
      </c>
      <c r="BR578" s="38" t="str">
        <f t="shared" si="78"/>
        <v>H</v>
      </c>
      <c r="BS578" s="38" t="str">
        <f t="shared" si="79"/>
        <v>N</v>
      </c>
      <c r="BT578" s="38" t="str">
        <f t="shared" si="80"/>
        <v>Y</v>
      </c>
      <c r="BU578" s="38" t="str">
        <f t="shared" si="81"/>
        <v>Y</v>
      </c>
      <c r="BV578" s="38" t="str">
        <f t="shared" si="82"/>
        <v>HingedFlyscreenNot RequiredYesYes</v>
      </c>
      <c r="BW578" s="38" t="str">
        <f t="shared" si="83"/>
        <v>FWHNYY</v>
      </c>
    </row>
    <row r="579" spans="64:75" ht="14.4">
      <c r="BL579" s="38" t="s">
        <v>416</v>
      </c>
      <c r="BM579" s="38" t="s">
        <v>179</v>
      </c>
      <c r="BN579" s="38" t="s">
        <v>410</v>
      </c>
      <c r="BO579" s="38" t="s">
        <v>306</v>
      </c>
      <c r="BP579" s="38" t="s">
        <v>306</v>
      </c>
      <c r="BQ579" s="38" t="str">
        <f t="shared" si="84" ref="BQ579:BQ631">IF(BL579="Standard Diamond","SD",IF(BL579="Decorative Diamond","DD",IF(BL579="Privacy-Gard","PG",IF(BL579="Flyscreen","FW",IF(BL579="Woven Stainless Steel","SS",IF(BL579="Alu-Gard Perforated Aluminium","PA",IF(BL579="Invisi-Gard Woven Stainless Steel","IG")))))))</f>
        <v>FW</v>
      </c>
      <c r="BR579" s="38" t="str">
        <f t="shared" si="78"/>
        <v>S</v>
      </c>
      <c r="BS579" s="38" t="str">
        <f t="shared" si="79"/>
        <v>N</v>
      </c>
      <c r="BT579" s="38" t="str">
        <f t="shared" si="80"/>
        <v>Y</v>
      </c>
      <c r="BU579" s="38" t="str">
        <f t="shared" si="81"/>
        <v>Y</v>
      </c>
      <c r="BV579" s="38" t="str">
        <f t="shared" si="82"/>
        <v>SlidingFlyscreenNot RequiredYesYes</v>
      </c>
      <c r="BW579" s="38" t="str">
        <f t="shared" si="83"/>
        <v>FWSNYY</v>
      </c>
    </row>
    <row r="580" spans="64:75" ht="14.4">
      <c r="BL580" s="38" t="s">
        <v>416</v>
      </c>
      <c r="BM580" s="38" t="s">
        <v>220</v>
      </c>
      <c r="BN580" s="38" t="s">
        <v>410</v>
      </c>
      <c r="BO580" s="38" t="s">
        <v>306</v>
      </c>
      <c r="BP580" s="38" t="s">
        <v>306</v>
      </c>
      <c r="BQ580" s="38" t="str">
        <f t="shared" si="84"/>
        <v>FW</v>
      </c>
      <c r="BR580" s="38" t="str">
        <f t="shared" si="78"/>
        <v>ST</v>
      </c>
      <c r="BS580" s="38" t="str">
        <f t="shared" si="79"/>
        <v>N</v>
      </c>
      <c r="BT580" s="38" t="str">
        <f t="shared" si="80"/>
        <v>Y</v>
      </c>
      <c r="BU580" s="38" t="str">
        <f t="shared" si="81"/>
        <v>Y</v>
      </c>
      <c r="BV580" s="38" t="str">
        <f t="shared" si="82"/>
        <v>StackerFlyscreenNot RequiredYesYes</v>
      </c>
      <c r="BW580" s="38" t="str">
        <f t="shared" si="83"/>
        <v>FWSTNYY</v>
      </c>
    </row>
    <row r="581" spans="64:75" ht="14.4">
      <c r="BL581" s="38" t="s">
        <v>416</v>
      </c>
      <c r="BM581" s="38" t="s">
        <v>178</v>
      </c>
      <c r="BN581" s="38" t="s">
        <v>383</v>
      </c>
      <c r="BO581" s="38" t="s">
        <v>306</v>
      </c>
      <c r="BP581" s="38" t="s">
        <v>306</v>
      </c>
      <c r="BQ581" s="38" t="str">
        <f t="shared" si="84"/>
        <v>FW</v>
      </c>
      <c r="BR581" s="38" t="str">
        <f t="shared" si="78"/>
        <v>H</v>
      </c>
      <c r="BS581" s="38" t="str">
        <f t="shared" si="79"/>
        <v>D</v>
      </c>
      <c r="BT581" s="38" t="str">
        <f t="shared" si="80"/>
        <v>Y</v>
      </c>
      <c r="BU581" s="38" t="str">
        <f t="shared" si="81"/>
        <v>Y</v>
      </c>
      <c r="BV581" s="38" t="str">
        <f t="shared" si="82"/>
        <v>HingedFlyscreenUltra Secua Digital Triple LockYesYes</v>
      </c>
      <c r="BW581" s="38" t="str">
        <f t="shared" si="83"/>
        <v>FWHDYY</v>
      </c>
    </row>
    <row r="582" spans="64:75" ht="14.4">
      <c r="BL582" s="38" t="s">
        <v>416</v>
      </c>
      <c r="BM582" s="38" t="s">
        <v>179</v>
      </c>
      <c r="BN582" s="38" t="s">
        <v>383</v>
      </c>
      <c r="BO582" s="38" t="s">
        <v>306</v>
      </c>
      <c r="BP582" s="38" t="s">
        <v>306</v>
      </c>
      <c r="BQ582" s="38" t="str">
        <f t="shared" si="84"/>
        <v>FW</v>
      </c>
      <c r="BR582" s="38" t="str">
        <f t="shared" si="78"/>
        <v>S</v>
      </c>
      <c r="BS582" s="38" t="str">
        <f t="shared" si="79"/>
        <v>D</v>
      </c>
      <c r="BT582" s="38" t="str">
        <f t="shared" si="80"/>
        <v>Y</v>
      </c>
      <c r="BU582" s="38" t="str">
        <f t="shared" si="81"/>
        <v>Y</v>
      </c>
      <c r="BV582" s="38" t="str">
        <f t="shared" si="82"/>
        <v>SlidingFlyscreenUltra Secua Digital Triple LockYesYes</v>
      </c>
      <c r="BW582" s="38" t="str">
        <f t="shared" si="83"/>
        <v>FWSDYY</v>
      </c>
    </row>
    <row r="583" spans="64:75" ht="14.4">
      <c r="BL583" s="38" t="s">
        <v>416</v>
      </c>
      <c r="BM583" s="38" t="s">
        <v>220</v>
      </c>
      <c r="BN583" s="38" t="s">
        <v>383</v>
      </c>
      <c r="BO583" s="38" t="s">
        <v>306</v>
      </c>
      <c r="BP583" s="38" t="s">
        <v>306</v>
      </c>
      <c r="BQ583" s="38" t="str">
        <f t="shared" si="84"/>
        <v>FW</v>
      </c>
      <c r="BR583" s="38" t="str">
        <f t="shared" si="78"/>
        <v>ST</v>
      </c>
      <c r="BS583" s="38" t="str">
        <f t="shared" si="79"/>
        <v>D</v>
      </c>
      <c r="BT583" s="38" t="str">
        <f t="shared" si="80"/>
        <v>Y</v>
      </c>
      <c r="BU583" s="38" t="str">
        <f t="shared" si="81"/>
        <v>Y</v>
      </c>
      <c r="BV583" s="38" t="str">
        <f t="shared" si="82"/>
        <v>StackerFlyscreenUltra Secua Digital Triple LockYesYes</v>
      </c>
      <c r="BW583" s="38" t="str">
        <f t="shared" si="83"/>
        <v>FWSTDYY</v>
      </c>
    </row>
    <row r="584" spans="64:75" ht="14.4">
      <c r="BL584" s="38" t="s">
        <v>416</v>
      </c>
      <c r="BM584" s="38" t="s">
        <v>178</v>
      </c>
      <c r="BN584" s="38" t="s">
        <v>284</v>
      </c>
      <c r="BO584" s="38" t="s">
        <v>306</v>
      </c>
      <c r="BP584" s="38" t="s">
        <v>306</v>
      </c>
      <c r="BQ584" s="38" t="str">
        <f t="shared" si="84"/>
        <v>FW</v>
      </c>
      <c r="BR584" s="38" t="str">
        <f t="shared" si="78"/>
        <v>H</v>
      </c>
      <c r="BS584" s="38" t="str">
        <f t="shared" si="79"/>
        <v>B</v>
      </c>
      <c r="BT584" s="38" t="str">
        <f t="shared" si="80"/>
        <v>Y</v>
      </c>
      <c r="BU584" s="38" t="str">
        <f t="shared" si="81"/>
        <v>Y</v>
      </c>
      <c r="BV584" s="38" t="str">
        <f t="shared" si="82"/>
        <v>HingedFlyscreenBass LatchYesYes</v>
      </c>
      <c r="BW584" s="38" t="str">
        <f t="shared" si="83"/>
        <v>FWHBYY</v>
      </c>
    </row>
    <row r="585" spans="64:75" ht="14.4">
      <c r="BL585" s="38" t="s">
        <v>416</v>
      </c>
      <c r="BM585" s="38" t="s">
        <v>179</v>
      </c>
      <c r="BN585" s="38" t="s">
        <v>284</v>
      </c>
      <c r="BO585" s="38" t="s">
        <v>306</v>
      </c>
      <c r="BP585" s="38" t="s">
        <v>306</v>
      </c>
      <c r="BQ585" s="38" t="str">
        <f t="shared" si="84"/>
        <v>FW</v>
      </c>
      <c r="BR585" s="38" t="str">
        <f t="shared" si="78"/>
        <v>S</v>
      </c>
      <c r="BS585" s="38" t="str">
        <f t="shared" si="79"/>
        <v>B</v>
      </c>
      <c r="BT585" s="38" t="str">
        <f t="shared" si="80"/>
        <v>Y</v>
      </c>
      <c r="BU585" s="38" t="str">
        <f t="shared" si="81"/>
        <v>Y</v>
      </c>
      <c r="BV585" s="38" t="str">
        <f t="shared" si="82"/>
        <v>SlidingFlyscreenBass LatchYesYes</v>
      </c>
      <c r="BW585" s="38" t="str">
        <f t="shared" si="83"/>
        <v>FWSBYY</v>
      </c>
    </row>
    <row r="586" spans="64:75" ht="14.4">
      <c r="BL586" s="38" t="s">
        <v>416</v>
      </c>
      <c r="BM586" s="38" t="s">
        <v>220</v>
      </c>
      <c r="BN586" s="38" t="s">
        <v>284</v>
      </c>
      <c r="BO586" s="38" t="s">
        <v>306</v>
      </c>
      <c r="BP586" s="38" t="s">
        <v>306</v>
      </c>
      <c r="BQ586" s="38" t="str">
        <f t="shared" si="84"/>
        <v>FW</v>
      </c>
      <c r="BR586" s="38" t="str">
        <f t="shared" si="78"/>
        <v>ST</v>
      </c>
      <c r="BS586" s="38" t="str">
        <f t="shared" si="79"/>
        <v>B</v>
      </c>
      <c r="BT586" s="38" t="str">
        <f t="shared" si="80"/>
        <v>Y</v>
      </c>
      <c r="BU586" s="38" t="str">
        <f t="shared" si="81"/>
        <v>Y</v>
      </c>
      <c r="BV586" s="38" t="str">
        <f t="shared" si="82"/>
        <v>StackerFlyscreenBass LatchYesYes</v>
      </c>
      <c r="BW586" s="38" t="str">
        <f t="shared" si="83"/>
        <v>FWSTBYY</v>
      </c>
    </row>
    <row r="587" spans="64:75" ht="14.4">
      <c r="BL587" s="38" t="s">
        <v>416</v>
      </c>
      <c r="BM587" s="38" t="s">
        <v>178</v>
      </c>
      <c r="BN587" s="38" t="s">
        <v>279</v>
      </c>
      <c r="BO587" s="38" t="s">
        <v>147</v>
      </c>
      <c r="BQ587" s="38" t="str">
        <f t="shared" si="84"/>
        <v>FW</v>
      </c>
      <c r="BR587" s="38" t="str">
        <f t="shared" si="78"/>
        <v>H</v>
      </c>
      <c r="BS587" s="38" t="str">
        <f t="shared" si="79"/>
        <v>S</v>
      </c>
      <c r="BT587" s="38" t="str">
        <f t="shared" si="80"/>
        <v>N</v>
      </c>
      <c r="BU587" s="38" t="str">
        <f t="shared" si="81"/>
        <v>N</v>
      </c>
      <c r="BV587" s="38" t="str">
        <f t="shared" si="82"/>
        <v>HingedFlyscreenSingle LockNo</v>
      </c>
      <c r="BW587" s="38" t="str">
        <f t="shared" si="83"/>
        <v>FWHSNN</v>
      </c>
    </row>
    <row r="588" spans="64:75" ht="14.4">
      <c r="BL588" s="38" t="s">
        <v>416</v>
      </c>
      <c r="BM588" s="38" t="s">
        <v>179</v>
      </c>
      <c r="BN588" s="38" t="s">
        <v>279</v>
      </c>
      <c r="BO588" s="38" t="s">
        <v>147</v>
      </c>
      <c r="BQ588" s="38" t="str">
        <f t="shared" si="84"/>
        <v>FW</v>
      </c>
      <c r="BR588" s="38" t="str">
        <f t="shared" si="78"/>
        <v>S</v>
      </c>
      <c r="BS588" s="38" t="str">
        <f t="shared" si="79"/>
        <v>S</v>
      </c>
      <c r="BT588" s="38" t="str">
        <f t="shared" si="80"/>
        <v>N</v>
      </c>
      <c r="BU588" s="38" t="str">
        <f t="shared" si="81"/>
        <v>N</v>
      </c>
      <c r="BV588" s="38" t="str">
        <f t="shared" si="82"/>
        <v>SlidingFlyscreenSingle LockNo</v>
      </c>
      <c r="BW588" s="38" t="str">
        <f t="shared" si="83"/>
        <v>FWSSNN</v>
      </c>
    </row>
    <row r="589" spans="64:75" ht="14.4">
      <c r="BL589" s="38" t="s">
        <v>416</v>
      </c>
      <c r="BM589" s="38" t="s">
        <v>220</v>
      </c>
      <c r="BN589" s="38" t="s">
        <v>279</v>
      </c>
      <c r="BO589" s="38" t="s">
        <v>147</v>
      </c>
      <c r="BQ589" s="38" t="str">
        <f t="shared" si="84"/>
        <v>FW</v>
      </c>
      <c r="BR589" s="38" t="str">
        <f t="shared" si="78"/>
        <v>ST</v>
      </c>
      <c r="BS589" s="38" t="str">
        <f t="shared" si="79"/>
        <v>S</v>
      </c>
      <c r="BT589" s="38" t="str">
        <f t="shared" si="80"/>
        <v>N</v>
      </c>
      <c r="BU589" s="38" t="str">
        <f t="shared" si="81"/>
        <v>N</v>
      </c>
      <c r="BV589" s="38" t="str">
        <f t="shared" si="82"/>
        <v>StackerFlyscreenSingle LockNo</v>
      </c>
      <c r="BW589" s="38" t="str">
        <f t="shared" si="83"/>
        <v>FWSTSNN</v>
      </c>
    </row>
    <row r="590" spans="64:75" ht="14.4">
      <c r="BL590" s="38" t="s">
        <v>416</v>
      </c>
      <c r="BM590" s="38" t="s">
        <v>178</v>
      </c>
      <c r="BN590" s="38" t="s">
        <v>275</v>
      </c>
      <c r="BO590" s="38" t="s">
        <v>147</v>
      </c>
      <c r="BQ590" s="38" t="str">
        <f t="shared" si="84"/>
        <v>FW</v>
      </c>
      <c r="BR590" s="38" t="str">
        <f t="shared" si="78"/>
        <v>H</v>
      </c>
      <c r="BS590" s="38" t="str">
        <f t="shared" si="79"/>
        <v>T</v>
      </c>
      <c r="BT590" s="38" t="str">
        <f t="shared" si="80"/>
        <v>N</v>
      </c>
      <c r="BU590" s="38" t="str">
        <f t="shared" si="81"/>
        <v>N</v>
      </c>
      <c r="BV590" s="38" t="str">
        <f t="shared" si="82"/>
        <v>HingedFlyscreenTriple LockNo</v>
      </c>
      <c r="BW590" s="38" t="str">
        <f t="shared" si="83"/>
        <v>FWHTNN</v>
      </c>
    </row>
    <row r="591" spans="64:75" ht="14.4">
      <c r="BL591" s="38" t="s">
        <v>416</v>
      </c>
      <c r="BM591" s="38" t="s">
        <v>179</v>
      </c>
      <c r="BN591" s="38" t="s">
        <v>275</v>
      </c>
      <c r="BO591" s="38" t="s">
        <v>147</v>
      </c>
      <c r="BQ591" s="38" t="str">
        <f t="shared" si="84"/>
        <v>FW</v>
      </c>
      <c r="BR591" s="38" t="str">
        <f t="shared" si="78"/>
        <v>S</v>
      </c>
      <c r="BS591" s="38" t="str">
        <f t="shared" si="79"/>
        <v>T</v>
      </c>
      <c r="BT591" s="38" t="str">
        <f t="shared" si="80"/>
        <v>N</v>
      </c>
      <c r="BU591" s="38" t="str">
        <f t="shared" si="81"/>
        <v>N</v>
      </c>
      <c r="BV591" s="38" t="str">
        <f t="shared" si="82"/>
        <v>SlidingFlyscreenTriple LockNo</v>
      </c>
      <c r="BW591" s="38" t="str">
        <f t="shared" si="83"/>
        <v>FWSTNN</v>
      </c>
    </row>
    <row r="592" spans="64:75" ht="14.4">
      <c r="BL592" s="38" t="s">
        <v>416</v>
      </c>
      <c r="BM592" s="38" t="s">
        <v>220</v>
      </c>
      <c r="BN592" s="38" t="s">
        <v>275</v>
      </c>
      <c r="BO592" s="38" t="s">
        <v>147</v>
      </c>
      <c r="BQ592" s="38" t="str">
        <f t="shared" si="84"/>
        <v>FW</v>
      </c>
      <c r="BR592" s="38" t="str">
        <f t="shared" si="78"/>
        <v>ST</v>
      </c>
      <c r="BS592" s="38" t="str">
        <f t="shared" si="79"/>
        <v>T</v>
      </c>
      <c r="BT592" s="38" t="str">
        <f t="shared" si="80"/>
        <v>N</v>
      </c>
      <c r="BU592" s="38" t="str">
        <f t="shared" si="81"/>
        <v>N</v>
      </c>
      <c r="BV592" s="38" t="str">
        <f t="shared" si="82"/>
        <v>StackerFlyscreenTriple LockNo</v>
      </c>
      <c r="BW592" s="38" t="str">
        <f t="shared" si="83"/>
        <v>FWSTTNN</v>
      </c>
    </row>
    <row r="593" spans="64:75" ht="14.4">
      <c r="BL593" s="38" t="s">
        <v>416</v>
      </c>
      <c r="BM593" s="38" t="s">
        <v>178</v>
      </c>
      <c r="BN593" s="38" t="s">
        <v>410</v>
      </c>
      <c r="BO593" s="38" t="s">
        <v>147</v>
      </c>
      <c r="BQ593" s="38" t="str">
        <f t="shared" si="84"/>
        <v>FW</v>
      </c>
      <c r="BR593" s="38" t="str">
        <f t="shared" si="78"/>
        <v>H</v>
      </c>
      <c r="BS593" s="38" t="str">
        <f t="shared" si="79"/>
        <v>N</v>
      </c>
      <c r="BT593" s="38" t="str">
        <f t="shared" si="80"/>
        <v>N</v>
      </c>
      <c r="BU593" s="38" t="str">
        <f t="shared" si="81"/>
        <v>N</v>
      </c>
      <c r="BV593" s="38" t="str">
        <f t="shared" si="82"/>
        <v>HingedFlyscreenNot RequiredNo</v>
      </c>
      <c r="BW593" s="38" t="str">
        <f t="shared" si="83"/>
        <v>FWHNNN</v>
      </c>
    </row>
    <row r="594" spans="64:75" ht="14.4">
      <c r="BL594" s="38" t="s">
        <v>416</v>
      </c>
      <c r="BM594" s="38" t="s">
        <v>179</v>
      </c>
      <c r="BN594" s="38" t="s">
        <v>410</v>
      </c>
      <c r="BO594" s="38" t="s">
        <v>147</v>
      </c>
      <c r="BQ594" s="38" t="str">
        <f t="shared" si="84"/>
        <v>FW</v>
      </c>
      <c r="BR594" s="38" t="str">
        <f t="shared" si="78"/>
        <v>S</v>
      </c>
      <c r="BS594" s="38" t="str">
        <f t="shared" si="79"/>
        <v>N</v>
      </c>
      <c r="BT594" s="38" t="str">
        <f t="shared" si="80"/>
        <v>N</v>
      </c>
      <c r="BU594" s="38" t="str">
        <f t="shared" si="81"/>
        <v>N</v>
      </c>
      <c r="BV594" s="38" t="str">
        <f t="shared" si="82"/>
        <v>SlidingFlyscreenNot RequiredNo</v>
      </c>
      <c r="BW594" s="38" t="str">
        <f t="shared" si="83"/>
        <v>FWSNNN</v>
      </c>
    </row>
    <row r="595" spans="64:75" ht="14.4">
      <c r="BL595" s="38" t="s">
        <v>416</v>
      </c>
      <c r="BM595" s="38" t="s">
        <v>220</v>
      </c>
      <c r="BN595" s="38" t="s">
        <v>410</v>
      </c>
      <c r="BO595" s="38" t="s">
        <v>147</v>
      </c>
      <c r="BQ595" s="38" t="str">
        <f t="shared" si="84"/>
        <v>FW</v>
      </c>
      <c r="BR595" s="38" t="str">
        <f t="shared" si="78"/>
        <v>ST</v>
      </c>
      <c r="BS595" s="38" t="str">
        <f t="shared" si="79"/>
        <v>N</v>
      </c>
      <c r="BT595" s="38" t="str">
        <f t="shared" si="80"/>
        <v>N</v>
      </c>
      <c r="BU595" s="38" t="str">
        <f t="shared" si="81"/>
        <v>N</v>
      </c>
      <c r="BV595" s="38" t="str">
        <f t="shared" si="82"/>
        <v>StackerFlyscreenNot RequiredNo</v>
      </c>
      <c r="BW595" s="38" t="str">
        <f t="shared" si="83"/>
        <v>FWSTNNN</v>
      </c>
    </row>
    <row r="596" spans="64:75" ht="14.4">
      <c r="BL596" s="38" t="s">
        <v>416</v>
      </c>
      <c r="BM596" s="38" t="s">
        <v>178</v>
      </c>
      <c r="BN596" s="38" t="s">
        <v>383</v>
      </c>
      <c r="BO596" s="38" t="s">
        <v>147</v>
      </c>
      <c r="BQ596" s="38" t="str">
        <f t="shared" si="84"/>
        <v>FW</v>
      </c>
      <c r="BR596" s="38" t="str">
        <f t="shared" si="78"/>
        <v>H</v>
      </c>
      <c r="BS596" s="38" t="str">
        <f t="shared" si="79"/>
        <v>D</v>
      </c>
      <c r="BT596" s="38" t="str">
        <f t="shared" si="80"/>
        <v>N</v>
      </c>
      <c r="BU596" s="38" t="str">
        <f t="shared" si="81"/>
        <v>N</v>
      </c>
      <c r="BV596" s="38" t="str">
        <f t="shared" si="82"/>
        <v>HingedFlyscreenUltra Secua Digital Triple LockNo</v>
      </c>
      <c r="BW596" s="38" t="str">
        <f t="shared" si="83"/>
        <v>FWHDNN</v>
      </c>
    </row>
    <row r="597" spans="64:75" ht="14.4">
      <c r="BL597" s="38" t="s">
        <v>416</v>
      </c>
      <c r="BM597" s="38" t="s">
        <v>179</v>
      </c>
      <c r="BN597" s="38" t="s">
        <v>383</v>
      </c>
      <c r="BO597" s="38" t="s">
        <v>147</v>
      </c>
      <c r="BQ597" s="38" t="str">
        <f t="shared" si="84"/>
        <v>FW</v>
      </c>
      <c r="BR597" s="38" t="str">
        <f t="shared" si="78"/>
        <v>S</v>
      </c>
      <c r="BS597" s="38" t="str">
        <f t="shared" si="79"/>
        <v>D</v>
      </c>
      <c r="BT597" s="38" t="str">
        <f t="shared" si="80"/>
        <v>N</v>
      </c>
      <c r="BU597" s="38" t="str">
        <f t="shared" si="81"/>
        <v>N</v>
      </c>
      <c r="BV597" s="38" t="str">
        <f t="shared" si="82"/>
        <v>SlidingFlyscreenUltra Secua Digital Triple LockNo</v>
      </c>
      <c r="BW597" s="38" t="str">
        <f t="shared" si="83"/>
        <v>FWSDNN</v>
      </c>
    </row>
    <row r="598" spans="64:75" ht="14.4">
      <c r="BL598" s="38" t="s">
        <v>416</v>
      </c>
      <c r="BM598" s="38" t="s">
        <v>220</v>
      </c>
      <c r="BN598" s="38" t="s">
        <v>383</v>
      </c>
      <c r="BO598" s="38" t="s">
        <v>147</v>
      </c>
      <c r="BQ598" s="38" t="str">
        <f t="shared" si="84"/>
        <v>FW</v>
      </c>
      <c r="BR598" s="38" t="str">
        <f t="shared" si="78"/>
        <v>ST</v>
      </c>
      <c r="BS598" s="38" t="str">
        <f t="shared" si="79"/>
        <v>D</v>
      </c>
      <c r="BT598" s="38" t="str">
        <f t="shared" si="80"/>
        <v>N</v>
      </c>
      <c r="BU598" s="38" t="str">
        <f t="shared" si="81"/>
        <v>N</v>
      </c>
      <c r="BV598" s="38" t="str">
        <f t="shared" si="82"/>
        <v>StackerFlyscreenUltra Secua Digital Triple LockNo</v>
      </c>
      <c r="BW598" s="38" t="str">
        <f t="shared" si="83"/>
        <v>FWSTDNN</v>
      </c>
    </row>
    <row r="599" spans="64:75" ht="14.4">
      <c r="BL599" s="38" t="s">
        <v>416</v>
      </c>
      <c r="BM599" s="38" t="s">
        <v>178</v>
      </c>
      <c r="BN599" s="38" t="s">
        <v>284</v>
      </c>
      <c r="BO599" s="38" t="s">
        <v>147</v>
      </c>
      <c r="BQ599" s="38" t="str">
        <f t="shared" si="84"/>
        <v>FW</v>
      </c>
      <c r="BR599" s="38" t="str">
        <f t="shared" si="78"/>
        <v>H</v>
      </c>
      <c r="BS599" s="38" t="str">
        <f t="shared" si="79"/>
        <v>B</v>
      </c>
      <c r="BT599" s="38" t="str">
        <f t="shared" si="80"/>
        <v>N</v>
      </c>
      <c r="BU599" s="38" t="str">
        <f t="shared" si="81"/>
        <v>N</v>
      </c>
      <c r="BV599" s="38" t="str">
        <f t="shared" si="82"/>
        <v>HingedFlyscreenBass LatchNo</v>
      </c>
      <c r="BW599" s="38" t="str">
        <f t="shared" si="83"/>
        <v>FWHBNN</v>
      </c>
    </row>
    <row r="600" spans="64:75" ht="14.4">
      <c r="BL600" s="38" t="s">
        <v>416</v>
      </c>
      <c r="BM600" s="38" t="s">
        <v>179</v>
      </c>
      <c r="BN600" s="38" t="s">
        <v>284</v>
      </c>
      <c r="BO600" s="38" t="s">
        <v>147</v>
      </c>
      <c r="BQ600" s="38" t="str">
        <f t="shared" si="84"/>
        <v>FW</v>
      </c>
      <c r="BR600" s="38" t="str">
        <f t="shared" si="78"/>
        <v>S</v>
      </c>
      <c r="BS600" s="38" t="str">
        <f t="shared" si="79"/>
        <v>B</v>
      </c>
      <c r="BT600" s="38" t="str">
        <f t="shared" si="80"/>
        <v>N</v>
      </c>
      <c r="BU600" s="38" t="str">
        <f t="shared" si="81"/>
        <v>N</v>
      </c>
      <c r="BV600" s="38" t="str">
        <f t="shared" si="82"/>
        <v>SlidingFlyscreenBass LatchNo</v>
      </c>
      <c r="BW600" s="38" t="str">
        <f t="shared" si="83"/>
        <v>FWSBNN</v>
      </c>
    </row>
    <row r="601" spans="64:75" ht="14.4">
      <c r="BL601" s="38" t="s">
        <v>416</v>
      </c>
      <c r="BM601" s="38" t="s">
        <v>220</v>
      </c>
      <c r="BN601" s="38" t="s">
        <v>284</v>
      </c>
      <c r="BO601" s="38" t="s">
        <v>147</v>
      </c>
      <c r="BQ601" s="38" t="str">
        <f t="shared" si="84"/>
        <v>FW</v>
      </c>
      <c r="BR601" s="38" t="str">
        <f t="shared" si="78"/>
        <v>ST</v>
      </c>
      <c r="BS601" s="38" t="str">
        <f t="shared" si="79"/>
        <v>B</v>
      </c>
      <c r="BT601" s="38" t="str">
        <f t="shared" si="80"/>
        <v>N</v>
      </c>
      <c r="BU601" s="38" t="str">
        <f t="shared" si="81"/>
        <v>N</v>
      </c>
      <c r="BV601" s="38" t="str">
        <f t="shared" si="82"/>
        <v>StackerFlyscreenBass LatchNo</v>
      </c>
      <c r="BW601" s="38" t="str">
        <f t="shared" si="83"/>
        <v>FWSTBNN</v>
      </c>
    </row>
    <row r="602" spans="64:75" ht="14.4">
      <c r="BL602" s="38" t="s">
        <v>416</v>
      </c>
      <c r="BM602" s="38" t="s">
        <v>178</v>
      </c>
      <c r="BN602" s="38" t="s">
        <v>279</v>
      </c>
      <c r="BO602" s="38" t="s">
        <v>411</v>
      </c>
      <c r="BQ602" s="38" t="str">
        <f t="shared" si="84"/>
        <v>FW</v>
      </c>
      <c r="BR602" s="38" t="str">
        <f t="shared" si="78"/>
        <v>H</v>
      </c>
      <c r="BS602" s="38" t="str">
        <f t="shared" si="79"/>
        <v>S</v>
      </c>
      <c r="BT602" s="38" t="str">
        <f t="shared" si="80"/>
        <v>Y</v>
      </c>
      <c r="BU602" s="38" t="str">
        <f t="shared" si="81"/>
        <v>N</v>
      </c>
      <c r="BV602" s="38" t="str">
        <f t="shared" si="82"/>
        <v>HingedFlyscreenSingle LockYes - Centre</v>
      </c>
      <c r="BW602" s="38" t="str">
        <f t="shared" si="83"/>
        <v>FWHSYN</v>
      </c>
    </row>
    <row r="603" spans="64:75" ht="14.4">
      <c r="BL603" s="38" t="s">
        <v>416</v>
      </c>
      <c r="BM603" s="38" t="s">
        <v>179</v>
      </c>
      <c r="BN603" s="38" t="s">
        <v>279</v>
      </c>
      <c r="BO603" s="38" t="s">
        <v>411</v>
      </c>
      <c r="BQ603" s="38" t="str">
        <f t="shared" si="84"/>
        <v>FW</v>
      </c>
      <c r="BR603" s="38" t="str">
        <f t="shared" si="78"/>
        <v>S</v>
      </c>
      <c r="BS603" s="38" t="str">
        <f t="shared" si="79"/>
        <v>S</v>
      </c>
      <c r="BT603" s="38" t="str">
        <f t="shared" si="80"/>
        <v>Y</v>
      </c>
      <c r="BU603" s="38" t="str">
        <f t="shared" si="81"/>
        <v>N</v>
      </c>
      <c r="BV603" s="38" t="str">
        <f t="shared" si="82"/>
        <v>SlidingFlyscreenSingle LockYes - Centre</v>
      </c>
      <c r="BW603" s="38" t="str">
        <f t="shared" si="83"/>
        <v>FWSSYN</v>
      </c>
    </row>
    <row r="604" spans="64:75" ht="14.4">
      <c r="BL604" s="38" t="s">
        <v>416</v>
      </c>
      <c r="BM604" s="38" t="s">
        <v>220</v>
      </c>
      <c r="BN604" s="38" t="s">
        <v>279</v>
      </c>
      <c r="BO604" s="38" t="s">
        <v>411</v>
      </c>
      <c r="BQ604" s="38" t="str">
        <f t="shared" si="84"/>
        <v>FW</v>
      </c>
      <c r="BR604" s="38" t="str">
        <f t="shared" si="78"/>
        <v>ST</v>
      </c>
      <c r="BS604" s="38" t="str">
        <f t="shared" si="79"/>
        <v>S</v>
      </c>
      <c r="BT604" s="38" t="str">
        <f t="shared" si="80"/>
        <v>Y</v>
      </c>
      <c r="BU604" s="38" t="str">
        <f t="shared" si="81"/>
        <v>N</v>
      </c>
      <c r="BV604" s="38" t="str">
        <f t="shared" si="82"/>
        <v>StackerFlyscreenSingle LockYes - Centre</v>
      </c>
      <c r="BW604" s="38" t="str">
        <f t="shared" si="83"/>
        <v>FWSTSYN</v>
      </c>
    </row>
    <row r="605" spans="64:75" ht="14.4">
      <c r="BL605" s="38" t="s">
        <v>416</v>
      </c>
      <c r="BM605" s="38" t="s">
        <v>178</v>
      </c>
      <c r="BN605" s="38" t="s">
        <v>275</v>
      </c>
      <c r="BO605" s="38" t="s">
        <v>411</v>
      </c>
      <c r="BQ605" s="38" t="str">
        <f t="shared" si="84"/>
        <v>FW</v>
      </c>
      <c r="BR605" s="38" t="str">
        <f t="shared" si="78"/>
        <v>H</v>
      </c>
      <c r="BS605" s="38" t="str">
        <f t="shared" si="79"/>
        <v>T</v>
      </c>
      <c r="BT605" s="38" t="str">
        <f t="shared" si="80"/>
        <v>Y</v>
      </c>
      <c r="BU605" s="38" t="str">
        <f t="shared" si="81"/>
        <v>N</v>
      </c>
      <c r="BV605" s="38" t="str">
        <f t="shared" si="82"/>
        <v>HingedFlyscreenTriple LockYes - Centre</v>
      </c>
      <c r="BW605" s="38" t="str">
        <f t="shared" si="83"/>
        <v>FWHTYN</v>
      </c>
    </row>
    <row r="606" spans="64:75" ht="14.4">
      <c r="BL606" s="38" t="s">
        <v>416</v>
      </c>
      <c r="BM606" s="38" t="s">
        <v>179</v>
      </c>
      <c r="BN606" s="38" t="s">
        <v>275</v>
      </c>
      <c r="BO606" s="38" t="s">
        <v>411</v>
      </c>
      <c r="BQ606" s="38" t="str">
        <f t="shared" si="84"/>
        <v>FW</v>
      </c>
      <c r="BR606" s="38" t="str">
        <f t="shared" si="78"/>
        <v>S</v>
      </c>
      <c r="BS606" s="38" t="str">
        <f t="shared" si="79"/>
        <v>T</v>
      </c>
      <c r="BT606" s="38" t="str">
        <f t="shared" si="80"/>
        <v>Y</v>
      </c>
      <c r="BU606" s="38" t="str">
        <f t="shared" si="81"/>
        <v>N</v>
      </c>
      <c r="BV606" s="38" t="str">
        <f t="shared" si="82"/>
        <v>SlidingFlyscreenTriple LockYes - Centre</v>
      </c>
      <c r="BW606" s="38" t="str">
        <f t="shared" si="83"/>
        <v>FWSTYN</v>
      </c>
    </row>
    <row r="607" spans="64:75" ht="14.4">
      <c r="BL607" s="38" t="s">
        <v>416</v>
      </c>
      <c r="BM607" s="38" t="s">
        <v>220</v>
      </c>
      <c r="BN607" s="38" t="s">
        <v>275</v>
      </c>
      <c r="BO607" s="38" t="s">
        <v>411</v>
      </c>
      <c r="BQ607" s="38" t="str">
        <f t="shared" si="84"/>
        <v>FW</v>
      </c>
      <c r="BR607" s="38" t="str">
        <f t="shared" si="78"/>
        <v>ST</v>
      </c>
      <c r="BS607" s="38" t="str">
        <f t="shared" si="79"/>
        <v>T</v>
      </c>
      <c r="BT607" s="38" t="str">
        <f t="shared" si="80"/>
        <v>Y</v>
      </c>
      <c r="BU607" s="38" t="str">
        <f t="shared" si="81"/>
        <v>N</v>
      </c>
      <c r="BV607" s="38" t="str">
        <f t="shared" si="82"/>
        <v>StackerFlyscreenTriple LockYes - Centre</v>
      </c>
      <c r="BW607" s="38" t="str">
        <f t="shared" si="83"/>
        <v>FWSTTYN</v>
      </c>
    </row>
    <row r="608" spans="64:75" ht="14.4">
      <c r="BL608" s="38" t="s">
        <v>416</v>
      </c>
      <c r="BM608" s="38" t="s">
        <v>178</v>
      </c>
      <c r="BN608" s="38" t="s">
        <v>410</v>
      </c>
      <c r="BO608" s="38" t="s">
        <v>411</v>
      </c>
      <c r="BQ608" s="38" t="str">
        <f t="shared" si="84"/>
        <v>FW</v>
      </c>
      <c r="BR608" s="38" t="str">
        <f t="shared" si="78"/>
        <v>H</v>
      </c>
      <c r="BS608" s="38" t="str">
        <f t="shared" si="79"/>
        <v>N</v>
      </c>
      <c r="BT608" s="38" t="str">
        <f t="shared" si="80"/>
        <v>Y</v>
      </c>
      <c r="BU608" s="38" t="str">
        <f t="shared" si="81"/>
        <v>N</v>
      </c>
      <c r="BV608" s="38" t="str">
        <f t="shared" si="82"/>
        <v>HingedFlyscreenNot RequiredYes - Centre</v>
      </c>
      <c r="BW608" s="38" t="str">
        <f t="shared" si="83"/>
        <v>FWHNYN</v>
      </c>
    </row>
    <row r="609" spans="64:75" ht="14.4">
      <c r="BL609" s="38" t="s">
        <v>416</v>
      </c>
      <c r="BM609" s="38" t="s">
        <v>179</v>
      </c>
      <c r="BN609" s="38" t="s">
        <v>410</v>
      </c>
      <c r="BO609" s="38" t="s">
        <v>411</v>
      </c>
      <c r="BQ609" s="38" t="str">
        <f t="shared" si="84"/>
        <v>FW</v>
      </c>
      <c r="BR609" s="38" t="str">
        <f t="shared" si="78"/>
        <v>S</v>
      </c>
      <c r="BS609" s="38" t="str">
        <f t="shared" si="79"/>
        <v>N</v>
      </c>
      <c r="BT609" s="38" t="str">
        <f t="shared" si="80"/>
        <v>Y</v>
      </c>
      <c r="BU609" s="38" t="str">
        <f t="shared" si="81"/>
        <v>N</v>
      </c>
      <c r="BV609" s="38" t="str">
        <f t="shared" si="82"/>
        <v>SlidingFlyscreenNot RequiredYes - Centre</v>
      </c>
      <c r="BW609" s="38" t="str">
        <f t="shared" si="83"/>
        <v>FWSNYN</v>
      </c>
    </row>
    <row r="610" spans="64:75" ht="14.4">
      <c r="BL610" s="38" t="s">
        <v>416</v>
      </c>
      <c r="BM610" s="38" t="s">
        <v>220</v>
      </c>
      <c r="BN610" s="38" t="s">
        <v>410</v>
      </c>
      <c r="BO610" s="38" t="s">
        <v>411</v>
      </c>
      <c r="BQ610" s="38" t="str">
        <f t="shared" si="84"/>
        <v>FW</v>
      </c>
      <c r="BR610" s="38" t="str">
        <f t="shared" si="78"/>
        <v>ST</v>
      </c>
      <c r="BS610" s="38" t="str">
        <f t="shared" si="79"/>
        <v>N</v>
      </c>
      <c r="BT610" s="38" t="str">
        <f t="shared" si="80"/>
        <v>Y</v>
      </c>
      <c r="BU610" s="38" t="str">
        <f t="shared" si="81"/>
        <v>N</v>
      </c>
      <c r="BV610" s="38" t="str">
        <f t="shared" si="82"/>
        <v>StackerFlyscreenNot RequiredYes - Centre</v>
      </c>
      <c r="BW610" s="38" t="str">
        <f t="shared" si="83"/>
        <v>FWSTNYN</v>
      </c>
    </row>
    <row r="611" spans="64:75" ht="14.4">
      <c r="BL611" s="38" t="s">
        <v>416</v>
      </c>
      <c r="BM611" s="38" t="s">
        <v>178</v>
      </c>
      <c r="BN611" s="38" t="s">
        <v>383</v>
      </c>
      <c r="BO611" s="38" t="s">
        <v>411</v>
      </c>
      <c r="BQ611" s="38" t="str">
        <f t="shared" si="84"/>
        <v>FW</v>
      </c>
      <c r="BR611" s="38" t="str">
        <f t="shared" si="78"/>
        <v>H</v>
      </c>
      <c r="BS611" s="38" t="str">
        <f t="shared" si="79"/>
        <v>D</v>
      </c>
      <c r="BT611" s="38" t="str">
        <f t="shared" si="80"/>
        <v>Y</v>
      </c>
      <c r="BU611" s="38" t="str">
        <f t="shared" si="81"/>
        <v>N</v>
      </c>
      <c r="BV611" s="38" t="str">
        <f t="shared" si="82"/>
        <v>HingedFlyscreenUltra Secua Digital Triple LockYes - Centre</v>
      </c>
      <c r="BW611" s="38" t="str">
        <f t="shared" si="83"/>
        <v>FWHDYN</v>
      </c>
    </row>
    <row r="612" spans="64:75" ht="14.4">
      <c r="BL612" s="38" t="s">
        <v>416</v>
      </c>
      <c r="BM612" s="38" t="s">
        <v>179</v>
      </c>
      <c r="BN612" s="38" t="s">
        <v>383</v>
      </c>
      <c r="BO612" s="38" t="s">
        <v>411</v>
      </c>
      <c r="BQ612" s="38" t="str">
        <f t="shared" si="84"/>
        <v>FW</v>
      </c>
      <c r="BR612" s="38" t="str">
        <f t="shared" si="78"/>
        <v>S</v>
      </c>
      <c r="BS612" s="38" t="str">
        <f t="shared" si="79"/>
        <v>D</v>
      </c>
      <c r="BT612" s="38" t="str">
        <f t="shared" si="80"/>
        <v>Y</v>
      </c>
      <c r="BU612" s="38" t="str">
        <f t="shared" si="81"/>
        <v>N</v>
      </c>
      <c r="BV612" s="38" t="str">
        <f t="shared" si="82"/>
        <v>SlidingFlyscreenUltra Secua Digital Triple LockYes - Centre</v>
      </c>
      <c r="BW612" s="38" t="str">
        <f t="shared" si="83"/>
        <v>FWSDYN</v>
      </c>
    </row>
    <row r="613" spans="64:75" ht="14.4">
      <c r="BL613" s="38" t="s">
        <v>416</v>
      </c>
      <c r="BM613" s="38" t="s">
        <v>220</v>
      </c>
      <c r="BN613" s="38" t="s">
        <v>383</v>
      </c>
      <c r="BO613" s="38" t="s">
        <v>411</v>
      </c>
      <c r="BQ613" s="38" t="str">
        <f t="shared" si="84"/>
        <v>FW</v>
      </c>
      <c r="BR613" s="38" t="str">
        <f t="shared" si="85" ref="BR613:BR631">IF(BM613="Hinged","H",IF(BM613="Sliding","S",IF(BM613="Stacker","ST")))</f>
        <v>ST</v>
      </c>
      <c r="BS613" s="38" t="str">
        <f t="shared" si="86" ref="BS613:BS631">IF(BN613="Single Lock","S",IF(BN613="Triple Lock","T",IF(BN613="Not Required","N",IF(BN613="Ultra Secua Digital Triple Lock","D",IF(BN613="Bass Latch","B")))))</f>
        <v>D</v>
      </c>
      <c r="BT613" s="38" t="str">
        <f t="shared" si="87" ref="BT613:BT631">IF(BO613="No","N",IF(BO613="Yes","Y",IF(BO613="Not Required","N",IF(BO613="Yes - Centre","Y"))))</f>
        <v>Y</v>
      </c>
      <c r="BU613" s="38" t="str">
        <f t="shared" si="88" ref="BU613:BU631">IF(BP613="","N",IF(BP613="Yes","Y"))</f>
        <v>N</v>
      </c>
      <c r="BV613" s="38" t="str">
        <f t="shared" si="89" ref="BV613:BV631">CONCATENATE(BM613,BL613,BN613,BO613,BP613,)</f>
        <v>StackerFlyscreenUltra Secua Digital Triple LockYes - Centre</v>
      </c>
      <c r="BW613" s="38" t="str">
        <f t="shared" si="90" ref="BW613:BW631">CONCATENATE(BQ613,BR613,BS613,BT613,BU613)</f>
        <v>FWSTDYN</v>
      </c>
    </row>
    <row r="614" spans="64:75" ht="14.4">
      <c r="BL614" s="38" t="s">
        <v>416</v>
      </c>
      <c r="BM614" s="38" t="s">
        <v>178</v>
      </c>
      <c r="BN614" s="38" t="s">
        <v>284</v>
      </c>
      <c r="BO614" s="38" t="s">
        <v>411</v>
      </c>
      <c r="BQ614" s="38" t="str">
        <f t="shared" si="84"/>
        <v>FW</v>
      </c>
      <c r="BR614" s="38" t="str">
        <f t="shared" si="85"/>
        <v>H</v>
      </c>
      <c r="BS614" s="38" t="str">
        <f t="shared" si="86"/>
        <v>B</v>
      </c>
      <c r="BT614" s="38" t="str">
        <f t="shared" si="87"/>
        <v>Y</v>
      </c>
      <c r="BU614" s="38" t="str">
        <f t="shared" si="88"/>
        <v>N</v>
      </c>
      <c r="BV614" s="38" t="str">
        <f t="shared" si="89"/>
        <v>HingedFlyscreenBass LatchYes - Centre</v>
      </c>
      <c r="BW614" s="38" t="str">
        <f t="shared" si="90"/>
        <v>FWHBYN</v>
      </c>
    </row>
    <row r="615" spans="64:75" ht="14.4">
      <c r="BL615" s="38" t="s">
        <v>416</v>
      </c>
      <c r="BM615" s="38" t="s">
        <v>179</v>
      </c>
      <c r="BN615" s="38" t="s">
        <v>284</v>
      </c>
      <c r="BO615" s="38" t="s">
        <v>411</v>
      </c>
      <c r="BQ615" s="38" t="str">
        <f t="shared" si="84"/>
        <v>FW</v>
      </c>
      <c r="BR615" s="38" t="str">
        <f t="shared" si="85"/>
        <v>S</v>
      </c>
      <c r="BS615" s="38" t="str">
        <f t="shared" si="86"/>
        <v>B</v>
      </c>
      <c r="BT615" s="38" t="str">
        <f t="shared" si="87"/>
        <v>Y</v>
      </c>
      <c r="BU615" s="38" t="str">
        <f t="shared" si="88"/>
        <v>N</v>
      </c>
      <c r="BV615" s="38" t="str">
        <f t="shared" si="89"/>
        <v>SlidingFlyscreenBass LatchYes - Centre</v>
      </c>
      <c r="BW615" s="38" t="str">
        <f t="shared" si="90"/>
        <v>FWSBYN</v>
      </c>
    </row>
    <row r="616" spans="64:75" ht="14.4">
      <c r="BL616" s="38" t="s">
        <v>416</v>
      </c>
      <c r="BM616" s="38" t="s">
        <v>220</v>
      </c>
      <c r="BN616" s="38" t="s">
        <v>284</v>
      </c>
      <c r="BO616" s="38" t="s">
        <v>411</v>
      </c>
      <c r="BQ616" s="38" t="str">
        <f t="shared" si="84"/>
        <v>FW</v>
      </c>
      <c r="BR616" s="38" t="str">
        <f t="shared" si="85"/>
        <v>ST</v>
      </c>
      <c r="BS616" s="38" t="str">
        <f t="shared" si="86"/>
        <v>B</v>
      </c>
      <c r="BT616" s="38" t="str">
        <f t="shared" si="87"/>
        <v>Y</v>
      </c>
      <c r="BU616" s="38" t="str">
        <f t="shared" si="88"/>
        <v>N</v>
      </c>
      <c r="BV616" s="38" t="str">
        <f t="shared" si="89"/>
        <v>StackerFlyscreenBass LatchYes - Centre</v>
      </c>
      <c r="BW616" s="38" t="str">
        <f t="shared" si="90"/>
        <v>FWSTBYN</v>
      </c>
    </row>
    <row r="617" spans="64:75" ht="14.4">
      <c r="BL617" s="38" t="s">
        <v>416</v>
      </c>
      <c r="BM617" s="38" t="s">
        <v>178</v>
      </c>
      <c r="BN617" s="38" t="s">
        <v>279</v>
      </c>
      <c r="BO617" s="38" t="s">
        <v>306</v>
      </c>
      <c r="BQ617" s="38" t="str">
        <f t="shared" si="84"/>
        <v>FW</v>
      </c>
      <c r="BR617" s="38" t="str">
        <f t="shared" si="85"/>
        <v>H</v>
      </c>
      <c r="BS617" s="38" t="str">
        <f t="shared" si="86"/>
        <v>S</v>
      </c>
      <c r="BT617" s="38" t="str">
        <f t="shared" si="87"/>
        <v>Y</v>
      </c>
      <c r="BU617" s="38" t="str">
        <f t="shared" si="88"/>
        <v>N</v>
      </c>
      <c r="BV617" s="38" t="str">
        <f t="shared" si="89"/>
        <v>HingedFlyscreenSingle LockYes</v>
      </c>
      <c r="BW617" s="38" t="str">
        <f t="shared" si="90"/>
        <v>FWHSYN</v>
      </c>
    </row>
    <row r="618" spans="64:75" ht="14.4">
      <c r="BL618" s="38" t="s">
        <v>416</v>
      </c>
      <c r="BM618" s="38" t="s">
        <v>179</v>
      </c>
      <c r="BN618" s="38" t="s">
        <v>279</v>
      </c>
      <c r="BO618" s="38" t="s">
        <v>306</v>
      </c>
      <c r="BQ618" s="38" t="str">
        <f t="shared" si="84"/>
        <v>FW</v>
      </c>
      <c r="BR618" s="38" t="str">
        <f t="shared" si="85"/>
        <v>S</v>
      </c>
      <c r="BS618" s="38" t="str">
        <f t="shared" si="86"/>
        <v>S</v>
      </c>
      <c r="BT618" s="38" t="str">
        <f t="shared" si="87"/>
        <v>Y</v>
      </c>
      <c r="BU618" s="38" t="str">
        <f t="shared" si="88"/>
        <v>N</v>
      </c>
      <c r="BV618" s="38" t="str">
        <f t="shared" si="89"/>
        <v>SlidingFlyscreenSingle LockYes</v>
      </c>
      <c r="BW618" s="38" t="str">
        <f t="shared" si="90"/>
        <v>FWSSYN</v>
      </c>
    </row>
    <row r="619" spans="64:75" ht="14.4">
      <c r="BL619" s="38" t="s">
        <v>416</v>
      </c>
      <c r="BM619" s="38" t="s">
        <v>220</v>
      </c>
      <c r="BN619" s="38" t="s">
        <v>279</v>
      </c>
      <c r="BO619" s="38" t="s">
        <v>306</v>
      </c>
      <c r="BQ619" s="38" t="str">
        <f t="shared" si="84"/>
        <v>FW</v>
      </c>
      <c r="BR619" s="38" t="str">
        <f t="shared" si="85"/>
        <v>ST</v>
      </c>
      <c r="BS619" s="38" t="str">
        <f t="shared" si="86"/>
        <v>S</v>
      </c>
      <c r="BT619" s="38" t="str">
        <f t="shared" si="87"/>
        <v>Y</v>
      </c>
      <c r="BU619" s="38" t="str">
        <f t="shared" si="88"/>
        <v>N</v>
      </c>
      <c r="BV619" s="38" t="str">
        <f t="shared" si="89"/>
        <v>StackerFlyscreenSingle LockYes</v>
      </c>
      <c r="BW619" s="38" t="str">
        <f t="shared" si="90"/>
        <v>FWSTSYN</v>
      </c>
    </row>
    <row r="620" spans="64:75" ht="14.4">
      <c r="BL620" s="38" t="s">
        <v>416</v>
      </c>
      <c r="BM620" s="38" t="s">
        <v>178</v>
      </c>
      <c r="BN620" s="38" t="s">
        <v>275</v>
      </c>
      <c r="BO620" s="38" t="s">
        <v>306</v>
      </c>
      <c r="BQ620" s="38" t="str">
        <f t="shared" si="84"/>
        <v>FW</v>
      </c>
      <c r="BR620" s="38" t="str">
        <f t="shared" si="85"/>
        <v>H</v>
      </c>
      <c r="BS620" s="38" t="str">
        <f t="shared" si="86"/>
        <v>T</v>
      </c>
      <c r="BT620" s="38" t="str">
        <f t="shared" si="87"/>
        <v>Y</v>
      </c>
      <c r="BU620" s="38" t="str">
        <f t="shared" si="88"/>
        <v>N</v>
      </c>
      <c r="BV620" s="38" t="str">
        <f t="shared" si="89"/>
        <v>HingedFlyscreenTriple LockYes</v>
      </c>
      <c r="BW620" s="38" t="str">
        <f t="shared" si="90"/>
        <v>FWHTYN</v>
      </c>
    </row>
    <row r="621" spans="64:75" ht="14.4">
      <c r="BL621" s="38" t="s">
        <v>416</v>
      </c>
      <c r="BM621" s="38" t="s">
        <v>179</v>
      </c>
      <c r="BN621" s="38" t="s">
        <v>275</v>
      </c>
      <c r="BO621" s="38" t="s">
        <v>306</v>
      </c>
      <c r="BQ621" s="38" t="str">
        <f t="shared" si="84"/>
        <v>FW</v>
      </c>
      <c r="BR621" s="38" t="str">
        <f t="shared" si="85"/>
        <v>S</v>
      </c>
      <c r="BS621" s="38" t="str">
        <f t="shared" si="86"/>
        <v>T</v>
      </c>
      <c r="BT621" s="38" t="str">
        <f t="shared" si="87"/>
        <v>Y</v>
      </c>
      <c r="BU621" s="38" t="str">
        <f t="shared" si="88"/>
        <v>N</v>
      </c>
      <c r="BV621" s="38" t="str">
        <f t="shared" si="89"/>
        <v>SlidingFlyscreenTriple LockYes</v>
      </c>
      <c r="BW621" s="38" t="str">
        <f t="shared" si="90"/>
        <v>FWSTYN</v>
      </c>
    </row>
    <row r="622" spans="64:75" ht="14.4">
      <c r="BL622" s="38" t="s">
        <v>416</v>
      </c>
      <c r="BM622" s="38" t="s">
        <v>220</v>
      </c>
      <c r="BN622" s="38" t="s">
        <v>275</v>
      </c>
      <c r="BO622" s="38" t="s">
        <v>306</v>
      </c>
      <c r="BQ622" s="38" t="str">
        <f t="shared" si="84"/>
        <v>FW</v>
      </c>
      <c r="BR622" s="38" t="str">
        <f t="shared" si="85"/>
        <v>ST</v>
      </c>
      <c r="BS622" s="38" t="str">
        <f t="shared" si="86"/>
        <v>T</v>
      </c>
      <c r="BT622" s="38" t="str">
        <f t="shared" si="87"/>
        <v>Y</v>
      </c>
      <c r="BU622" s="38" t="str">
        <f t="shared" si="88"/>
        <v>N</v>
      </c>
      <c r="BV622" s="38" t="str">
        <f t="shared" si="89"/>
        <v>StackerFlyscreenTriple LockYes</v>
      </c>
      <c r="BW622" s="38" t="str">
        <f t="shared" si="90"/>
        <v>FWSTTYN</v>
      </c>
    </row>
    <row r="623" spans="64:75" ht="14.4">
      <c r="BL623" s="38" t="s">
        <v>416</v>
      </c>
      <c r="BM623" s="38" t="s">
        <v>178</v>
      </c>
      <c r="BN623" s="38" t="s">
        <v>410</v>
      </c>
      <c r="BO623" s="38" t="s">
        <v>306</v>
      </c>
      <c r="BQ623" s="38" t="str">
        <f t="shared" si="84"/>
        <v>FW</v>
      </c>
      <c r="BR623" s="38" t="str">
        <f t="shared" si="85"/>
        <v>H</v>
      </c>
      <c r="BS623" s="38" t="str">
        <f t="shared" si="86"/>
        <v>N</v>
      </c>
      <c r="BT623" s="38" t="str">
        <f t="shared" si="87"/>
        <v>Y</v>
      </c>
      <c r="BU623" s="38" t="str">
        <f t="shared" si="88"/>
        <v>N</v>
      </c>
      <c r="BV623" s="38" t="str">
        <f t="shared" si="89"/>
        <v>HingedFlyscreenNot RequiredYes</v>
      </c>
      <c r="BW623" s="38" t="str">
        <f t="shared" si="90"/>
        <v>FWHNYN</v>
      </c>
    </row>
    <row r="624" spans="64:75" ht="14.4">
      <c r="BL624" s="38" t="s">
        <v>416</v>
      </c>
      <c r="BM624" s="38" t="s">
        <v>179</v>
      </c>
      <c r="BN624" s="38" t="s">
        <v>410</v>
      </c>
      <c r="BO624" s="38" t="s">
        <v>306</v>
      </c>
      <c r="BQ624" s="38" t="str">
        <f t="shared" si="84"/>
        <v>FW</v>
      </c>
      <c r="BR624" s="38" t="str">
        <f t="shared" si="85"/>
        <v>S</v>
      </c>
      <c r="BS624" s="38" t="str">
        <f t="shared" si="86"/>
        <v>N</v>
      </c>
      <c r="BT624" s="38" t="str">
        <f t="shared" si="87"/>
        <v>Y</v>
      </c>
      <c r="BU624" s="38" t="str">
        <f t="shared" si="88"/>
        <v>N</v>
      </c>
      <c r="BV624" s="38" t="str">
        <f t="shared" si="89"/>
        <v>SlidingFlyscreenNot RequiredYes</v>
      </c>
      <c r="BW624" s="38" t="str">
        <f t="shared" si="90"/>
        <v>FWSNYN</v>
      </c>
    </row>
    <row r="625" spans="64:75" ht="14.4">
      <c r="BL625" s="38" t="s">
        <v>416</v>
      </c>
      <c r="BM625" s="38" t="s">
        <v>220</v>
      </c>
      <c r="BN625" s="38" t="s">
        <v>410</v>
      </c>
      <c r="BO625" s="38" t="s">
        <v>306</v>
      </c>
      <c r="BQ625" s="38" t="str">
        <f t="shared" si="84"/>
        <v>FW</v>
      </c>
      <c r="BR625" s="38" t="str">
        <f t="shared" si="85"/>
        <v>ST</v>
      </c>
      <c r="BS625" s="38" t="str">
        <f t="shared" si="86"/>
        <v>N</v>
      </c>
      <c r="BT625" s="38" t="str">
        <f t="shared" si="87"/>
        <v>Y</v>
      </c>
      <c r="BU625" s="38" t="str">
        <f t="shared" si="88"/>
        <v>N</v>
      </c>
      <c r="BV625" s="38" t="str">
        <f t="shared" si="89"/>
        <v>StackerFlyscreenNot RequiredYes</v>
      </c>
      <c r="BW625" s="38" t="str">
        <f t="shared" si="90"/>
        <v>FWSTNYN</v>
      </c>
    </row>
    <row r="626" spans="64:75" ht="14.4">
      <c r="BL626" s="38" t="s">
        <v>416</v>
      </c>
      <c r="BM626" s="38" t="s">
        <v>178</v>
      </c>
      <c r="BN626" s="38" t="s">
        <v>383</v>
      </c>
      <c r="BO626" s="38" t="s">
        <v>306</v>
      </c>
      <c r="BQ626" s="38" t="str">
        <f t="shared" si="84"/>
        <v>FW</v>
      </c>
      <c r="BR626" s="38" t="str">
        <f t="shared" si="85"/>
        <v>H</v>
      </c>
      <c r="BS626" s="38" t="str">
        <f t="shared" si="86"/>
        <v>D</v>
      </c>
      <c r="BT626" s="38" t="str">
        <f t="shared" si="87"/>
        <v>Y</v>
      </c>
      <c r="BU626" s="38" t="str">
        <f t="shared" si="88"/>
        <v>N</v>
      </c>
      <c r="BV626" s="38" t="str">
        <f t="shared" si="89"/>
        <v>HingedFlyscreenUltra Secua Digital Triple LockYes</v>
      </c>
      <c r="BW626" s="38" t="str">
        <f t="shared" si="90"/>
        <v>FWHDYN</v>
      </c>
    </row>
    <row r="627" spans="64:75" ht="14.4">
      <c r="BL627" s="38" t="s">
        <v>416</v>
      </c>
      <c r="BM627" s="38" t="s">
        <v>179</v>
      </c>
      <c r="BN627" s="38" t="s">
        <v>383</v>
      </c>
      <c r="BO627" s="38" t="s">
        <v>306</v>
      </c>
      <c r="BQ627" s="38" t="str">
        <f t="shared" si="84"/>
        <v>FW</v>
      </c>
      <c r="BR627" s="38" t="str">
        <f t="shared" si="85"/>
        <v>S</v>
      </c>
      <c r="BS627" s="38" t="str">
        <f t="shared" si="86"/>
        <v>D</v>
      </c>
      <c r="BT627" s="38" t="str">
        <f t="shared" si="87"/>
        <v>Y</v>
      </c>
      <c r="BU627" s="38" t="str">
        <f t="shared" si="88"/>
        <v>N</v>
      </c>
      <c r="BV627" s="38" t="str">
        <f t="shared" si="89"/>
        <v>SlidingFlyscreenUltra Secua Digital Triple LockYes</v>
      </c>
      <c r="BW627" s="38" t="str">
        <f t="shared" si="90"/>
        <v>FWSDYN</v>
      </c>
    </row>
    <row r="628" spans="64:75" ht="14.4">
      <c r="BL628" s="38" t="s">
        <v>416</v>
      </c>
      <c r="BM628" s="38" t="s">
        <v>220</v>
      </c>
      <c r="BN628" s="38" t="s">
        <v>383</v>
      </c>
      <c r="BO628" s="38" t="s">
        <v>306</v>
      </c>
      <c r="BQ628" s="38" t="str">
        <f t="shared" si="84"/>
        <v>FW</v>
      </c>
      <c r="BR628" s="38" t="str">
        <f t="shared" si="85"/>
        <v>ST</v>
      </c>
      <c r="BS628" s="38" t="str">
        <f t="shared" si="86"/>
        <v>D</v>
      </c>
      <c r="BT628" s="38" t="str">
        <f t="shared" si="87"/>
        <v>Y</v>
      </c>
      <c r="BU628" s="38" t="str">
        <f t="shared" si="88"/>
        <v>N</v>
      </c>
      <c r="BV628" s="38" t="str">
        <f t="shared" si="89"/>
        <v>StackerFlyscreenUltra Secua Digital Triple LockYes</v>
      </c>
      <c r="BW628" s="38" t="str">
        <f t="shared" si="90"/>
        <v>FWSTDYN</v>
      </c>
    </row>
    <row r="629" spans="64:75" ht="14.4">
      <c r="BL629" s="38" t="s">
        <v>416</v>
      </c>
      <c r="BM629" s="38" t="s">
        <v>178</v>
      </c>
      <c r="BN629" s="38" t="s">
        <v>284</v>
      </c>
      <c r="BO629" s="38" t="s">
        <v>306</v>
      </c>
      <c r="BQ629" s="38" t="str">
        <f t="shared" si="84"/>
        <v>FW</v>
      </c>
      <c r="BR629" s="38" t="str">
        <f t="shared" si="85"/>
        <v>H</v>
      </c>
      <c r="BS629" s="38" t="str">
        <f t="shared" si="86"/>
        <v>B</v>
      </c>
      <c r="BT629" s="38" t="str">
        <f t="shared" si="87"/>
        <v>Y</v>
      </c>
      <c r="BU629" s="38" t="str">
        <f t="shared" si="88"/>
        <v>N</v>
      </c>
      <c r="BV629" s="38" t="str">
        <f t="shared" si="89"/>
        <v>HingedFlyscreenBass LatchYes</v>
      </c>
      <c r="BW629" s="38" t="str">
        <f t="shared" si="90"/>
        <v>FWHBYN</v>
      </c>
    </row>
    <row r="630" spans="64:75" ht="14.4">
      <c r="BL630" s="38" t="s">
        <v>416</v>
      </c>
      <c r="BM630" s="38" t="s">
        <v>179</v>
      </c>
      <c r="BN630" s="38" t="s">
        <v>284</v>
      </c>
      <c r="BO630" s="38" t="s">
        <v>306</v>
      </c>
      <c r="BQ630" s="38" t="str">
        <f t="shared" si="84"/>
        <v>FW</v>
      </c>
      <c r="BR630" s="38" t="str">
        <f t="shared" si="85"/>
        <v>S</v>
      </c>
      <c r="BS630" s="38" t="str">
        <f t="shared" si="86"/>
        <v>B</v>
      </c>
      <c r="BT630" s="38" t="str">
        <f t="shared" si="87"/>
        <v>Y</v>
      </c>
      <c r="BU630" s="38" t="str">
        <f t="shared" si="88"/>
        <v>N</v>
      </c>
      <c r="BV630" s="38" t="str">
        <f t="shared" si="89"/>
        <v>SlidingFlyscreenBass LatchYes</v>
      </c>
      <c r="BW630" s="38" t="str">
        <f t="shared" si="90"/>
        <v>FWSBYN</v>
      </c>
    </row>
    <row r="631" spans="64:75" ht="14.4">
      <c r="BL631" s="38" t="s">
        <v>416</v>
      </c>
      <c r="BM631" s="38" t="s">
        <v>220</v>
      </c>
      <c r="BN631" s="38" t="s">
        <v>284</v>
      </c>
      <c r="BO631" s="38" t="s">
        <v>306</v>
      </c>
      <c r="BQ631" s="38" t="str">
        <f t="shared" si="84"/>
        <v>FW</v>
      </c>
      <c r="BR631" s="38" t="str">
        <f t="shared" si="85"/>
        <v>ST</v>
      </c>
      <c r="BS631" s="38" t="str">
        <f t="shared" si="86"/>
        <v>B</v>
      </c>
      <c r="BT631" s="38" t="str">
        <f t="shared" si="87"/>
        <v>Y</v>
      </c>
      <c r="BU631" s="38" t="str">
        <f t="shared" si="88"/>
        <v>N</v>
      </c>
      <c r="BV631" s="38" t="str">
        <f t="shared" si="89"/>
        <v>StackerFlyscreenBass LatchYes</v>
      </c>
      <c r="BW631" s="38" t="str">
        <f t="shared" si="90"/>
        <v>FWSTBYN</v>
      </c>
    </row>
  </sheetData>
  <mergeCells count="1">
    <mergeCell ref="CE1:CT1"/>
  </mergeCells>
  <pageMargins left="1.84566929133951" right="1.84566929133951" top="0.75" bottom="0.75" header="0.3" footer="0.3"/>
  <pageSetup horizontalDpi="300" verticalDpi="30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B6A00-86E0-44EA-BCFA-CD9F041AE93C}">
  <sheetPr codeName="Sheet3"/>
  <dimension ref="A1:T14"/>
  <sheetViews>
    <sheetView workbookViewId="0" topLeftCell="A1">
      <selection pane="topLeft" activeCell="F20" sqref="F20"/>
    </sheetView>
  </sheetViews>
  <sheetFormatPr defaultColWidth="9.109375" defaultRowHeight="13.5"/>
  <cols>
    <col min="1" max="1" width="9.14285714285714" style="60"/>
    <col min="2" max="4" width="10.1428571428571" style="60" bestFit="1" customWidth="1"/>
    <col min="5" max="6" width="11.1428571428571" style="60" bestFit="1" customWidth="1"/>
    <col min="9" max="10" width="10.1428571428571" bestFit="1" customWidth="1"/>
    <col min="11" max="11" width="11.1428571428571" bestFit="1" customWidth="1"/>
    <col min="12" max="12" width="10.8571428571429" bestFit="1" customWidth="1"/>
    <col min="16" max="16" width="10.1428571428571" bestFit="1" customWidth="1"/>
    <col min="17" max="18" width="11.1428571428571" bestFit="1" customWidth="1"/>
    <col min="19" max="19" width="11.8571428571429" customWidth="1"/>
    <col min="20" max="21" width="10.1428571428571" bestFit="1" customWidth="1"/>
    <col min="22" max="22" width="11.1428571428571" bestFit="1" customWidth="1"/>
  </cols>
  <sheetData>
    <row r="1" spans="1:20" ht="13.2">
      <c r="A1" s="323" t="s">
        <v>223</v>
      </c>
      <c r="B1" s="323"/>
      <c r="C1" s="323"/>
      <c r="D1" s="323"/>
      <c r="E1" s="323"/>
      <c r="F1" s="323"/>
      <c r="H1" s="323" t="s">
        <v>255</v>
      </c>
      <c r="I1" s="323"/>
      <c r="J1" s="323"/>
      <c r="K1" s="323"/>
      <c r="L1" s="323"/>
      <c r="M1" s="323"/>
      <c r="O1" s="319" t="s">
        <v>250</v>
      </c>
      <c r="P1" s="320"/>
      <c r="Q1" s="320"/>
      <c r="R1" s="320"/>
      <c r="S1" s="320"/>
      <c r="T1" s="321"/>
    </row>
    <row r="2" spans="1:20" ht="13.2">
      <c r="A2" s="36"/>
      <c r="B2" s="36">
        <v>1</v>
      </c>
      <c r="C2" s="36">
        <v>721</v>
      </c>
      <c r="D2" s="36">
        <v>871</v>
      </c>
      <c r="E2" s="36">
        <v>1171</v>
      </c>
      <c r="F2" s="36">
        <v>1480</v>
      </c>
      <c r="H2" s="36"/>
      <c r="I2" s="36">
        <v>1</v>
      </c>
      <c r="J2" s="36">
        <v>721</v>
      </c>
      <c r="K2" s="36">
        <v>871</v>
      </c>
      <c r="L2" s="36">
        <v>1171</v>
      </c>
      <c r="M2" s="36">
        <v>1480</v>
      </c>
      <c r="O2" s="36"/>
      <c r="P2" s="36">
        <v>1</v>
      </c>
      <c r="Q2" s="36">
        <v>715</v>
      </c>
      <c r="R2" s="36">
        <v>800</v>
      </c>
      <c r="S2" s="36">
        <v>885</v>
      </c>
      <c r="T2" s="36">
        <v>1165</v>
      </c>
    </row>
    <row r="3" spans="1:20" ht="13.2">
      <c r="A3" s="36">
        <v>1</v>
      </c>
      <c r="B3" s="59" t="s">
        <v>236</v>
      </c>
      <c r="C3" s="59" t="s">
        <v>239</v>
      </c>
      <c r="D3" s="59" t="s">
        <v>242</v>
      </c>
      <c r="E3" s="59" t="s">
        <v>245</v>
      </c>
      <c r="F3" s="59" t="s">
        <v>669</v>
      </c>
      <c r="H3" s="36">
        <v>1</v>
      </c>
      <c r="I3" s="59" t="s">
        <v>236</v>
      </c>
      <c r="J3" s="59" t="s">
        <v>239</v>
      </c>
      <c r="K3" s="59" t="s">
        <v>242</v>
      </c>
      <c r="L3" s="59" t="s">
        <v>245</v>
      </c>
      <c r="M3" s="59" t="s">
        <v>669</v>
      </c>
      <c r="O3" s="36">
        <v>1</v>
      </c>
      <c r="P3" s="59" t="s">
        <v>251</v>
      </c>
      <c r="Q3" s="59" t="s">
        <v>252</v>
      </c>
      <c r="R3" s="59" t="s">
        <v>253</v>
      </c>
      <c r="S3" s="59" t="s">
        <v>447</v>
      </c>
      <c r="T3" s="59" t="s">
        <v>669</v>
      </c>
    </row>
    <row r="4" spans="1:20" ht="13.2">
      <c r="A4" s="36">
        <v>1971</v>
      </c>
      <c r="B4" s="59" t="s">
        <v>237</v>
      </c>
      <c r="C4" s="59" t="s">
        <v>240</v>
      </c>
      <c r="D4" s="59" t="s">
        <v>243</v>
      </c>
      <c r="E4" s="59" t="s">
        <v>246</v>
      </c>
      <c r="F4" s="59" t="s">
        <v>669</v>
      </c>
      <c r="H4" s="36">
        <v>1971</v>
      </c>
      <c r="I4" s="59" t="s">
        <v>237</v>
      </c>
      <c r="J4" s="59" t="s">
        <v>240</v>
      </c>
      <c r="K4" s="59" t="s">
        <v>243</v>
      </c>
      <c r="L4" s="59" t="s">
        <v>246</v>
      </c>
      <c r="M4" s="59" t="s">
        <v>669</v>
      </c>
      <c r="O4" s="36">
        <v>2015</v>
      </c>
      <c r="P4" s="59" t="s">
        <v>254</v>
      </c>
      <c r="Q4" s="59" t="s">
        <v>254</v>
      </c>
      <c r="R4" s="59" t="s">
        <v>254</v>
      </c>
      <c r="S4" s="59" t="s">
        <v>448</v>
      </c>
      <c r="T4" s="59" t="s">
        <v>669</v>
      </c>
    </row>
    <row r="5" spans="1:20" ht="13.2">
      <c r="A5" s="36">
        <v>2370</v>
      </c>
      <c r="B5" s="59" t="s">
        <v>238</v>
      </c>
      <c r="C5" s="59" t="s">
        <v>241</v>
      </c>
      <c r="D5" s="59" t="s">
        <v>244</v>
      </c>
      <c r="E5" s="59" t="s">
        <v>247</v>
      </c>
      <c r="F5" s="59" t="s">
        <v>669</v>
      </c>
      <c r="H5" s="36">
        <v>2370</v>
      </c>
      <c r="I5" s="59" t="s">
        <v>238</v>
      </c>
      <c r="J5" s="59" t="s">
        <v>241</v>
      </c>
      <c r="K5" s="59" t="s">
        <v>244</v>
      </c>
      <c r="L5" s="59" t="s">
        <v>247</v>
      </c>
      <c r="M5" s="59" t="s">
        <v>669</v>
      </c>
      <c r="O5" s="36">
        <v>2415</v>
      </c>
      <c r="P5" s="59" t="s">
        <v>669</v>
      </c>
      <c r="Q5" s="59" t="s">
        <v>669</v>
      </c>
      <c r="R5" s="59" t="s">
        <v>669</v>
      </c>
      <c r="S5" s="59" t="s">
        <v>669</v>
      </c>
      <c r="T5" s="59" t="s">
        <v>669</v>
      </c>
    </row>
    <row r="6" spans="1:13" ht="13.2">
      <c r="A6" s="36">
        <v>2980</v>
      </c>
      <c r="B6" s="59" t="s">
        <v>669</v>
      </c>
      <c r="C6" s="59" t="s">
        <v>669</v>
      </c>
      <c r="D6" s="59" t="s">
        <v>669</v>
      </c>
      <c r="E6" s="59" t="s">
        <v>669</v>
      </c>
      <c r="F6" s="59" t="s">
        <v>669</v>
      </c>
      <c r="H6" s="36">
        <v>2980</v>
      </c>
      <c r="I6" s="59" t="s">
        <v>669</v>
      </c>
      <c r="J6" s="59" t="s">
        <v>669</v>
      </c>
      <c r="K6" s="59" t="s">
        <v>669</v>
      </c>
      <c r="L6" s="59" t="s">
        <v>669</v>
      </c>
      <c r="M6" s="59" t="s">
        <v>669</v>
      </c>
    </row>
    <row r="9" spans="1:19" ht="13.2">
      <c r="A9" s="179" t="s">
        <v>340</v>
      </c>
      <c r="B9" s="179"/>
      <c r="C9" s="179"/>
      <c r="D9" s="179"/>
      <c r="E9" s="179"/>
      <c r="F9" s="179"/>
      <c r="H9" s="319" t="s">
        <v>231</v>
      </c>
      <c r="I9" s="320"/>
      <c r="J9" s="320"/>
      <c r="K9" s="320"/>
      <c r="L9" s="320"/>
      <c r="M9" s="321"/>
      <c r="O9" s="319" t="s">
        <v>327</v>
      </c>
      <c r="P9" s="320"/>
      <c r="Q9" s="320"/>
      <c r="R9" s="320"/>
      <c r="S9" s="321"/>
    </row>
    <row r="10" spans="1:19" ht="13.2">
      <c r="A10" s="36"/>
      <c r="B10" s="36">
        <v>1</v>
      </c>
      <c r="C10" s="36">
        <v>721</v>
      </c>
      <c r="D10" s="36">
        <v>795</v>
      </c>
      <c r="E10" s="36">
        <v>870</v>
      </c>
      <c r="F10" s="36">
        <v>1180</v>
      </c>
      <c r="H10" s="36"/>
      <c r="I10" s="36">
        <v>1</v>
      </c>
      <c r="J10" s="36">
        <v>721</v>
      </c>
      <c r="K10" s="36">
        <v>871</v>
      </c>
      <c r="L10" s="36">
        <v>1171</v>
      </c>
      <c r="M10" s="36"/>
      <c r="O10" s="36"/>
      <c r="P10" s="36">
        <v>1</v>
      </c>
      <c r="Q10" s="36">
        <v>720</v>
      </c>
      <c r="R10" s="36">
        <v>850</v>
      </c>
      <c r="S10" s="36">
        <v>1130</v>
      </c>
    </row>
    <row r="11" spans="1:19" ht="13.2" customHeight="1">
      <c r="A11" s="36">
        <v>1</v>
      </c>
      <c r="B11" s="59" t="s">
        <v>236</v>
      </c>
      <c r="C11" s="59" t="s">
        <v>341</v>
      </c>
      <c r="D11" s="59" t="s">
        <v>342</v>
      </c>
      <c r="E11" s="59" t="s">
        <v>343</v>
      </c>
      <c r="F11" s="59" t="s">
        <v>669</v>
      </c>
      <c r="H11" s="36">
        <v>1</v>
      </c>
      <c r="I11" s="59" t="s">
        <v>236</v>
      </c>
      <c r="J11" s="59" t="s">
        <v>239</v>
      </c>
      <c r="K11" s="59" t="s">
        <v>242</v>
      </c>
      <c r="L11" s="59" t="s">
        <v>669</v>
      </c>
      <c r="M11" s="36"/>
      <c r="O11" s="36">
        <v>1</v>
      </c>
      <c r="P11" s="59" t="s">
        <v>455</v>
      </c>
      <c r="Q11" s="59" t="s">
        <v>456</v>
      </c>
      <c r="R11" s="59" t="s">
        <v>457</v>
      </c>
      <c r="S11" s="59" t="s">
        <v>669</v>
      </c>
    </row>
    <row r="12" spans="1:19" ht="13.5" customHeight="1">
      <c r="A12" s="36">
        <v>1970</v>
      </c>
      <c r="B12" s="59" t="s">
        <v>342</v>
      </c>
      <c r="C12" s="59" t="s">
        <v>342</v>
      </c>
      <c r="D12" s="59" t="s">
        <v>342</v>
      </c>
      <c r="E12" s="59" t="s">
        <v>343</v>
      </c>
      <c r="F12" s="59" t="s">
        <v>669</v>
      </c>
      <c r="H12" s="36">
        <v>1971</v>
      </c>
      <c r="I12" s="59" t="s">
        <v>237</v>
      </c>
      <c r="J12" s="59" t="s">
        <v>240</v>
      </c>
      <c r="K12" s="59" t="s">
        <v>243</v>
      </c>
      <c r="L12" s="59" t="s">
        <v>669</v>
      </c>
      <c r="M12" s="59"/>
      <c r="O12" s="36">
        <v>2030</v>
      </c>
      <c r="P12" s="59" t="s">
        <v>669</v>
      </c>
      <c r="Q12" s="59" t="s">
        <v>669</v>
      </c>
      <c r="R12" s="59" t="s">
        <v>669</v>
      </c>
      <c r="S12" s="59" t="s">
        <v>669</v>
      </c>
    </row>
    <row r="13" spans="1:13" ht="13.5" customHeight="1">
      <c r="A13" s="36">
        <v>2180</v>
      </c>
      <c r="B13" s="59" t="s">
        <v>240</v>
      </c>
      <c r="C13" s="59" t="s">
        <v>240</v>
      </c>
      <c r="D13" s="59" t="s">
        <v>240</v>
      </c>
      <c r="E13" s="59" t="s">
        <v>243</v>
      </c>
      <c r="F13" s="59" t="s">
        <v>669</v>
      </c>
      <c r="H13" s="36">
        <v>2380</v>
      </c>
      <c r="I13" s="59" t="s">
        <v>669</v>
      </c>
      <c r="J13" s="59" t="s">
        <v>669</v>
      </c>
      <c r="K13" s="59" t="s">
        <v>669</v>
      </c>
      <c r="L13" s="59" t="s">
        <v>669</v>
      </c>
      <c r="M13" s="59"/>
    </row>
    <row r="14" spans="1:13" ht="13.5" customHeight="1">
      <c r="A14" s="36">
        <v>2380</v>
      </c>
      <c r="B14" s="59" t="s">
        <v>669</v>
      </c>
      <c r="C14" s="59" t="s">
        <v>669</v>
      </c>
      <c r="D14" s="59" t="s">
        <v>669</v>
      </c>
      <c r="E14" s="59" t="s">
        <v>669</v>
      </c>
      <c r="F14" s="59" t="s">
        <v>669</v>
      </c>
      <c r="H14" s="36"/>
      <c r="I14" s="36"/>
      <c r="J14" s="59"/>
      <c r="K14" s="59"/>
      <c r="L14" s="59"/>
      <c r="M14" s="59"/>
    </row>
    <row r="15" ht="13.2" customHeight="1"/>
    <row r="16" ht="13.2" customHeight="1"/>
    <row r="17" ht="13.2" customHeight="1"/>
    <row r="18" ht="13.2" customHeight="1"/>
  </sheetData>
  <mergeCells count="5">
    <mergeCell ref="O9:S9"/>
    <mergeCell ref="A1:F1"/>
    <mergeCell ref="H1:M1"/>
    <mergeCell ref="H9:M9"/>
    <mergeCell ref="O1:T1"/>
  </mergeCells>
  <pageMargins left="1.41653543307133" right="1.41653543307133" top="0.75" bottom="0.75" header="0.3" footer="0.3"/>
  <pageSetup horizontalDpi="300" verticalDpi="30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>DPS Computer Services Pty Ltd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Job Sheet</dc:title>
  <dc:subject>Busineass Partner</dc:subject>
  <dc:creator>BUZ Software</dc:creator>
  <cp:keywords/>
  <dc:description>Perpared by DPS Computer Services T/As Software Partners as part of the Business Partner software suite</dc:description>
  <cp:lastModifiedBy>Brandyn - Davidsons Blinds &amp; Shutters</cp:lastModifiedBy>
  <cp:lastPrinted>2026-05-20T00:56:10Z</cp:lastPrinted>
  <dcterms:created xsi:type="dcterms:W3CDTF">2004-01-09T05:29:38Z</dcterms:created>
  <dcterms:modified xsi:type="dcterms:W3CDTF">2026-09-15T01:25:37Z</dcterms:modified>
  <cp:category/>
  <cp:contentType/>
  <cp:contentStatus/>
</cp:coreProperties>
</file>
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bookViews>
    <workbookView xWindow="53371" yWindow="49096" windowWidth="29040" windowHeight="15720" tabRatio="772" firstSheet="2" activeTab="0"/>
  </bookViews>
  <sheets>
    <sheet name="Data" sheetId="8" r:id="rId1"/>
    <sheet name="Job Sheet" sheetId="21" r:id="rId2"/>
    <sheet name="Tube Cutting" sheetId="25" r:id="rId3"/>
    <sheet name="Bagging" sheetId="27" r:id="rId4"/>
    <sheet name="Order Form" sheetId="29" r:id="rId5"/>
    <sheet name="Components" sheetId="28" r:id="rId6"/>
    <sheet name="Deductions" sheetId="10" r:id="rId7"/>
    <sheet name="Labels" sheetId="26" r:id="rId8"/>
  </sheets>
  <externalReferences>
    <externalReference r:id="rId13"/>
    <externalReference r:id="rId14"/>
    <externalReference r:id="rId15"/>
  </externalReferences>
  <definedNames>
    <definedName name="Brackets">'[1]Deductions'!$A$22:$B$29</definedName>
    <definedName name="ColourMatch">'[2]Component Colour Matching'!$A$2:$G$3813</definedName>
    <definedName name="CompanyPkId">Data!$BB$2</definedName>
    <definedName name="CustName" localSheetId="1">'Job Sheet'!$J$3</definedName>
    <definedName name="CustOrdOpt">Data!$CE$10:$CK$60</definedName>
    <definedName name="DataSettings">Data!$A$5:$F$24</definedName>
    <definedName name="InventoryGroup">Data!$BA$1</definedName>
    <definedName name="JobPickLastRow">Data!$BA$2</definedName>
    <definedName name="MeshD">Deductions!$D$3:$D$6</definedName>
    <definedName name="MeshDrop">Deductions!$S$2:$U$23</definedName>
    <definedName name="MeshG">Deductions!$E$3:$J$5</definedName>
    <definedName name="MeshW">Deductions!$E$2:$J$2</definedName>
    <definedName name="Operation">Deductions!$M$2:$R$10</definedName>
    <definedName name="PelmetBrackets">'[2]Tube Size &amp; Chain Drops'!$G$28:$H$32</definedName>
    <definedName name="PelmetDeduct">'[2]Deductions'!$M$2:$T$1548</definedName>
    <definedName name="_xlnm.Print_Area" localSheetId="3">Bagging!$A$1:$Q$20</definedName>
    <definedName name="_xlnm.Print_Area" localSheetId="1">'Job Sheet'!$A$1:$V$20</definedName>
    <definedName name="_xlnm.Print_Area" localSheetId="2">'Tube Cutting'!$A$1:$R$20</definedName>
    <definedName name="_xlnm.Print_Titles" localSheetId="1">'Job Sheet'!$2:$10</definedName>
    <definedName name="PulleysEndCaps">'[1]Deductions'!$BW$2:$CD$33</definedName>
    <definedName name="RightColumn">Data!$BA$3</definedName>
    <definedName name="SideDeduct">Deductions!$A$2:$B$25</definedName>
    <definedName name="SideGuideLocks">'[2]Tube Size &amp; Chain Drops'!$G$36:$H$41</definedName>
    <definedName name="TrackManufacturering">'[1]Deductions'!$BR$2:$BS$19</definedName>
    <definedName name="TubeDeductions">'[3]Component Look Ups'!$A$52:$C$60</definedName>
    <definedName name="UserPkId">Data!$AV$3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<sst xmlns="http://schemas.openxmlformats.org/spreadsheetml/2006/main" count="814" uniqueCount="489">
  <si>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</si>
  <si>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</si>
  <si>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</si>
  <si>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</si>
  <si>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</si>
  <si>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</si>
  <si>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</si>
  <si>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</si>
  <si>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</si>
  <si>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</si>
  <si>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</si>
  <si>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</si>
  <si>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</si>
  <si>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</si>
  <si>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</si>
  <si>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</si>
  <si>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</si>
  <si>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</si>
  <si>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</si>
  <si>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</si>
  <si>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</si>
  <si>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</si>
  <si>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</si>
  <si>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SQNT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</si>
  <si>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</si>
  <si>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</si>
  <si>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</si>
  <si>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</si>
  <si>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</si>
  <si>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</si>
  <si>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</si>
  <si>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</si>
  <si>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</si>
  <si>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</si>
  <si>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</si>
  <si>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</si>
  <si>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</si>
  <si>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</si>
  <si>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</si>
  <si>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</si>
  <si>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</si>
  <si>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</si>
  <si>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</si>
  <si>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</si>
  <si>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</si>
  <si>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</si>
  <si>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</si>
  <si>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</si>
  <si>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</si>
  <si>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</si>
  <si>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</si>
  <si>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</si>
  <si>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</si>
  <si>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</si>
  <si>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</si>
  <si>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</si>
  <si>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</si>
  <si>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</si>
  <si>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</si>
  <si>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</si>
  <si>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</si>
  <si>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</si>
  <si>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</si>
  <si>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</si>
  <si>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</si>
  <si>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</si>
  <si>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</si>
  <si>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</si>
  <si>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</si>
  <si>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</si>
  <si>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</si>
  <si>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</si>
  <si>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</si>
  <si>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</si>
  <si>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</si>
  <si>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</si>
  <si>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</si>
  <si>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</si>
  <si>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</si>
  <si>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</si>
  <si>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</si>
  <si>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</si>
  <si>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</si>
  <si>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</si>
  <si>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</si>
  <si>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</si>
  <si>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</si>
  <si>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</si>
  <si>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</si>
  <si>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</si>
  <si>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</si>
  <si>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</si>
  <si>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</si>
  <si>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</si>
  <si>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</si>
  <si>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</si>
  <si>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</si>
  <si>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</si>
  <si>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</si>
  <si>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</si>
  <si>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</si>
  <si>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</si>
  <si>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</si>
  <si>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</si>
  <si>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</si>
  <si>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</si>
  <si>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</si>
  <si>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</si>
  <si>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</si>
  <si>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</si>
  <si>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</si>
  <si>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</si>
  <si>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</si>
  <si>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</si>
  <si>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Customer Name</t>
  </si>
  <si>
    <t>Location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</si>
  <si>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</si>
  <si>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</si>
  <si>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</si>
  <si>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</si>
  <si>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</si>
  <si>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</si>
  <si>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</si>
  <si>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Side by Side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</si>
  <si>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</si>
  <si>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</si>
  <si>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</si>
  <si>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</si>
  <si>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</si>
  <si>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</si>
  <si>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</si>
  <si>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</si>
  <si>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Deduction</t>
  </si>
  <si>
    <t>No</t>
  </si>
  <si>
    <t>Thru</t>
  </si>
  <si>
    <t>Butt</t>
  </si>
  <si>
    <t>Installation Deliver or Supply Only</t>
  </si>
  <si>
    <t>Is Rework / Remake</t>
  </si>
  <si>
    <t>Recess Fit (No Deduction)</t>
  </si>
  <si>
    <t>Entered Width</t>
  </si>
  <si>
    <t>Additional Deductions</t>
  </si>
  <si>
    <t>Deductions</t>
  </si>
  <si>
    <t>A</t>
  </si>
  <si>
    <t>Face Fit (5mm Deduction)</t>
  </si>
  <si>
    <t>Face Fit (10mm Deduction)</t>
  </si>
  <si>
    <t>Entered Drop</t>
  </si>
  <si>
    <t>Job Sheet</t>
  </si>
  <si>
    <t>Customer.Warning</t>
  </si>
  <si>
    <t>Customer.WarningColour</t>
  </si>
  <si>
    <t>Colour</t>
  </si>
  <si>
    <t>Fabric</t>
  </si>
  <si>
    <t>Stack</t>
  </si>
  <si>
    <t>Size</t>
  </si>
  <si>
    <t>Frame Colour</t>
  </si>
  <si>
    <t>Frame Size</t>
  </si>
  <si>
    <t>LHS Centre Opening Off Set</t>
  </si>
  <si>
    <t>RHS Centre Opening Off Set</t>
  </si>
  <si>
    <t>Wind Support</t>
  </si>
  <si>
    <t>Squalonet Retractable Flyscreen Job Sheet</t>
  </si>
  <si>
    <t>Tube Cutting</t>
  </si>
  <si>
    <t>Label 1</t>
  </si>
  <si>
    <t>Header</t>
  </si>
  <si>
    <t>Barcode</t>
  </si>
  <si>
    <t>Field 1 - Order Date</t>
  </si>
  <si>
    <t>Field 2 - Order No/Revision/LineNo</t>
  </si>
  <si>
    <t>Order Ref</t>
  </si>
  <si>
    <t>Product</t>
  </si>
  <si>
    <t>Dimensions</t>
  </si>
  <si>
    <t>Print Qty</t>
  </si>
  <si>
    <t>End Format</t>
  </si>
  <si>
    <t>Labels</t>
  </si>
  <si>
    <t>K</t>
  </si>
  <si>
    <t>Angles for Top</t>
  </si>
  <si>
    <t>Angles for Bottom</t>
  </si>
  <si>
    <t>Angles for Left</t>
  </si>
  <si>
    <t>Angles for Right</t>
  </si>
  <si>
    <t xml:space="preserve">Squalonet Retractable Flyscreen Tube Cutting </t>
  </si>
  <si>
    <t>Angle Top</t>
  </si>
  <si>
    <t>Angle Bottom</t>
  </si>
  <si>
    <t>Angle Left</t>
  </si>
  <si>
    <t>Angle Right</t>
  </si>
  <si>
    <t>One Way Right Hand</t>
  </si>
  <si>
    <t>Flyscreen Kit</t>
  </si>
  <si>
    <t>Mesh Kit Cut Size</t>
  </si>
  <si>
    <t>Handle Bar</t>
  </si>
  <si>
    <t>Starting &amp; Receiving Channel</t>
  </si>
  <si>
    <t>Magnet Holder</t>
  </si>
  <si>
    <t>Bottom Track Size</t>
  </si>
  <si>
    <t>Bottom Track Length</t>
  </si>
  <si>
    <t>Top Track Length</t>
  </si>
  <si>
    <t>Width/
Height</t>
  </si>
  <si>
    <t>Mesh Kit</t>
  </si>
  <si>
    <t>1000 x 2050</t>
  </si>
  <si>
    <t>1300 x 2050</t>
  </si>
  <si>
    <t>1800 x 2050</t>
  </si>
  <si>
    <t>2500 x 2050</t>
  </si>
  <si>
    <t>2800 x 2050</t>
  </si>
  <si>
    <t>3500 x 2050</t>
  </si>
  <si>
    <t>1000 x 2350</t>
  </si>
  <si>
    <t>1300 x 2350</t>
  </si>
  <si>
    <t>1800 x 2350</t>
  </si>
  <si>
    <t>2500 x 2350</t>
  </si>
  <si>
    <t>2800 x 2350</t>
  </si>
  <si>
    <t>3500 x 2350</t>
  </si>
  <si>
    <t>1000 x 2750</t>
  </si>
  <si>
    <t>1300 x 2750</t>
  </si>
  <si>
    <t>1800 x 2750</t>
  </si>
  <si>
    <t>2500 x 2750</t>
  </si>
  <si>
    <t>2800 x 2750</t>
  </si>
  <si>
    <t>3500 x 2750</t>
  </si>
  <si>
    <t>Mesh Deduct</t>
  </si>
  <si>
    <t>Operation</t>
  </si>
  <si>
    <t>Drop</t>
  </si>
  <si>
    <t>Centre Opening</t>
  </si>
  <si>
    <t>Centre Opening Off Set</t>
  </si>
  <si>
    <t>One Way Left Hand</t>
  </si>
  <si>
    <t>Handle Bar Deduct</t>
  </si>
  <si>
    <t>Width</t>
  </si>
  <si>
    <t>Bottom Track Deduct</t>
  </si>
  <si>
    <t>Top Corner</t>
  </si>
  <si>
    <t>Bottom Corner</t>
  </si>
  <si>
    <t>Centre Opening Accessories</t>
  </si>
  <si>
    <t>Top Track Joiner</t>
  </si>
  <si>
    <t>Wind Clips</t>
  </si>
  <si>
    <t>Squalonet Retractable Flyscreen Bagging</t>
  </si>
  <si>
    <t>Bagging</t>
  </si>
  <si>
    <t>Width for Kits</t>
  </si>
  <si>
    <t>No. of Kits</t>
  </si>
  <si>
    <t>Q</t>
  </si>
  <si>
    <t>Safety Block</t>
  </si>
  <si>
    <t>Safety Blocks and Handles</t>
  </si>
  <si>
    <t>Screen Handle</t>
  </si>
  <si>
    <t>Components</t>
  </si>
  <si>
    <t>Quote No.</t>
  </si>
  <si>
    <t>Line No</t>
  </si>
  <si>
    <t>Order Item Code</t>
  </si>
  <si>
    <t>Business Name</t>
  </si>
  <si>
    <t>Quote Ref</t>
  </si>
  <si>
    <t>Mesh Kit 1000 x 2050</t>
  </si>
  <si>
    <t>Mesh Kit 1000 x 2350</t>
  </si>
  <si>
    <t>Mesh Kit 1000 x 2750</t>
  </si>
  <si>
    <t>Mesh Kit 1300 x 2050</t>
  </si>
  <si>
    <t>Mesh Kit 1300 x 2350</t>
  </si>
  <si>
    <t>Mesh Kit 1300 x 2750</t>
  </si>
  <si>
    <t>Mesh Kit 1800 x 2050</t>
  </si>
  <si>
    <t>Mesh Kit 1800 x 2350</t>
  </si>
  <si>
    <t>Mesh Kit 1800 x 2750</t>
  </si>
  <si>
    <t>Mesh Kit 2500 x 2050</t>
  </si>
  <si>
    <t>Mesh Kit 2500 x 2350</t>
  </si>
  <si>
    <t>Mesh Kit 2500 x 2750</t>
  </si>
  <si>
    <t>Mesh Kit 2800 x 2050</t>
  </si>
  <si>
    <t>Mesh Kit 2800 x 2350</t>
  </si>
  <si>
    <t>Mesh Kit 2800 x 2750</t>
  </si>
  <si>
    <t>Mesh Kit 3500 x 2050</t>
  </si>
  <si>
    <t>Mesh Kit 3500 x 2350</t>
  </si>
  <si>
    <t>Mesh Kit 3500 x 2750</t>
  </si>
  <si>
    <t>Handle Bar White</t>
  </si>
  <si>
    <t>Handle Bar Black</t>
  </si>
  <si>
    <t>Starting/Receiving Channel White</t>
  </si>
  <si>
    <t>Starting/Receiving Channel Black</t>
  </si>
  <si>
    <t>Magnet</t>
  </si>
  <si>
    <t>Magnet Holder Anodised Silver</t>
  </si>
  <si>
    <t>Top Track White</t>
  </si>
  <si>
    <t>Top Track Black</t>
  </si>
  <si>
    <t>25mm x 25mm Angle White</t>
  </si>
  <si>
    <t>25mm x 25mm Angle Black</t>
  </si>
  <si>
    <t>50mm x 25mm Angle White</t>
  </si>
  <si>
    <t>50mm x 25mm Angle Black</t>
  </si>
  <si>
    <t>75mm x 25mm Angle White</t>
  </si>
  <si>
    <t>75mm x 25mm Angle Black</t>
  </si>
  <si>
    <t>4mm Bottom Track White</t>
  </si>
  <si>
    <t>4mm Bottom Track Black</t>
  </si>
  <si>
    <t>8mm Bottom Track White</t>
  </si>
  <si>
    <t>8mm Bottom Track Black</t>
  </si>
  <si>
    <t>Bottom Corner White</t>
  </si>
  <si>
    <t>Bottom Corner Black</t>
  </si>
  <si>
    <t>Top Corner White</t>
  </si>
  <si>
    <t>Top Corner Black</t>
  </si>
  <si>
    <t>Top Runner White</t>
  </si>
  <si>
    <t>Top Runner Black</t>
  </si>
  <si>
    <t>Double Sided Tape for Bottom Track</t>
  </si>
  <si>
    <t>Double Sided Tape for Top Track</t>
  </si>
  <si>
    <t>Safety Block &amp; Pin</t>
  </si>
  <si>
    <t>Wind Break Clips</t>
  </si>
  <si>
    <t>25mm x 25mm Angles</t>
  </si>
  <si>
    <t>Top</t>
  </si>
  <si>
    <t>Bottom</t>
  </si>
  <si>
    <t>Left</t>
  </si>
  <si>
    <t>Right</t>
  </si>
  <si>
    <t>50mm x 25mm Angles</t>
  </si>
  <si>
    <t>75mm x 25mm Angles</t>
  </si>
  <si>
    <t>4mm Centre Opening Accessories</t>
  </si>
  <si>
    <t>8mm Centre Opening Accessories</t>
  </si>
  <si>
    <t>Track Joiner</t>
  </si>
  <si>
    <t>4 Handles, 4 Rubber Squares and 4 Screws</t>
  </si>
  <si>
    <t>2 Handles, 2 Rubber Squares and 2 Screws</t>
  </si>
  <si>
    <t>Safety Blocks</t>
  </si>
  <si>
    <t>Top Runner Screws</t>
  </si>
  <si>
    <t>U</t>
  </si>
  <si>
    <t>Order Form</t>
  </si>
  <si>
    <t>Retractable Flyscreen Order Form</t>
  </si>
  <si>
    <t>Fixing</t>
  </si>
  <si>
    <t>Deliver</t>
  </si>
  <si>
    <t>Finished Width</t>
  </si>
  <si>
    <t>Finished Drop</t>
  </si>
  <si>
    <t>Bottom Frame Size</t>
  </si>
  <si>
    <t>Sign</t>
  </si>
  <si>
    <t>R</t>
  </si>
  <si>
    <t>This should be in column AX</t>
  </si>
  <si>
    <t>Job Tracking Action</t>
  </si>
  <si>
    <t>Dispatch Action</t>
  </si>
  <si>
    <t>Dispatch Date</t>
  </si>
  <si>
    <t>BF</t>
  </si>
  <si>
    <t>Handle Bar Size</t>
  </si>
  <si>
    <t>Side Guide Size</t>
  </si>
  <si>
    <t>AT</t>
  </si>
  <si>
    <t>9a8f6bf6-639a-45ba-aba3-747b16a58798</t>
  </si>
  <si>
    <t>89b4ee95-8821-4eeb-b6cb-44e5438274a7</t>
  </si>
  <si>
    <t xml:space="preserve">Retractable Flyscreen </t>
  </si>
  <si>
    <t>1/09/2026 12:00:00 AM</t>
  </si>
  <si>
    <t>1/09/2026 9:50:39 AM</t>
  </si>
  <si>
    <t>21/09/2026 12:00:00 AM</t>
  </si>
  <si>
    <t>10940</t>
  </si>
  <si>
    <t>MCLE3350.6</t>
  </si>
  <si>
    <t>Mcleod, Eric</t>
  </si>
  <si>
    <t>502</t>
  </si>
  <si>
    <t>6</t>
  </si>
  <si>
    <t/>
  </si>
  <si>
    <t>Lyons Street North</t>
  </si>
  <si>
    <t>Ballarat Central</t>
  </si>
  <si>
    <t>VIC</t>
  </si>
  <si>
    <t>3350</t>
  </si>
  <si>
    <t>Australia</t>
  </si>
  <si>
    <t>emmcl@bigpond.com</t>
  </si>
  <si>
    <t>0432 062 691</t>
  </si>
  <si>
    <t>Head Office</t>
  </si>
  <si>
    <t>Jason Paterson</t>
  </si>
  <si>
    <t>jason@davidsonsblinds.com.au</t>
  </si>
  <si>
    <t>Eric</t>
  </si>
  <si>
    <t>Mcloed</t>
  </si>
  <si>
    <t>0438222557</t>
  </si>
  <si>
    <t>Retail Customer</t>
  </si>
  <si>
    <t>mark@davidsonsblinds.com.au</t>
  </si>
  <si>
    <t>crystal@davidsonsblinds.com.au</t>
  </si>
  <si>
    <t>Unassigned installer 1</t>
  </si>
  <si>
    <t>False</t>
  </si>
  <si>
    <t>3b2f3759-66dc-4e74-af83-b7477df3cca2</t>
  </si>
  <si>
    <t>SqualoNet Retractable Flyscreen</t>
  </si>
  <si>
    <t>Bed 3</t>
  </si>
  <si>
    <t>SQNTM602T42</t>
  </si>
  <si>
    <t>SQNT Pleated Flyscreen Black</t>
  </si>
  <si>
    <t>Orders - Security</t>
  </si>
  <si>
    <t>Pleated Flyscreen</t>
  </si>
  <si>
    <t>Black</t>
  </si>
  <si>
    <t>7000</t>
  </si>
  <si>
    <t>3b2f3759-66dc-4e74-af83-b7477df3cca2|DESCN</t>
  </si>
  <si>
    <t>ab1b1515-9ef6-4337-bfb0-dfb7942fbe1c</t>
  </si>
  <si>
    <t>DESCN</t>
  </si>
  <si>
    <t>3b2f3759-66dc-4e74-af83-b7477df3cca2|ITEMWIDTH</t>
  </si>
  <si>
    <t>82a081a3-de26-421b-a7e7-d2b060e82664</t>
  </si>
  <si>
    <t>ITEMWIDTH</t>
  </si>
  <si>
    <t>1310</t>
  </si>
  <si>
    <t>3b2f3759-66dc-4e74-af83-b7477df3cca2|ITEMHEIGHT</t>
  </si>
  <si>
    <t>9a579187-d8e4-4e51-91b8-7ff3a45c22e8</t>
  </si>
  <si>
    <t>ITEMHEIGHT</t>
  </si>
  <si>
    <t>2455</t>
  </si>
  <si>
    <t>3b2f3759-66dc-4e74-af83-b7477df3cca2|SIZE</t>
  </si>
  <si>
    <t>44d6bf83-2cd7-499f-9985-a20582dd6836</t>
  </si>
  <si>
    <t>SIZE</t>
  </si>
  <si>
    <t>Opening</t>
  </si>
  <si>
    <t>3b2f3759-66dc-4e74-af83-b7477df3cca2|FIT</t>
  </si>
  <si>
    <t>8c7142f5-2078-4bd8-b5fd-29d976adb809</t>
  </si>
  <si>
    <t>FIT</t>
  </si>
  <si>
    <t>Outside</t>
  </si>
  <si>
    <t>3b2f3759-66dc-4e74-af83-b7477df3cca2|FIXING</t>
  </si>
  <si>
    <t>12bb67ea-2213-4e9a-8961-e2dfe14a2ebb</t>
  </si>
  <si>
    <t>FIXING</t>
  </si>
  <si>
    <t>Aluminium</t>
  </si>
  <si>
    <t>3b2f3759-66dc-4e74-af83-b7477df3cca2|COLOUR</t>
  </si>
  <si>
    <t>b4aa91a9-2eae-463f-aa01-0f40e80d6771</t>
  </si>
  <si>
    <t>COLOUR</t>
  </si>
  <si>
    <t>3b2f3759-66dc-4e74-af83-b7477df3cca2|FRAMESIZE</t>
  </si>
  <si>
    <t>775a0d3c-7eb6-4c31-a542-1d43d4f2c844</t>
  </si>
  <si>
    <t>FRAMESIZE</t>
  </si>
  <si>
    <t>4mm</t>
  </si>
  <si>
    <t>3b2f3759-66dc-4e74-af83-b7477df3cca2|MOUNT</t>
  </si>
  <si>
    <t>ab620777-cbfa-46b2-81d5-76dc317aab9a</t>
  </si>
  <si>
    <t>MOUNT</t>
  </si>
  <si>
    <t>3b2f3759-66dc-4e74-af83-b7477df3cca2|PACKERST</t>
  </si>
  <si>
    <t>573de9d3-195a-4baa-95b8-a32ad8ee91ee</t>
  </si>
  <si>
    <t>PACKERST</t>
  </si>
  <si>
    <t>25mm x 25mm</t>
  </si>
  <si>
    <t>3b2f3759-66dc-4e74-af83-b7477df3cca2|PACKERSL</t>
  </si>
  <si>
    <t>0d11965e-b965-4b9a-820a-fe8b995e208e</t>
  </si>
  <si>
    <t>PACKERSL</t>
  </si>
  <si>
    <t>3b2f3759-66dc-4e74-af83-b7477df3cca2|PACKERSR</t>
  </si>
  <si>
    <t>5559561e-6781-4d80-b054-e3940f662ad2</t>
  </si>
  <si>
    <t>PACKERSR</t>
  </si>
  <si>
    <t>3b2f3759-66dc-4e74-af83-b7477df3cca2|SIDEBYSIDE</t>
  </si>
  <si>
    <t>2948294a-e7e0-482a-aa16-9701ff97379a</t>
  </si>
  <si>
    <t>SIDEBYSIDE</t>
  </si>
  <si>
    <t>3b2f3759-66dc-4e74-af83-b7477df3cca2|INSTALLATION</t>
  </si>
  <si>
    <t>621b43f1-92a2-4824-ba51-78486d784dd4</t>
  </si>
  <si>
    <t>INSTALLATION</t>
  </si>
  <si>
    <t>Installation</t>
  </si>
  <si>
    <t>3b2f3759-66dc-4e74-af83-b7477df3cca2|INSTALLG</t>
  </si>
  <si>
    <t>278112c3-0bd6-4294-81c3-4a253d703343</t>
  </si>
  <si>
    <t>INSTALLG</t>
  </si>
  <si>
    <t>Easy Access</t>
  </si>
  <si>
    <t>3b2f3759-66dc-4e74-af83-b7477df3cca2|TAKEDOWN</t>
  </si>
  <si>
    <t>3acd464e-673c-432b-b47e-dc2c8d049096</t>
  </si>
  <si>
    <t>TAKEDOWN</t>
  </si>
  <si>
    <t>3b2f3759-66dc-4e74-af83-b7477df3cca2|CHECKM</t>
  </si>
  <si>
    <t>6d15343e-355f-4355-85fc-b4ced2af75b1</t>
  </si>
  <si>
    <t>CHECKM</t>
  </si>
  <si>
    <t>674195d7-af38-4ded-abc9-abb26b7fb79e</t>
  </si>
  <si>
    <t>Living West</t>
  </si>
  <si>
    <t>674195d7-af38-4ded-abc9-abb26b7fb79e|DESCN</t>
  </si>
  <si>
    <t>a0559a7a-48e9-404e-be75-ab5caa16d965</t>
  </si>
  <si>
    <t>674195d7-af38-4ded-abc9-abb26b7fb79e|ITEMWIDTH</t>
  </si>
  <si>
    <t>3bfec710-62ea-4525-9f41-96f3ebfc8753</t>
  </si>
  <si>
    <t>1280</t>
  </si>
  <si>
    <t>674195d7-af38-4ded-abc9-abb26b7fb79e|ITEMHEIGHT</t>
  </si>
  <si>
    <t>1e68b1ab-c73d-471f-8014-896c8ac67835</t>
  </si>
  <si>
    <t>2640</t>
  </si>
  <si>
    <t>674195d7-af38-4ded-abc9-abb26b7fb79e|SIZE</t>
  </si>
  <si>
    <t>673cf887-fbd1-4c9c-bc68-dddaf2654cb9</t>
  </si>
  <si>
    <t>674195d7-af38-4ded-abc9-abb26b7fb79e|FIT</t>
  </si>
  <si>
    <t>3c5f0d59-173c-48fa-bc55-6ab7d76d5b2a</t>
  </si>
  <si>
    <t>674195d7-af38-4ded-abc9-abb26b7fb79e|FIXING</t>
  </si>
  <si>
    <t>d50fd5ad-a6bf-43c2-84e9-7136ce20e179</t>
  </si>
  <si>
    <t>674195d7-af38-4ded-abc9-abb26b7fb79e|COLOUR</t>
  </si>
  <si>
    <t>46c8d601-9c98-4dd1-aae0-c7b99831701b</t>
  </si>
  <si>
    <t>674195d7-af38-4ded-abc9-abb26b7fb79e|FRAMESIZE</t>
  </si>
  <si>
    <t>6bc27e61-23d6-4c8c-af9a-c70f83b07b28</t>
  </si>
  <si>
    <t>674195d7-af38-4ded-abc9-abb26b7fb79e|MOUNT</t>
  </si>
  <si>
    <t>f002e137-9c44-4acf-9555-fbde878291eb</t>
  </si>
  <si>
    <t>674195d7-af38-4ded-abc9-abb26b7fb79e|PACKERST</t>
  </si>
  <si>
    <t>39e0d54e-4333-42d3-afa8-cd453fd1018f</t>
  </si>
  <si>
    <t>674195d7-af38-4ded-abc9-abb26b7fb79e|PACKERSR</t>
  </si>
  <si>
    <t>7e038c9a-4c0c-4f16-9a33-ed50f8c9326c</t>
  </si>
  <si>
    <t>674195d7-af38-4ded-abc9-abb26b7fb79e|SIDEBYSIDE</t>
  </si>
  <si>
    <t>7bf95001-ed54-4e55-a6c7-ac5f3370fd5f</t>
  </si>
  <si>
    <t>674195d7-af38-4ded-abc9-abb26b7fb79e|INSTALLATION</t>
  </si>
  <si>
    <t>3301b426-6610-47bc-9be8-14ddcb9d7555</t>
  </si>
  <si>
    <t>674195d7-af38-4ded-abc9-abb26b7fb79e|INSTALLG</t>
  </si>
  <si>
    <t>8a32ab28-a66b-4458-9525-d048c34e25d4</t>
  </si>
  <si>
    <t>674195d7-af38-4ded-abc9-abb26b7fb79e|TAKEDOWN</t>
  </si>
  <si>
    <t>02435730-80f7-4261-9a55-f90ff5f0322a</t>
  </si>
  <si>
    <t>674195d7-af38-4ded-abc9-abb26b7fb79e|CHECKM</t>
  </si>
  <si>
    <t>19c11c60-0787-48ba-8aab-79264f2bbe78</t>
  </si>
  <si>
    <t>dc5a1e21-2268-4330-961c-09a6eceef770</t>
  </si>
  <si>
    <t>Living North</t>
  </si>
  <si>
    <t>dc5a1e21-2268-4330-961c-09a6eceef770|DESCN</t>
  </si>
  <si>
    <t>6b8a1746-ec32-4198-8d27-97be7502a72b</t>
  </si>
  <si>
    <t>dc5a1e21-2268-4330-961c-09a6eceef770|ITEMWIDTH</t>
  </si>
  <si>
    <t>0131a49c-b181-42b5-a914-af764118c0f3</t>
  </si>
  <si>
    <t>dc5a1e21-2268-4330-961c-09a6eceef770|ITEMHEIGHT</t>
  </si>
  <si>
    <t>ece0d4f5-59a1-49ed-b9ad-974ba9913011</t>
  </si>
  <si>
    <t>dc5a1e21-2268-4330-961c-09a6eceef770|SIZE</t>
  </si>
  <si>
    <t>128528f2-ea97-4dba-a039-016a66120d6c</t>
  </si>
  <si>
    <t>dc5a1e21-2268-4330-961c-09a6eceef770|FIT</t>
  </si>
  <si>
    <t>349ee329-0271-4481-92e6-d95f5251a922</t>
  </si>
  <si>
    <t>dc5a1e21-2268-4330-961c-09a6eceef770|FIXING</t>
  </si>
  <si>
    <t>87689a9e-2415-4e54-80c4-2fd95b960767</t>
  </si>
  <si>
    <t>dc5a1e21-2268-4330-961c-09a6eceef770|COLOUR</t>
  </si>
  <si>
    <t>1605839b-be39-41ca-ad25-eac9a8ffbe08</t>
  </si>
  <si>
    <t>dc5a1e21-2268-4330-961c-09a6eceef770|FRAMESIZE</t>
  </si>
  <si>
    <t>9c030d51-75ed-4d5c-a4df-8ce9b59afbbb</t>
  </si>
  <si>
    <t>dc5a1e21-2268-4330-961c-09a6eceef770|MOUNT</t>
  </si>
  <si>
    <t>57518c33-aa70-4fa6-a5dc-5aeaf454369f</t>
  </si>
  <si>
    <t>dc5a1e21-2268-4330-961c-09a6eceef770|PACKERST</t>
  </si>
  <si>
    <t>3de79218-917a-4ab5-be8f-914177ab4686</t>
  </si>
  <si>
    <t>dc5a1e21-2268-4330-961c-09a6eceef770|PACKERSR</t>
  </si>
  <si>
    <t>1111eb92-31e0-42c3-b238-969726ce0585</t>
  </si>
  <si>
    <t>dc5a1e21-2268-4330-961c-09a6eceef770|SIDEBYSIDE</t>
  </si>
  <si>
    <t>58e456c2-d197-48b7-8534-f16ad4a5726b</t>
  </si>
  <si>
    <t>dc5a1e21-2268-4330-961c-09a6eceef770|INSTALLATION</t>
  </si>
  <si>
    <t>d35086dd-3501-4045-ae96-37d5f14ae12f</t>
  </si>
  <si>
    <t>dc5a1e21-2268-4330-961c-09a6eceef770|INSTALLG</t>
  </si>
  <si>
    <t>fc4d030c-0d0c-4dab-bf64-7cb87f3149ed</t>
  </si>
  <si>
    <t>dc5a1e21-2268-4330-961c-09a6eceef770|TAKEDOWN</t>
  </si>
  <si>
    <t>3ae779b5-6d29-455e-80db-2aaa880a76b1</t>
  </si>
  <si>
    <t>dc5a1e21-2268-4330-961c-09a6eceef770|CHECKM</t>
  </si>
  <si>
    <t>ad8743b0-f98d-4002-a17c-f7aa9fdb0c59</t>
  </si>
  <si>
    <t>|CHECKMEAS</t>
  </si>
  <si>
    <t>1b918f6d-0e93-4943-90ca-269b933cd4a5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</si>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</sst>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"/>
    <numFmt numFmtId="165" formatCode="&quot;$&quot;#,##0.00"/>
    <numFmt numFmtId="166" formatCode="0.0"/>
  </numFmts>
  <fonts count="46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30"/>
      <name val="Arial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b/>
      <sz val="72"/>
      <name val="Arial"/>
      <family val="2"/>
    </font>
    <font>
      <b/>
      <sz val="28"/>
      <name val="Arial"/>
      <family val="2"/>
    </font>
    <font>
      <b/>
      <u val="single"/>
      <sz val="28"/>
      <name val="Arial"/>
      <family val="2"/>
    </font>
    <font>
      <sz val="28"/>
      <name val="Arial"/>
      <family val="2"/>
    </font>
    <font>
      <i/>
      <sz val="26"/>
      <name val="Arial"/>
      <family val="2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36"/>
      <name val="Arial"/>
      <family val="2"/>
    </font>
    <font>
      <sz val="36"/>
      <name val="Arial"/>
      <family val="2"/>
    </font>
    <font>
      <sz val="24"/>
      <name val="Arial"/>
      <family val="2"/>
    </font>
  </fonts>
  <fills count="29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4" tint="0.7998600006103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810001254082"/>
        <bgColor indexed="64"/>
      </patternFill>
    </fill>
    <fill>
      <patternFill patternType="solid">
        <fgColor theme="0" tint="-0.1499000042676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759995937347"/>
        <bgColor indexed="64"/>
      </patternFill>
    </fill>
  </fills>
  <borders count="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 style="thin"/>
      <bottom style="thin"/>
    </border>
    <border>
      <left style="thin"/>
      <right/>
      <top style="thin"/>
      <bottom style="thin"/>
    </border>
    <border>
      <left style="thin"/>
      <right style="thin"/>
      <top style="thin"/>
      <bottom style="thin"/>
    </border>
    <border>
      <left/>
      <right/>
      <top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thin"/>
      <right style="thin"/>
      <top style="thin"/>
      <bottom/>
    </border>
    <border>
      <left style="thin"/>
      <right style="thin"/>
      <top/>
      <bottom style="thin"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14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7" fillId="0" borderId="0">
      <alignment/>
      <protection/>
    </xf>
    <xf numFmtId="0" fontId="27" fillId="0" borderId="0">
      <alignment/>
      <protection/>
    </xf>
    <xf numFmtId="0" fontId="27" fillId="0" borderId="0">
      <alignment/>
      <protection/>
    </xf>
    <xf numFmtId="0" fontId="27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189">
    <xf numFmtId="0" fontId="0" fillId="0" borderId="0" xfId="0"/>
    <xf numFmtId="0" fontId="31" fillId="0" borderId="11" xfId="0" applyFont="1" applyBorder="1" applyAlignment="1" applyProtection="1">
      <alignment horizontal="center" vertical="center" wrapText="1"/>
      <protection hidden="1" locked="0"/>
    </xf>
    <xf numFmtId="0" fontId="31" fillId="0" borderId="12" xfId="0" applyFont="1" applyBorder="1" applyAlignment="1" applyProtection="1">
      <alignment horizontal="center" vertical="center" wrapText="1"/>
      <protection hidden="1" locked="0"/>
    </xf>
    <xf numFmtId="14" fontId="30" fillId="15" borderId="13" xfId="0" applyNumberFormat="1" applyFont="1" applyFill="1" applyBorder="1" applyAlignment="1" applyProtection="1">
      <alignment horizontal="center" wrapText="1"/>
      <protection locked="0"/>
    </xf>
    <xf numFmtId="0" fontId="32" fillId="0" borderId="13" xfId="0" applyFont="1" applyBorder="1" applyAlignment="1" applyProtection="1">
      <alignment horizontal="center" wrapText="1"/>
      <protection hidden="1"/>
    </xf>
    <xf numFmtId="0" fontId="30" fillId="0" borderId="13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14" fontId="30" fillId="15" borderId="13" xfId="0" applyNumberFormat="1" applyFont="1" applyFill="1" applyBorder="1" applyAlignment="1" applyProtection="1">
      <alignment horizontal="center" vertical="center" wrapText="1"/>
      <protection locked="0"/>
    </xf>
    <xf numFmtId="0" fontId="30" fillId="21" borderId="13" xfId="0" applyFont="1" applyFill="1" applyBorder="1" applyAlignment="1" applyProtection="1">
      <alignment horizontal="center" vertical="center" wrapText="1"/>
      <protection hidden="1"/>
    </xf>
    <xf numFmtId="0" fontId="28" fillId="15" borderId="13" xfId="0" applyFont="1" applyFill="1" applyBorder="1" applyAlignment="1" applyProtection="1">
      <alignment horizontal="center" vertical="center" textRotation="90" wrapText="1"/>
      <protection hidden="1"/>
    </xf>
    <xf numFmtId="0" fontId="28" fillId="15" borderId="13" xfId="0" applyFont="1" applyFill="1" applyBorder="1" applyAlignment="1" applyProtection="1">
      <alignment horizontal="center" vertical="center" wrapText="1"/>
      <protection hidden="1"/>
    </xf>
    <xf numFmtId="0" fontId="28" fillId="0" borderId="13" xfId="0" applyFont="1" applyBorder="1" applyAlignment="1" applyProtection="1">
      <alignment horizontal="center" vertical="center" wrapText="1"/>
      <protection hidden="1"/>
    </xf>
    <xf numFmtId="0" fontId="28" fillId="0" borderId="13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1" fillId="0" borderId="0" xfId="85">
      <alignment/>
      <protection/>
    </xf>
    <xf numFmtId="0" fontId="0" fillId="0" borderId="13" xfId="0" applyBorder="1"/>
    <xf numFmtId="0" fontId="22" fillId="0" borderId="0" xfId="0" applyFont="1" applyAlignment="1" applyProtection="1">
      <alignment vertical="center" wrapText="1"/>
      <protection hidden="1" locked="0"/>
    </xf>
    <xf numFmtId="0" fontId="0" fillId="15" borderId="0" xfId="0" applyFill="1" applyAlignment="1">
      <alignment wrapText="1"/>
    </xf>
    <xf numFmtId="0" fontId="0" fillId="0" borderId="0" xfId="0" applyAlignment="1">
      <alignment horizontal="left" wrapText="1"/>
    </xf>
    <xf numFmtId="0" fontId="32" fillId="0" borderId="0" xfId="0" applyFont="1" applyAlignment="1">
      <alignment vertical="center"/>
    </xf>
    <xf numFmtId="0" fontId="32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9" fillId="0" borderId="0" xfId="0" applyFont="1"/>
    <xf numFmtId="0" fontId="29" fillId="0" borderId="0" xfId="0" applyFont="1" applyAlignment="1">
      <alignment horizontal="center"/>
    </xf>
    <xf numFmtId="0" fontId="0" fillId="0" borderId="0" xfId="0" applyAlignment="1">
      <alignment wrapText="1"/>
    </xf>
    <xf numFmtId="164" fontId="0" fillId="0" borderId="0" xfId="0" applyNumberFormat="1"/>
    <xf numFmtId="0" fontId="29" fillId="0" borderId="13" xfId="0" applyFont="1" applyBorder="1" applyAlignment="1" applyProtection="1">
      <alignment horizontal="center" vertical="center" wrapText="1"/>
      <protection hidden="1" locked="0"/>
    </xf>
    <xf numFmtId="0" fontId="29" fillId="0" borderId="13" xfId="0" applyFont="1" applyBorder="1" applyAlignment="1" applyProtection="1">
      <alignment horizontal="center" vertical="center" wrapText="1"/>
      <protection locked="0"/>
    </xf>
    <xf numFmtId="0" fontId="32" fillId="0" borderId="0" xfId="0" applyFont="1" applyAlignment="1">
      <alignment horizontal="right" vertical="center" wrapText="1"/>
    </xf>
    <xf numFmtId="0" fontId="32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hidden="1" locked="0"/>
    </xf>
    <xf numFmtId="0" fontId="32" fillId="0" borderId="0" xfId="0" applyFont="1" applyAlignment="1" applyProtection="1">
      <alignment horizontal="center" vertical="center" wrapText="1"/>
      <protection hidden="1" locked="0"/>
    </xf>
    <xf numFmtId="0" fontId="32" fillId="0" borderId="0" xfId="0" applyFont="1" applyAlignment="1">
      <alignment wrapText="1"/>
    </xf>
    <xf numFmtId="0" fontId="23" fillId="0" borderId="0" xfId="72"/>
    <xf numFmtId="0" fontId="32" fillId="0" borderId="13" xfId="0" applyFont="1" applyBorder="1" applyAlignment="1" applyProtection="1">
      <alignment horizontal="center" vertical="center" wrapText="1"/>
      <protection locked="0"/>
    </xf>
    <xf numFmtId="0" fontId="32" fillId="0" borderId="13" xfId="0" applyFont="1" applyBorder="1" applyAlignment="1" applyProtection="1">
      <alignment horizontal="center" vertical="center" wrapText="1"/>
      <protection hidden="1" locked="0"/>
    </xf>
    <xf numFmtId="165" fontId="40" fillId="0" borderId="13" xfId="0" applyNumberFormat="1" applyFont="1" applyBorder="1" applyAlignment="1">
      <alignment horizontal="right" vertical="top"/>
    </xf>
    <xf numFmtId="0" fontId="1" fillId="0" borderId="0" xfId="85" applyAlignment="1">
      <alignment horizontal="center" vertical="center" wrapText="1"/>
      <protection/>
    </xf>
    <xf numFmtId="0" fontId="1" fillId="0" borderId="13" xfId="85" applyBorder="1">
      <alignment/>
      <protection/>
    </xf>
    <xf numFmtId="165" fontId="1" fillId="0" borderId="13" xfId="0" applyNumberFormat="1" applyFont="1" applyBorder="1" applyAlignment="1">
      <alignment horizontal="center" vertical="center"/>
    </xf>
    <xf numFmtId="0" fontId="1" fillId="0" borderId="13" xfId="85" applyBorder="1" applyAlignment="1">
      <alignment horizontal="center" vertical="center"/>
      <protection/>
    </xf>
    <xf numFmtId="0" fontId="0" fillId="0" borderId="13" xfId="0" applyBorder="1" applyAlignment="1">
      <alignment horizontal="center" vertical="center"/>
    </xf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/>
    <xf numFmtId="166" fontId="2" fillId="0" borderId="0" xfId="0" applyNumberFormat="1" applyFont="1"/>
    <xf numFmtId="165" fontId="42" fillId="0" borderId="0" xfId="0" applyNumberFormat="1" applyFont="1" applyAlignment="1">
      <alignment horizontal="center" textRotation="90"/>
    </xf>
    <xf numFmtId="0" fontId="42" fillId="0" borderId="0" xfId="85" applyFont="1" applyAlignment="1">
      <alignment horizontal="center" textRotation="90"/>
      <protection/>
    </xf>
    <xf numFmtId="0" fontId="29" fillId="0" borderId="13" xfId="0" applyFont="1" applyBorder="1" applyAlignment="1">
      <alignment horizontal="right" vertical="center" wrapText="1"/>
    </xf>
    <xf numFmtId="1" fontId="29" fillId="0" borderId="13" xfId="0" applyNumberFormat="1" applyFont="1" applyBorder="1" applyAlignment="1">
      <alignment horizontal="center" vertical="center"/>
    </xf>
    <xf numFmtId="0" fontId="28" fillId="0" borderId="0" xfId="0" applyFont="1"/>
    <xf numFmtId="0" fontId="39" fillId="22" borderId="13" xfId="0" applyFont="1" applyFill="1" applyBorder="1" applyAlignment="1">
      <alignment horizontal="center" vertical="center"/>
    </xf>
    <xf numFmtId="0" fontId="39" fillId="22" borderId="13" xfId="0" applyFont="1" applyFill="1" applyBorder="1" applyAlignment="1">
      <alignment horizontal="center" vertical="top"/>
    </xf>
    <xf numFmtId="0" fontId="41" fillId="23" borderId="13" xfId="85" applyFont="1" applyFill="1" applyBorder="1" applyAlignment="1">
      <alignment horizontal="center" vertical="center" wrapText="1"/>
      <protection/>
    </xf>
    <xf numFmtId="0" fontId="1" fillId="0" borderId="13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44" fillId="0" borderId="13" xfId="0" applyFont="1" applyBorder="1" applyAlignment="1" applyProtection="1">
      <alignment horizontal="center" vertical="center" wrapText="1"/>
      <protection hidden="1" locked="0"/>
    </xf>
    <xf numFmtId="0" fontId="44" fillId="0" borderId="13" xfId="0" applyFont="1" applyBorder="1" applyAlignment="1">
      <alignment horizontal="center" vertical="center" wrapText="1"/>
    </xf>
    <xf numFmtId="0" fontId="44" fillId="0" borderId="13" xfId="0" applyFont="1" applyBorder="1" applyAlignment="1" applyProtection="1">
      <alignment horizontal="center" vertical="center" wrapText="1"/>
      <protection locked="0"/>
    </xf>
    <xf numFmtId="0" fontId="43" fillId="24" borderId="13" xfId="0" applyFont="1" applyFill="1" applyBorder="1" applyAlignment="1" applyProtection="1">
      <alignment horizontal="center" vertical="center" wrapText="1"/>
      <protection hidden="1" locked="0"/>
    </xf>
    <xf numFmtId="0" fontId="30" fillId="0" borderId="13" xfId="0" applyFont="1" applyBorder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vertical="center" wrapText="1"/>
      <protection hidden="1" locked="0"/>
    </xf>
    <xf numFmtId="0" fontId="30" fillId="0" borderId="0" xfId="0" applyFont="1" applyAlignment="1" applyProtection="1">
      <alignment vertical="center" wrapText="1"/>
      <protection hidden="1"/>
    </xf>
    <xf numFmtId="0" fontId="30" fillId="0" borderId="0" xfId="0" applyFont="1" applyAlignment="1" applyProtection="1">
      <alignment vertical="center" wrapText="1"/>
      <protection locked="0"/>
    </xf>
    <xf numFmtId="1" fontId="30" fillId="0" borderId="13" xfId="0" applyNumberFormat="1" applyFont="1" applyBorder="1" applyAlignment="1" applyProtection="1">
      <alignment horizontal="center" vertical="center" wrapText="1"/>
      <protection locked="0"/>
    </xf>
    <xf numFmtId="0" fontId="44" fillId="25" borderId="13" xfId="0" applyFont="1" applyFill="1" applyBorder="1" applyAlignment="1" applyProtection="1">
      <alignment horizontal="center" vertical="center" wrapText="1"/>
      <protection hidden="1" locked="0"/>
    </xf>
    <xf numFmtId="0" fontId="44" fillId="24" borderId="13" xfId="0" applyFont="1" applyFill="1" applyBorder="1" applyAlignment="1" applyProtection="1">
      <alignment horizontal="center" vertical="center" wrapText="1"/>
      <protection hidden="1" locked="0"/>
    </xf>
    <xf numFmtId="0" fontId="2" fillId="0" borderId="14" xfId="0" applyFont="1" applyBorder="1"/>
    <xf numFmtId="1" fontId="2" fillId="0" borderId="14" xfId="0" applyNumberFormat="1" applyFont="1" applyBorder="1"/>
    <xf numFmtId="166" fontId="2" fillId="0" borderId="14" xfId="0" applyNumberFormat="1" applyFont="1" applyBorder="1"/>
    <xf numFmtId="0" fontId="0" fillId="0" borderId="14" xfId="0" applyBorder="1"/>
    <xf numFmtId="0" fontId="32" fillId="0" borderId="13" xfId="0" applyFont="1" applyBorder="1" applyAlignment="1">
      <alignment horizontal="center" vertical="center" wrapText="1"/>
    </xf>
    <xf numFmtId="0" fontId="0" fillId="0" borderId="0" xfId="0" applyAlignment="1">
      <alignment textRotation="90"/>
    </xf>
    <xf numFmtId="0" fontId="29" fillId="0" borderId="13" xfId="0" applyFont="1" applyBorder="1" applyAlignment="1">
      <alignment horizontal="center" vertical="center"/>
    </xf>
    <xf numFmtId="0" fontId="45" fillId="0" borderId="13" xfId="0" applyFont="1" applyBorder="1" applyAlignment="1" applyProtection="1">
      <alignment horizontal="right" vertical="top" wrapText="1"/>
      <protection hidden="1" locked="0"/>
    </xf>
    <xf numFmtId="0" fontId="45" fillId="0" borderId="13" xfId="0" applyFont="1" applyBorder="1" applyAlignment="1">
      <alignment horizontal="right" vertical="top"/>
    </xf>
    <xf numFmtId="0" fontId="31" fillId="0" borderId="15" xfId="0" applyFont="1" applyBorder="1" applyAlignment="1" applyProtection="1">
      <alignment horizontal="center" vertical="center" wrapText="1"/>
      <protection hidden="1" locked="0"/>
    </xf>
    <xf numFmtId="0" fontId="30" fillId="0" borderId="12" xfId="0" applyFont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0" fillId="0" borderId="15" xfId="0" applyFont="1" applyBorder="1" applyAlignment="1" applyProtection="1">
      <alignment horizontal="center" vertical="center" wrapText="1"/>
      <protection hidden="1"/>
    </xf>
    <xf numFmtId="0" fontId="30" fillId="0" borderId="16" xfId="0" applyFont="1" applyBorder="1" applyAlignment="1" applyProtection="1">
      <alignment horizontal="center" vertical="center" wrapText="1"/>
      <protection locked="0"/>
    </xf>
    <xf numFmtId="0" fontId="30" fillId="0" borderId="17" xfId="0" applyFont="1" applyBorder="1" applyAlignment="1" applyProtection="1">
      <alignment horizontal="center" vertical="center" wrapText="1"/>
      <protection locked="0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0" borderId="20" xfId="0" applyFont="1" applyBorder="1" applyAlignment="1" applyProtection="1">
      <alignment horizontal="center" vertical="center" wrapText="1"/>
      <protection locked="0"/>
    </xf>
    <xf numFmtId="0" fontId="30" fillId="0" borderId="21" xfId="0" applyFont="1" applyBorder="1" applyAlignment="1" applyProtection="1">
      <alignment horizontal="center" vertical="center" wrapText="1"/>
      <protection locked="0"/>
    </xf>
    <xf numFmtId="0" fontId="30" fillId="0" borderId="14" xfId="0" applyFont="1" applyBorder="1" applyAlignment="1" applyProtection="1">
      <alignment horizontal="center" vertical="center" wrapText="1"/>
      <protection locked="0"/>
    </xf>
    <xf numFmtId="0" fontId="30" fillId="0" borderId="22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30" fillId="0" borderId="13" xfId="0" applyFont="1" applyBorder="1" applyAlignment="1" applyProtection="1">
      <alignment horizontal="center" vertical="center" wrapText="1"/>
      <protection locked="0"/>
    </xf>
    <xf numFmtId="0" fontId="30" fillId="15" borderId="13" xfId="0" applyFont="1" applyFill="1" applyBorder="1" applyAlignment="1" applyProtection="1">
      <alignment horizontal="center" vertical="center" wrapText="1"/>
      <protection locked="0"/>
    </xf>
    <xf numFmtId="0" fontId="30" fillId="15" borderId="13" xfId="0" applyFont="1" applyFill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7" fillId="0" borderId="16" xfId="0" applyFont="1" applyBorder="1" applyAlignment="1" applyProtection="1">
      <alignment horizontal="center" vertical="center" wrapText="1"/>
      <protection locked="0"/>
    </xf>
    <xf numFmtId="0" fontId="37" fillId="0" borderId="17" xfId="0" applyFont="1" applyBorder="1" applyAlignment="1" applyProtection="1">
      <alignment horizontal="center" vertical="center" wrapText="1"/>
      <protection locked="0"/>
    </xf>
    <xf numFmtId="0" fontId="37" fillId="0" borderId="18" xfId="0" applyFont="1" applyBorder="1" applyAlignment="1" applyProtection="1">
      <alignment horizontal="center" vertical="center" wrapText="1"/>
      <protection locked="0"/>
    </xf>
    <xf numFmtId="0" fontId="37" fillId="0" borderId="19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0" fontId="37" fillId="0" borderId="20" xfId="0" applyFont="1" applyBorder="1" applyAlignment="1" applyProtection="1">
      <alignment horizontal="center" vertical="center" wrapText="1"/>
      <protection locked="0"/>
    </xf>
    <xf numFmtId="0" fontId="37" fillId="0" borderId="21" xfId="0" applyFont="1" applyBorder="1" applyAlignment="1" applyProtection="1">
      <alignment horizontal="center" vertical="center" wrapText="1"/>
      <protection locked="0"/>
    </xf>
    <xf numFmtId="0" fontId="37" fillId="0" borderId="14" xfId="0" applyFont="1" applyBorder="1" applyAlignment="1" applyProtection="1">
      <alignment horizontal="center" vertical="center" wrapText="1"/>
      <protection locked="0"/>
    </xf>
    <xf numFmtId="0" fontId="37" fillId="0" borderId="22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hidden="1"/>
    </xf>
    <xf numFmtId="0" fontId="35" fillId="0" borderId="11" xfId="0" applyFont="1" applyBorder="1" applyAlignment="1" applyProtection="1">
      <alignment horizontal="center" vertical="center" wrapText="1"/>
      <protection hidden="1"/>
    </xf>
    <xf numFmtId="0" fontId="35" fillId="0" borderId="15" xfId="0" applyFont="1" applyBorder="1" applyAlignment="1" applyProtection="1">
      <alignment horizontal="center" vertical="center" wrapText="1"/>
      <protection hidden="1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0" fontId="35" fillId="0" borderId="15" xfId="0" applyFont="1" applyBorder="1" applyAlignment="1" applyProtection="1">
      <alignment horizontal="center" vertical="center" wrapText="1"/>
      <protection locked="0"/>
    </xf>
    <xf numFmtId="14" fontId="35" fillId="0" borderId="12" xfId="0" applyNumberFormat="1" applyFont="1" applyBorder="1" applyAlignment="1" applyProtection="1">
      <alignment horizontal="center" vertical="center" wrapText="1"/>
      <protection locked="0"/>
    </xf>
    <xf numFmtId="14" fontId="35" fillId="0" borderId="11" xfId="0" applyNumberFormat="1" applyFont="1" applyBorder="1" applyAlignment="1" applyProtection="1">
      <alignment horizontal="center" vertical="center" wrapText="1"/>
      <protection locked="0"/>
    </xf>
    <xf numFmtId="14" fontId="35" fillId="0" borderId="15" xfId="0" applyNumberFormat="1" applyFont="1" applyBorder="1" applyAlignment="1" applyProtection="1">
      <alignment horizontal="center" vertical="center" wrapText="1"/>
      <protection locked="0"/>
    </xf>
    <xf numFmtId="0" fontId="30" fillId="0" borderId="13" xfId="0" applyFont="1" applyBorder="1" applyAlignment="1" applyProtection="1">
      <alignment horizontal="center" vertical="center" wrapText="1"/>
      <protection hidden="1"/>
    </xf>
    <xf numFmtId="0" fontId="34" fillId="26" borderId="13" xfId="0" applyFont="1" applyFill="1" applyBorder="1" applyAlignment="1" applyProtection="1">
      <alignment horizontal="center" wrapText="1"/>
      <protection hidden="1" locked="0"/>
    </xf>
    <xf numFmtId="0" fontId="30" fillId="25" borderId="13" xfId="0" applyFont="1" applyFill="1" applyBorder="1" applyAlignment="1" applyProtection="1">
      <alignment horizontal="center" vertical="center" wrapText="1"/>
      <protection hidden="1"/>
    </xf>
    <xf numFmtId="0" fontId="35" fillId="21" borderId="13" xfId="0" applyFont="1" applyFill="1" applyBorder="1" applyAlignment="1" applyProtection="1">
      <alignment horizontal="center" vertical="center" wrapText="1"/>
      <protection hidden="1"/>
    </xf>
    <xf numFmtId="14" fontId="35" fillId="15" borderId="13" xfId="0" applyNumberFormat="1" applyFont="1" applyFill="1" applyBorder="1" applyAlignment="1" applyProtection="1">
      <alignment horizontal="center" wrapText="1"/>
      <protection locked="0"/>
    </xf>
    <xf numFmtId="14" fontId="35" fillId="15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15" borderId="13" xfId="0" applyFont="1" applyFill="1" applyBorder="1" applyAlignment="1">
      <alignment horizontal="center" vertical="center" wrapText="1"/>
    </xf>
    <xf numFmtId="0" fontId="35" fillId="15" borderId="13" xfId="0" applyFont="1" applyFill="1" applyBorder="1" applyAlignment="1" applyProtection="1">
      <alignment horizontal="center" vertical="center" wrapText="1"/>
      <protection locked="0"/>
    </xf>
    <xf numFmtId="0" fontId="30" fillId="24" borderId="13" xfId="0" applyFont="1" applyFill="1" applyBorder="1" applyAlignment="1" applyProtection="1">
      <alignment horizontal="center" vertical="center" wrapText="1"/>
      <protection hidden="1"/>
    </xf>
    <xf numFmtId="0" fontId="35" fillId="0" borderId="13" xfId="0" applyFont="1" applyBorder="1" applyAlignment="1">
      <alignment horizontal="center" vertical="center" wrapText="1"/>
    </xf>
    <xf numFmtId="0" fontId="30" fillId="15" borderId="13" xfId="0" applyFont="1" applyFill="1" applyBorder="1" applyAlignment="1" applyProtection="1">
      <alignment horizontal="center" vertical="center" textRotation="90" wrapText="1"/>
      <protection hidden="1"/>
    </xf>
    <xf numFmtId="0" fontId="30" fillId="15" borderId="13" xfId="0" applyFont="1" applyFill="1" applyBorder="1" applyAlignment="1" applyProtection="1">
      <alignment horizontal="center" vertical="center" wrapText="1"/>
      <protection hidden="1"/>
    </xf>
    <xf numFmtId="0" fontId="36" fillId="0" borderId="13" xfId="0" applyFont="1" applyBorder="1" applyAlignment="1">
      <alignment horizontal="center" vertical="center" wrapText="1"/>
    </xf>
    <xf numFmtId="0" fontId="35" fillId="0" borderId="13" xfId="0" applyFont="1" applyBorder="1" applyAlignment="1" applyProtection="1">
      <alignment horizontal="center" wrapText="1"/>
      <protection hidden="1"/>
    </xf>
    <xf numFmtId="0" fontId="34" fillId="27" borderId="16" xfId="0" applyFont="1" applyFill="1" applyBorder="1" applyAlignment="1" applyProtection="1">
      <alignment horizontal="center" vertical="center" wrapText="1"/>
      <protection hidden="1" locked="0"/>
    </xf>
    <xf numFmtId="0" fontId="34" fillId="27" borderId="17" xfId="0" applyFont="1" applyFill="1" applyBorder="1" applyAlignment="1" applyProtection="1">
      <alignment horizontal="center" vertical="center" wrapText="1"/>
      <protection hidden="1" locked="0"/>
    </xf>
    <xf numFmtId="0" fontId="34" fillId="27" borderId="18" xfId="0" applyFont="1" applyFill="1" applyBorder="1" applyAlignment="1" applyProtection="1">
      <alignment horizontal="center" vertical="center" wrapText="1"/>
      <protection hidden="1" locked="0"/>
    </xf>
    <xf numFmtId="0" fontId="34" fillId="27" borderId="21" xfId="0" applyFont="1" applyFill="1" applyBorder="1" applyAlignment="1" applyProtection="1">
      <alignment horizontal="center" vertical="center" wrapText="1"/>
      <protection hidden="1" locked="0"/>
    </xf>
    <xf numFmtId="0" fontId="34" fillId="27" borderId="14" xfId="0" applyFont="1" applyFill="1" applyBorder="1" applyAlignment="1" applyProtection="1">
      <alignment horizontal="center" vertical="center" wrapText="1"/>
      <protection hidden="1" locked="0"/>
    </xf>
    <xf numFmtId="0" fontId="34" fillId="27" borderId="22" xfId="0" applyFont="1" applyFill="1" applyBorder="1" applyAlignment="1" applyProtection="1">
      <alignment horizontal="center" vertical="center" wrapText="1"/>
      <protection hidden="1" locked="0"/>
    </xf>
    <xf numFmtId="0" fontId="30" fillId="0" borderId="12" xfId="0" applyFont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0" fillId="0" borderId="15" xfId="0" applyFont="1" applyBorder="1" applyAlignment="1" applyProtection="1">
      <alignment horizontal="center" vertical="center" wrapText="1"/>
      <protection locked="0"/>
    </xf>
    <xf numFmtId="0" fontId="30" fillId="21" borderId="16" xfId="0" applyFont="1" applyFill="1" applyBorder="1" applyAlignment="1" applyProtection="1">
      <alignment horizontal="center" vertical="center" wrapText="1"/>
      <protection hidden="1"/>
    </xf>
    <xf numFmtId="0" fontId="30" fillId="21" borderId="17" xfId="0" applyFont="1" applyFill="1" applyBorder="1" applyAlignment="1" applyProtection="1">
      <alignment horizontal="center" vertical="center" wrapText="1"/>
      <protection hidden="1"/>
    </xf>
    <xf numFmtId="0" fontId="30" fillId="21" borderId="18" xfId="0" applyFont="1" applyFill="1" applyBorder="1" applyAlignment="1" applyProtection="1">
      <alignment horizontal="center" vertical="center" wrapText="1"/>
      <protection hidden="1"/>
    </xf>
    <xf numFmtId="0" fontId="30" fillId="21" borderId="21" xfId="0" applyFont="1" applyFill="1" applyBorder="1" applyAlignment="1" applyProtection="1">
      <alignment horizontal="center" vertical="center" wrapText="1"/>
      <protection hidden="1"/>
    </xf>
    <xf numFmtId="0" fontId="30" fillId="21" borderId="14" xfId="0" applyFont="1" applyFill="1" applyBorder="1" applyAlignment="1" applyProtection="1">
      <alignment horizontal="center" vertical="center" wrapText="1"/>
      <protection hidden="1"/>
    </xf>
    <xf numFmtId="0" fontId="30" fillId="21" borderId="22" xfId="0" applyFont="1" applyFill="1" applyBorder="1" applyAlignment="1" applyProtection="1">
      <alignment horizontal="center" vertical="center" wrapText="1"/>
      <protection hidden="1"/>
    </xf>
    <xf numFmtId="14" fontId="30" fillId="15" borderId="12" xfId="0" applyNumberFormat="1" applyFont="1" applyFill="1" applyBorder="1" applyAlignment="1" applyProtection="1">
      <alignment horizontal="center" wrapText="1"/>
      <protection locked="0"/>
    </xf>
    <xf numFmtId="14" fontId="30" fillId="15" borderId="15" xfId="0" applyNumberFormat="1" applyFont="1" applyFill="1" applyBorder="1" applyAlignment="1" applyProtection="1">
      <alignment horizontal="center" wrapText="1"/>
      <protection locked="0"/>
    </xf>
    <xf numFmtId="14" fontId="30" fillId="15" borderId="12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5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2" xfId="0" applyFont="1" applyFill="1" applyBorder="1" applyAlignment="1">
      <alignment horizontal="center" vertical="center" wrapText="1"/>
    </xf>
    <xf numFmtId="0" fontId="30" fillId="15" borderId="15" xfId="0" applyFont="1" applyFill="1" applyBorder="1" applyAlignment="1">
      <alignment horizontal="center" vertical="center" wrapText="1"/>
    </xf>
    <xf numFmtId="0" fontId="30" fillId="15" borderId="11" xfId="0" applyFont="1" applyFill="1" applyBorder="1" applyAlignment="1">
      <alignment horizontal="center" vertical="center" wrapText="1"/>
    </xf>
    <xf numFmtId="14" fontId="30" fillId="15" borderId="16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7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8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9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0" xfId="0" applyNumberFormat="1" applyFont="1" applyFill="1" applyAlignment="1" applyProtection="1">
      <alignment horizontal="center" vertical="center" wrapText="1"/>
      <protection locked="0"/>
    </xf>
    <xf numFmtId="14" fontId="30" fillId="15" borderId="20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1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14" xfId="0" applyNumberFormat="1" applyFont="1" applyFill="1" applyBorder="1" applyAlignment="1" applyProtection="1">
      <alignment horizontal="center" vertical="center" wrapText="1"/>
      <protection locked="0"/>
    </xf>
    <xf numFmtId="14" fontId="30" fillId="15" borderId="22" xfId="0" applyNumberFormat="1" applyFont="1" applyFill="1" applyBorder="1" applyAlignment="1" applyProtection="1">
      <alignment horizontal="center" vertical="center" wrapText="1"/>
      <protection locked="0"/>
    </xf>
    <xf numFmtId="0" fontId="30" fillId="15" borderId="12" xfId="0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locked="0"/>
    </xf>
    <xf numFmtId="0" fontId="30" fillId="15" borderId="15" xfId="0" applyFont="1" applyFill="1" applyBorder="1" applyAlignment="1" applyProtection="1">
      <alignment horizontal="center" vertical="center" wrapText="1"/>
      <protection locked="0"/>
    </xf>
    <xf numFmtId="0" fontId="30" fillId="0" borderId="23" xfId="0" applyFont="1" applyBorder="1" applyAlignment="1" applyProtection="1">
      <alignment horizontal="center" vertical="center" wrapText="1"/>
      <protection hidden="1"/>
    </xf>
    <xf numFmtId="0" fontId="30" fillId="0" borderId="24" xfId="0" applyFont="1" applyBorder="1" applyAlignment="1" applyProtection="1">
      <alignment horizontal="center" vertical="center" wrapText="1"/>
      <protection hidden="1"/>
    </xf>
    <xf numFmtId="0" fontId="31" fillId="28" borderId="13" xfId="0" applyFont="1" applyFill="1" applyBorder="1" applyAlignment="1" applyProtection="1">
      <alignment horizontal="center" vertical="center" wrapText="1"/>
      <protection hidden="1" locked="0"/>
    </xf>
    <xf numFmtId="0" fontId="28" fillId="0" borderId="13" xfId="0" applyFont="1" applyBorder="1" applyAlignment="1" applyProtection="1">
      <alignment horizontal="center" vertical="center" textRotation="90" wrapText="1"/>
      <protection hidden="1"/>
    </xf>
    <xf numFmtId="0" fontId="41" fillId="23" borderId="13" xfId="85" applyFont="1" applyFill="1" applyBorder="1" applyAlignment="1">
      <alignment horizontal="center" vertical="center" wrapText="1"/>
      <protection/>
    </xf>
  </cellXfs>
  <cellStyles count="8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microsoft.com/office/2006/relationships/vbaProject" Target="vbaProject.bin" /><Relationship Id="rId10" Type="http://schemas.openxmlformats.org/officeDocument/2006/relationships/styles" Target="styles.xml" /><Relationship Id="rId11" Type="http://schemas.openxmlformats.org/officeDocument/2006/relationships/sharedStrings" Target="sharedStrings.xml" /><Relationship Id="rId12" Type="http://schemas.openxmlformats.org/officeDocument/2006/relationships/theme" Target="theme/theme1.xml" /><Relationship Id="rId13" Type="http://schemas.openxmlformats.org/officeDocument/2006/relationships/externalLink" Target="externalLinks/externalLink1.xml" /><Relationship Id="rId14" Type="http://schemas.openxmlformats.org/officeDocument/2006/relationships/externalLink" Target="externalLinks/externalLink2.xml" /><Relationship Id="rId15" Type="http://schemas.openxmlformats.org/officeDocument/2006/relationships/externalLink" Target="externalLinks/externalLink3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20230115.1132_Curtains_Job_Sheet_BUZ_Davidson_s_Blinds_Shutters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20220222.1824_Roller%20Blinds_Job_Sheet_BUZ_Davidson_s_Blinds_Shutters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Work\Downloads\20180508.0926_Fixed%20Guide%20Sunblinds%20-%20Straight%20Finish%20Mesh_Job_Sheet_BUZ_Davidson_s_Blinds_Shutters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 - Curtain"/>
      <sheetName val="Job Sheet - Pelmets &amp; Tiebacks"/>
      <sheetName val="Curtain Manufacturing Worksheet"/>
      <sheetName val="Tapes"/>
      <sheetName val="Tube Cutting"/>
      <sheetName val="Assembly(c)"/>
      <sheetName val="Bagging"/>
      <sheetName val="TBS Order Form"/>
      <sheetName val="Pelmet Order Form"/>
      <sheetName val="Components"/>
      <sheetName val="Fabrics"/>
      <sheetName val="Lining"/>
      <sheetName val="Labels"/>
      <sheetName val="Deductions"/>
      <sheetName val="Tape Look Up"/>
    </sheetNames>
    <sheetDataSet>
      <sheetData sheetId="0"/>
      <sheetData sheetId="1"/>
      <sheetData sheetId="2"/>
      <sheetData sheetId="3"/>
      <sheetData sheetId="4"/>
      <sheetData sheetId="5">
        <row r="13">
          <cell r="C13" t="str">
            <v/>
          </cell>
        </row>
      </sheetData>
      <sheetData sheetId="6">
        <row r="13">
          <cell r="D13" t="str">
            <v/>
          </cell>
        </row>
      </sheetData>
      <sheetData sheetId="7">
        <row r="13">
          <cell r="I13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>
        <row r="2">
          <cell r="BR2" t="str">
            <v>Wavefold Hand OperationWhite</v>
          </cell>
          <cell r="BS2" t="str">
            <v>Wavefold White</v>
          </cell>
          <cell r="BW2" t="str">
            <v>Wavefold Hand OperationCentre Opening</v>
          </cell>
          <cell r="CA2">
            <v>2</v>
          </cell>
        </row>
        <row r="3">
          <cell r="BR3" t="str">
            <v>Wavefold Hand OperationBlack</v>
          </cell>
          <cell r="BS3" t="str">
            <v>Wavefold Black</v>
          </cell>
          <cell r="BW3" t="str">
            <v>Wavefold Cord OperationCentre Opening</v>
          </cell>
          <cell r="BX3">
            <v>1</v>
          </cell>
          <cell r="BY3">
            <v>1</v>
          </cell>
        </row>
        <row r="4">
          <cell r="BR4" t="str">
            <v>Wavefold Cord OperationWhite</v>
          </cell>
          <cell r="BS4" t="str">
            <v>Wavefold White</v>
          </cell>
          <cell r="BW4" t="str">
            <v>Streamline Hand OperationCentre Opening</v>
          </cell>
          <cell r="CD4">
            <v>2</v>
          </cell>
        </row>
        <row r="5">
          <cell r="BR5" t="str">
            <v>Wavefold Cord OperationBlack</v>
          </cell>
          <cell r="BS5" t="str">
            <v>Wavefold Black</v>
          </cell>
          <cell r="BW5" t="str">
            <v>Streamline Cord OperationCentre Opening</v>
          </cell>
          <cell r="CB5">
            <v>2</v>
          </cell>
        </row>
        <row r="6">
          <cell r="BR6" t="str">
            <v>Streamline Hand OperationWhite</v>
          </cell>
          <cell r="BS6" t="str">
            <v>Streamline White</v>
          </cell>
          <cell r="BW6" t="str">
            <v>Wavefold Hand OperationCentre Opening (Offset Split)</v>
          </cell>
          <cell r="CA6">
            <v>2</v>
          </cell>
        </row>
        <row r="7">
          <cell r="BR7" t="str">
            <v>Streamline Hand OperationMatt Black Ink</v>
          </cell>
          <cell r="BS7" t="str">
            <v>Streamline Matt Black Ink</v>
          </cell>
          <cell r="BW7" t="str">
            <v>Wavefold Cord OperationCentre Opening (Offset Split)</v>
          </cell>
          <cell r="BX7">
            <v>2</v>
          </cell>
          <cell r="BZ7">
            <v>2</v>
          </cell>
        </row>
        <row r="8">
          <cell r="BR8" t="str">
            <v>Streamline Hand OperationBirch White</v>
          </cell>
          <cell r="BS8" t="str">
            <v>Streamline Birch White</v>
          </cell>
          <cell r="BW8" t="str">
            <v>Streamline Hand OperationCentre Opening (Offset Split)</v>
          </cell>
          <cell r="CD8">
            <v>2</v>
          </cell>
        </row>
        <row r="9">
          <cell r="BR9" t="str">
            <v>Streamline Cord OperationWhite</v>
          </cell>
          <cell r="BS9" t="str">
            <v>Streamline White</v>
          </cell>
          <cell r="BW9" t="str">
            <v>Streamline Cord OperationCentre Opening (Offset Split)</v>
          </cell>
          <cell r="CB9">
            <v>2</v>
          </cell>
          <cell r="CC9">
            <v>2</v>
          </cell>
        </row>
        <row r="10">
          <cell r="BR10" t="str">
            <v>Streamline Cord OperationMatt Black Ink</v>
          </cell>
          <cell r="BS10" t="str">
            <v>Streamline Matt Black Ink</v>
          </cell>
          <cell r="BW10" t="str">
            <v>Wavefold Hand OperationSingle Panel - Left Stacking</v>
          </cell>
          <cell r="CA10">
            <v>2</v>
          </cell>
        </row>
        <row r="11">
          <cell r="BR11" t="str">
            <v>Streamline Cord OperationBirch White</v>
          </cell>
          <cell r="BS11" t="str">
            <v>Streamline Birch White</v>
          </cell>
          <cell r="BW11" t="str">
            <v>Wavefold Cord OperationSingle Panel - Left Stacking</v>
          </cell>
          <cell r="BY11">
            <v>1</v>
          </cell>
          <cell r="BZ11">
            <v>1</v>
          </cell>
          <cell r="CA11">
            <v>1</v>
          </cell>
        </row>
        <row r="12">
          <cell r="BW12" t="str">
            <v>Streamline Hand OperationSingle Panel - Left Stacking</v>
          </cell>
          <cell r="CD12">
            <v>2</v>
          </cell>
        </row>
        <row r="13">
          <cell r="BW13" t="str">
            <v>Streamline Cord OperationSingle Panel - Left Stacking</v>
          </cell>
          <cell r="CB13">
            <v>1</v>
          </cell>
          <cell r="CC13">
            <v>1</v>
          </cell>
          <cell r="CD13">
            <v>1</v>
          </cell>
        </row>
        <row r="14">
          <cell r="BW14" t="str">
            <v>Wavefold Hand OperationSingle Panel - Right Stacking</v>
          </cell>
          <cell r="CA14">
            <v>2</v>
          </cell>
        </row>
        <row r="15">
          <cell r="BW15" t="str">
            <v>Wavefold Cord OperationSingle Panel - Right Stacking</v>
          </cell>
          <cell r="BY15">
            <v>1</v>
          </cell>
          <cell r="BZ15">
            <v>1</v>
          </cell>
          <cell r="CA15">
            <v>1</v>
          </cell>
        </row>
        <row r="16">
          <cell r="BW16" t="str">
            <v>Streamline Hand OperationSingle Panel - Right Stacking</v>
          </cell>
          <cell r="CD16">
            <v>2</v>
          </cell>
        </row>
        <row r="17">
          <cell r="BW17" t="str">
            <v>Streamline Cord OperationSingle Panel - Right Stacking</v>
          </cell>
          <cell r="CB17">
            <v>1</v>
          </cell>
          <cell r="CC17">
            <v>1</v>
          </cell>
          <cell r="CD17">
            <v>1</v>
          </cell>
        </row>
        <row r="18">
          <cell r="BW18" t="str">
            <v>Wavefold Hand OperationCentre Opening - Free Flowing</v>
          </cell>
          <cell r="CA18">
            <v>2</v>
          </cell>
        </row>
        <row r="19">
          <cell r="BW19" t="str">
            <v>Streamline Hand OperationCentre Opening - Free Flowing</v>
          </cell>
          <cell r="CD19">
            <v>2</v>
          </cell>
        </row>
        <row r="20">
          <cell r="BW20" t="str">
            <v>Wavefold Hand OperationSingle Panel - Free Flowing</v>
          </cell>
          <cell r="CA20">
            <v>2</v>
          </cell>
        </row>
        <row r="21">
          <cell r="BW21" t="str">
            <v>Streamline Hand OperationSingle Panel - Free Flowing</v>
          </cell>
          <cell r="CD21">
            <v>2</v>
          </cell>
        </row>
        <row r="22">
          <cell r="A22">
            <v>0</v>
          </cell>
          <cell r="B22">
            <v>2</v>
          </cell>
          <cell r="BW22" t="str">
            <v>Wavefold Hand OperationCentre Opening - Free Flowing (Offset Split)</v>
          </cell>
          <cell r="CA22">
            <v>2</v>
          </cell>
        </row>
        <row r="23">
          <cell r="A23">
            <v>800</v>
          </cell>
          <cell r="B23">
            <v>3</v>
          </cell>
          <cell r="BW23" t="str">
            <v>Streamline Hand OperationCentre Opening - Free Flowing (Offset Split)</v>
          </cell>
          <cell r="CD23">
            <v>2</v>
          </cell>
        </row>
        <row r="24">
          <cell r="A24">
            <v>1500</v>
          </cell>
          <cell r="B24">
            <v>4</v>
          </cell>
          <cell r="BW24" t="str">
            <v>Wavefold Hand OperationNo Movement</v>
          </cell>
          <cell r="CA24">
            <v>2</v>
          </cell>
        </row>
        <row r="25">
          <cell r="A25">
            <v>2400</v>
          </cell>
          <cell r="B25">
            <v>5</v>
          </cell>
          <cell r="BW25" t="str">
            <v>Streamline Hand OperationNo Movement</v>
          </cell>
          <cell r="CD25">
            <v>2</v>
          </cell>
        </row>
        <row r="26">
          <cell r="A26">
            <v>3000</v>
          </cell>
          <cell r="B26">
            <v>6</v>
          </cell>
        </row>
        <row r="27">
          <cell r="A27">
            <v>4000</v>
          </cell>
          <cell r="B27">
            <v>7</v>
          </cell>
        </row>
        <row r="28">
          <cell r="A28">
            <v>5000</v>
          </cell>
          <cell r="B28">
            <v>8</v>
          </cell>
        </row>
        <row r="29">
          <cell r="A29">
            <v>6100</v>
          </cell>
          <cell r="B29">
            <v>9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Job Sheet Pelmets Cassettes"/>
      <sheetName val="Fabric Cutting"/>
      <sheetName val="Tube Cutting"/>
      <sheetName val="Assembly(a)"/>
      <sheetName val="Assembly(b)"/>
      <sheetName val="Bagging"/>
      <sheetName val="Electrical Form"/>
      <sheetName val="Pelmet Order Form"/>
      <sheetName val="Labels"/>
      <sheetName val="Deductions"/>
      <sheetName val="Tube Size &amp; Chain Drops"/>
      <sheetName val="Component Colour Match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M3" t="str">
            <v>NoneRevealChain Winder</v>
          </cell>
          <cell r="N3">
            <v>0</v>
          </cell>
          <cell r="O3" t="str">
            <v>N/A</v>
          </cell>
          <cell r="P3" t="str">
            <v>N/A</v>
          </cell>
          <cell r="Q3" t="str">
            <v>N/A</v>
          </cell>
          <cell r="R3" t="str">
            <v>N/A</v>
          </cell>
          <cell r="S3" t="str">
            <v>No</v>
          </cell>
          <cell r="T3" t="str">
            <v>N/A</v>
          </cell>
        </row>
        <row r="4">
          <cell r="M4" t="str">
            <v>NoneInside Window MountChain Winder</v>
          </cell>
          <cell r="N4">
            <v>0</v>
          </cell>
          <cell r="O4" t="str">
            <v>N/A</v>
          </cell>
          <cell r="P4" t="str">
            <v>N/A</v>
          </cell>
          <cell r="Q4" t="str">
            <v>N/A</v>
          </cell>
          <cell r="R4" t="str">
            <v>N/A</v>
          </cell>
          <cell r="S4" t="str">
            <v>No</v>
          </cell>
          <cell r="T4" t="str">
            <v>N/A</v>
          </cell>
        </row>
        <row r="5">
          <cell r="M5" t="str">
            <v>Straight Upholstered PelmetRevealChain Winder</v>
          </cell>
          <cell r="N5">
            <v>0</v>
          </cell>
          <cell r="O5" t="str">
            <v>N/A</v>
          </cell>
          <cell r="P5" t="str">
            <v>N/A</v>
          </cell>
          <cell r="Q5" t="str">
            <v>N/A</v>
          </cell>
          <cell r="R5" t="str">
            <v>N/A</v>
          </cell>
          <cell r="S5" t="str">
            <v>No</v>
          </cell>
          <cell r="T5" t="str">
            <v>N/A</v>
          </cell>
        </row>
        <row r="6">
          <cell r="M6" t="str">
            <v>Shaped Upholstered PelmetRevealChain Winder</v>
          </cell>
          <cell r="N6">
            <v>0</v>
          </cell>
          <cell r="O6" t="str">
            <v>N/A</v>
          </cell>
          <cell r="P6" t="str">
            <v>N/A</v>
          </cell>
          <cell r="Q6" t="str">
            <v>N/A</v>
          </cell>
          <cell r="R6" t="str">
            <v>N/A</v>
          </cell>
          <cell r="S6" t="str">
            <v>No</v>
          </cell>
          <cell r="T6" t="str">
            <v>N/A</v>
          </cell>
        </row>
        <row r="7">
          <cell r="M7" t="str">
            <v>Aluminium PelmetRevealChain Winder</v>
          </cell>
          <cell r="N7">
            <v>0</v>
          </cell>
          <cell r="O7">
            <v>0</v>
          </cell>
          <cell r="P7" t="str">
            <v>N/A</v>
          </cell>
          <cell r="Q7" t="str">
            <v>N/A</v>
          </cell>
          <cell r="R7" t="str">
            <v>No</v>
          </cell>
          <cell r="S7" t="str">
            <v>No</v>
          </cell>
          <cell r="T7" t="str">
            <v>Yes</v>
          </cell>
        </row>
        <row r="8">
          <cell r="M8" t="str">
            <v>Aluminium PelmetInside Window MountChain Winder</v>
          </cell>
          <cell r="N8">
            <v>0</v>
          </cell>
          <cell r="O8">
            <v>0</v>
          </cell>
          <cell r="P8" t="str">
            <v>N/A</v>
          </cell>
          <cell r="Q8" t="str">
            <v>N/A</v>
          </cell>
          <cell r="R8" t="str">
            <v>No</v>
          </cell>
          <cell r="S8" t="str">
            <v>No</v>
          </cell>
          <cell r="T8" t="str">
            <v>Yes</v>
          </cell>
        </row>
        <row r="9">
          <cell r="M9" t="str">
            <v>Square CassetteRevealChain Winder</v>
          </cell>
          <cell r="N9">
            <v>10</v>
          </cell>
          <cell r="O9">
            <v>14</v>
          </cell>
          <cell r="P9">
            <v>29</v>
          </cell>
          <cell r="Q9" t="str">
            <v>N/A</v>
          </cell>
          <cell r="R9" t="str">
            <v>No</v>
          </cell>
          <cell r="S9" t="str">
            <v>No</v>
          </cell>
          <cell r="T9" t="str">
            <v>No</v>
          </cell>
        </row>
        <row r="10">
          <cell r="M10" t="str">
            <v>Square Cassette with Side ChannelsRevealChain Winder</v>
          </cell>
          <cell r="N10">
            <v>10</v>
          </cell>
          <cell r="O10">
            <v>14</v>
          </cell>
          <cell r="P10">
            <v>29</v>
          </cell>
          <cell r="Q10">
            <v>88</v>
          </cell>
          <cell r="R10" t="str">
            <v>No</v>
          </cell>
          <cell r="S10" t="str">
            <v>Yes</v>
          </cell>
          <cell r="T10" t="str">
            <v>No</v>
          </cell>
        </row>
        <row r="11">
          <cell r="M11" t="str">
            <v>Round CassetteRevealChain Winder</v>
          </cell>
          <cell r="N11">
            <v>10</v>
          </cell>
          <cell r="O11">
            <v>14</v>
          </cell>
          <cell r="P11">
            <v>29</v>
          </cell>
          <cell r="Q11" t="str">
            <v>N/A</v>
          </cell>
          <cell r="R11" t="str">
            <v>No</v>
          </cell>
          <cell r="S11" t="str">
            <v>No</v>
          </cell>
          <cell r="T11" t="str">
            <v>No</v>
          </cell>
        </row>
        <row r="12">
          <cell r="M12" t="str">
            <v>Round Cassette with Side ChannelsRevealChain Winder</v>
          </cell>
          <cell r="N12">
            <v>10</v>
          </cell>
          <cell r="O12">
            <v>14</v>
          </cell>
          <cell r="P12">
            <v>29</v>
          </cell>
          <cell r="Q12">
            <v>88</v>
          </cell>
          <cell r="R12" t="str">
            <v>No</v>
          </cell>
          <cell r="S12" t="str">
            <v>Yes</v>
          </cell>
          <cell r="T12" t="str">
            <v>No</v>
          </cell>
        </row>
        <row r="13">
          <cell r="M13" t="str">
            <v>Aluminium ValanceRevealChain Winder</v>
          </cell>
          <cell r="N13">
            <v>0</v>
          </cell>
          <cell r="O13" t="str">
            <v>N/A</v>
          </cell>
          <cell r="P13">
            <v>0</v>
          </cell>
          <cell r="Q13" t="str">
            <v>N/A</v>
          </cell>
          <cell r="R13" t="str">
            <v>No</v>
          </cell>
          <cell r="S13" t="str">
            <v>No</v>
          </cell>
          <cell r="T13" t="str">
            <v>Yes</v>
          </cell>
        </row>
        <row r="14">
          <cell r="M14" t="str">
            <v>Aluminium Valance - Fabric CoveredRevealChain Winder</v>
          </cell>
          <cell r="N14">
            <v>0</v>
          </cell>
          <cell r="O14" t="str">
            <v>N/A</v>
          </cell>
          <cell r="P14">
            <v>0</v>
          </cell>
          <cell r="Q14" t="str">
            <v>N/A</v>
          </cell>
          <cell r="R14" t="str">
            <v>No</v>
          </cell>
          <cell r="S14" t="str">
            <v>No</v>
          </cell>
          <cell r="T14" t="str">
            <v>Yes</v>
          </cell>
        </row>
        <row r="15">
          <cell r="M15" t="str">
            <v>Side ChannelsRevealChain Winder</v>
          </cell>
          <cell r="N15">
            <v>10</v>
          </cell>
          <cell r="O15" t="str">
            <v>N/A</v>
          </cell>
          <cell r="P15" t="str">
            <v>N/A</v>
          </cell>
          <cell r="Q15">
            <v>60</v>
          </cell>
          <cell r="R15" t="str">
            <v>N/A</v>
          </cell>
          <cell r="S15" t="str">
            <v>No</v>
          </cell>
          <cell r="T15" t="str">
            <v>N/A</v>
          </cell>
        </row>
        <row r="16">
          <cell r="M16" t="str">
            <v>Zipscreen HoodingRevealChain Winder</v>
          </cell>
          <cell r="N16">
            <v>17</v>
          </cell>
          <cell r="O16">
            <v>66</v>
          </cell>
          <cell r="P16">
            <v>66</v>
          </cell>
          <cell r="Q16" t="str">
            <v>N/A</v>
          </cell>
          <cell r="R16" t="str">
            <v>N/A</v>
          </cell>
          <cell r="S16" t="str">
            <v>No</v>
          </cell>
          <cell r="T16" t="str">
            <v>N/A</v>
          </cell>
        </row>
        <row r="17">
          <cell r="M17" t="str">
            <v>NoneRevealChain Winder 60mm</v>
          </cell>
          <cell r="N17">
            <v>0</v>
          </cell>
          <cell r="O17" t="str">
            <v>N/A</v>
          </cell>
          <cell r="P17" t="str">
            <v>N/A</v>
          </cell>
          <cell r="Q17" t="str">
            <v>N/A</v>
          </cell>
          <cell r="R17" t="str">
            <v>N/A</v>
          </cell>
          <cell r="S17" t="str">
            <v>No</v>
          </cell>
          <cell r="T17" t="str">
            <v>N/A</v>
          </cell>
        </row>
        <row r="18">
          <cell r="M18" t="str">
            <v>Straight Upholstered PelmetRevealChain Winder 60mm</v>
          </cell>
          <cell r="N18">
            <v>0</v>
          </cell>
          <cell r="O18" t="str">
            <v>N/A</v>
          </cell>
          <cell r="P18" t="str">
            <v>N/A</v>
          </cell>
          <cell r="Q18" t="str">
            <v>N/A</v>
          </cell>
          <cell r="R18" t="str">
            <v>N/A</v>
          </cell>
          <cell r="S18" t="str">
            <v>No</v>
          </cell>
          <cell r="T18" t="str">
            <v>N/A</v>
          </cell>
        </row>
        <row r="19">
          <cell r="M19" t="str">
            <v>Shaped Upholstered PelmetRevealChain Winder 60mm</v>
          </cell>
          <cell r="N19">
            <v>0</v>
          </cell>
          <cell r="O19" t="str">
            <v>N/A</v>
          </cell>
          <cell r="P19" t="str">
            <v>N/A</v>
          </cell>
          <cell r="Q19" t="str">
            <v>N/A</v>
          </cell>
          <cell r="R19" t="str">
            <v>N/A</v>
          </cell>
          <cell r="S19" t="str">
            <v>No</v>
          </cell>
          <cell r="T19" t="str">
            <v>N/A</v>
          </cell>
        </row>
        <row r="20">
          <cell r="M20" t="str">
            <v>Aluminium PelmetRevealChain Winder 60mm</v>
          </cell>
          <cell r="N20">
            <v>0</v>
          </cell>
          <cell r="O20">
            <v>0</v>
          </cell>
          <cell r="P20" t="str">
            <v>N/A</v>
          </cell>
          <cell r="Q20" t="str">
            <v>N/A</v>
          </cell>
          <cell r="R20" t="str">
            <v>No</v>
          </cell>
          <cell r="S20" t="str">
            <v>No</v>
          </cell>
          <cell r="T20" t="str">
            <v>Yes</v>
          </cell>
        </row>
        <row r="21">
          <cell r="M21" t="str">
            <v>Square CassetteRevealChain Winder 60mm</v>
          </cell>
          <cell r="N21">
            <v>10</v>
          </cell>
          <cell r="O21">
            <v>14</v>
          </cell>
          <cell r="P21">
            <v>29</v>
          </cell>
          <cell r="Q21" t="str">
            <v>N/A</v>
          </cell>
          <cell r="R21" t="str">
            <v>No</v>
          </cell>
          <cell r="S21" t="str">
            <v>No</v>
          </cell>
          <cell r="T21" t="str">
            <v>No</v>
          </cell>
        </row>
        <row r="22">
          <cell r="M22" t="str">
            <v>Square Cassette with Side ChannelsRevealChain Winder 60mm</v>
          </cell>
          <cell r="N22">
            <v>10</v>
          </cell>
          <cell r="O22">
            <v>14</v>
          </cell>
          <cell r="P22">
            <v>29</v>
          </cell>
          <cell r="Q22">
            <v>88</v>
          </cell>
          <cell r="R22" t="str">
            <v>No</v>
          </cell>
          <cell r="S22" t="str">
            <v>Yes</v>
          </cell>
          <cell r="T22" t="str">
            <v>No</v>
          </cell>
        </row>
        <row r="23">
          <cell r="M23" t="str">
            <v>Round CassetteRevealChain Winder 60mm</v>
          </cell>
          <cell r="N23">
            <v>10</v>
          </cell>
          <cell r="O23">
            <v>14</v>
          </cell>
          <cell r="P23">
            <v>29</v>
          </cell>
          <cell r="Q23" t="str">
            <v>N/A</v>
          </cell>
          <cell r="R23" t="str">
            <v>No</v>
          </cell>
          <cell r="S23" t="str">
            <v>No</v>
          </cell>
          <cell r="T23" t="str">
            <v>No</v>
          </cell>
        </row>
        <row r="24">
          <cell r="M24" t="str">
            <v>Round Cassette with Side ChannelsRevealChain Winder 60mm</v>
          </cell>
          <cell r="N24">
            <v>10</v>
          </cell>
          <cell r="O24">
            <v>14</v>
          </cell>
          <cell r="P24">
            <v>29</v>
          </cell>
          <cell r="Q24">
            <v>88</v>
          </cell>
          <cell r="R24" t="str">
            <v>No</v>
          </cell>
          <cell r="S24" t="str">
            <v>Yes</v>
          </cell>
          <cell r="T24" t="str">
            <v>No</v>
          </cell>
        </row>
        <row r="25">
          <cell r="M25" t="str">
            <v>Aluminium ValanceRevealChain Winder 60mm</v>
          </cell>
          <cell r="N25">
            <v>0</v>
          </cell>
          <cell r="O25" t="str">
            <v>N/A</v>
          </cell>
          <cell r="P25">
            <v>0</v>
          </cell>
          <cell r="Q25" t="str">
            <v>N/A</v>
          </cell>
          <cell r="R25" t="str">
            <v>No</v>
          </cell>
          <cell r="S25" t="str">
            <v>No</v>
          </cell>
          <cell r="T25" t="str">
            <v>Yes</v>
          </cell>
        </row>
        <row r="26">
          <cell r="M26" t="str">
            <v>Aluminium Valance - Fabric CoveredRevealChain Winder 60mm</v>
          </cell>
          <cell r="N26">
            <v>0</v>
          </cell>
          <cell r="O26" t="str">
            <v>N/A</v>
          </cell>
          <cell r="P26">
            <v>0</v>
          </cell>
          <cell r="Q26" t="str">
            <v>N/A</v>
          </cell>
          <cell r="R26" t="str">
            <v>No</v>
          </cell>
          <cell r="S26" t="str">
            <v>No</v>
          </cell>
          <cell r="T26" t="str">
            <v>Yes</v>
          </cell>
        </row>
        <row r="27">
          <cell r="M27" t="str">
            <v>Side ChannelsRevealChain Winder 60mm</v>
          </cell>
          <cell r="N27">
            <v>10</v>
          </cell>
          <cell r="O27" t="str">
            <v>N/A</v>
          </cell>
          <cell r="P27" t="str">
            <v>N/A</v>
          </cell>
          <cell r="Q27">
            <v>60</v>
          </cell>
          <cell r="R27" t="str">
            <v>N/A</v>
          </cell>
          <cell r="S27" t="str">
            <v>No</v>
          </cell>
          <cell r="T27" t="str">
            <v>N/A</v>
          </cell>
        </row>
        <row r="28">
          <cell r="M28" t="str">
            <v>Zipscreen HoodingRevealChain Winder 60mm</v>
          </cell>
          <cell r="N28">
            <v>17</v>
          </cell>
          <cell r="O28">
            <v>66</v>
          </cell>
          <cell r="P28">
            <v>66</v>
          </cell>
          <cell r="Q28" t="str">
            <v>N/A</v>
          </cell>
          <cell r="R28" t="str">
            <v>N/A</v>
          </cell>
          <cell r="S28" t="str">
            <v>No</v>
          </cell>
          <cell r="T28" t="str">
            <v>N/A</v>
          </cell>
        </row>
        <row r="29">
          <cell r="M29" t="str">
            <v>NoneRevealChain Winder Fixed Guide</v>
          </cell>
          <cell r="N29">
            <v>0</v>
          </cell>
          <cell r="O29" t="str">
            <v>N/A</v>
          </cell>
          <cell r="P29" t="str">
            <v>N/A</v>
          </cell>
          <cell r="Q29" t="str">
            <v>N/A</v>
          </cell>
          <cell r="R29" t="str">
            <v>N/A</v>
          </cell>
          <cell r="S29" t="str">
            <v>No</v>
          </cell>
          <cell r="T29" t="str">
            <v>N/A</v>
          </cell>
        </row>
        <row r="30">
          <cell r="M30" t="str">
            <v>Straight Upholstered PelmetRevealChain Winder Fixed Guide</v>
          </cell>
          <cell r="N30">
            <v>0</v>
          </cell>
          <cell r="O30" t="str">
            <v>N/A</v>
          </cell>
          <cell r="P30" t="str">
            <v>N/A</v>
          </cell>
          <cell r="Q30" t="str">
            <v>N/A</v>
          </cell>
          <cell r="R30" t="str">
            <v>N/A</v>
          </cell>
          <cell r="S30" t="str">
            <v>No</v>
          </cell>
          <cell r="T30" t="str">
            <v>N/A</v>
          </cell>
        </row>
        <row r="31">
          <cell r="M31" t="str">
            <v>Shaped Upholstered PelmetRevealChain Winder Fixed Guide</v>
          </cell>
          <cell r="N31">
            <v>0</v>
          </cell>
          <cell r="O31" t="str">
            <v>N/A</v>
          </cell>
          <cell r="P31" t="str">
            <v>N/A</v>
          </cell>
          <cell r="Q31" t="str">
            <v>N/A</v>
          </cell>
          <cell r="R31" t="str">
            <v>N/A</v>
          </cell>
          <cell r="S31" t="str">
            <v>No</v>
          </cell>
          <cell r="T31" t="str">
            <v>N/A</v>
          </cell>
        </row>
        <row r="32">
          <cell r="M32" t="str">
            <v>Aluminium PelmetRevealChain Winder Fixed Guide</v>
          </cell>
          <cell r="N32">
            <v>0</v>
          </cell>
          <cell r="O32">
            <v>0</v>
          </cell>
          <cell r="P32" t="str">
            <v>N/A</v>
          </cell>
          <cell r="Q32" t="str">
            <v>N/A</v>
          </cell>
          <cell r="R32" t="str">
            <v>No</v>
          </cell>
          <cell r="S32" t="str">
            <v>No</v>
          </cell>
          <cell r="T32" t="str">
            <v>Yes</v>
          </cell>
        </row>
        <row r="33">
          <cell r="M33" t="str">
            <v>Square CassetteRevealChain Winder Fixed Guide</v>
          </cell>
          <cell r="N33">
            <v>10</v>
          </cell>
          <cell r="O33">
            <v>14</v>
          </cell>
          <cell r="P33">
            <v>29</v>
          </cell>
          <cell r="Q33" t="str">
            <v>N/A</v>
          </cell>
          <cell r="R33" t="str">
            <v>No</v>
          </cell>
          <cell r="S33" t="str">
            <v>No</v>
          </cell>
          <cell r="T33" t="str">
            <v>No</v>
          </cell>
        </row>
        <row r="34">
          <cell r="M34" t="str">
            <v>Square Cassette with Side ChannelsRevealChain Winder Fixed Guide</v>
          </cell>
          <cell r="N34">
            <v>10</v>
          </cell>
          <cell r="O34">
            <v>14</v>
          </cell>
          <cell r="P34">
            <v>29</v>
          </cell>
          <cell r="Q34">
            <v>88</v>
          </cell>
          <cell r="R34" t="str">
            <v>No</v>
          </cell>
          <cell r="S34" t="str">
            <v>Yes</v>
          </cell>
          <cell r="T34" t="str">
            <v>No</v>
          </cell>
        </row>
        <row r="35">
          <cell r="M35" t="str">
            <v>Round CassetteRevealChain Winder Fixed Guide</v>
          </cell>
          <cell r="N35">
            <v>10</v>
          </cell>
          <cell r="O35">
            <v>14</v>
          </cell>
          <cell r="P35">
            <v>29</v>
          </cell>
          <cell r="Q35" t="str">
            <v>N/A</v>
          </cell>
          <cell r="R35" t="str">
            <v>No</v>
          </cell>
          <cell r="S35" t="str">
            <v>No</v>
          </cell>
          <cell r="T35" t="str">
            <v>No</v>
          </cell>
        </row>
        <row r="36">
          <cell r="M36" t="str">
            <v>Round Cassette with Side ChannelsRevealChain Winder Fixed Guide</v>
          </cell>
          <cell r="N36">
            <v>10</v>
          </cell>
          <cell r="O36">
            <v>14</v>
          </cell>
          <cell r="P36">
            <v>29</v>
          </cell>
          <cell r="Q36">
            <v>88</v>
          </cell>
          <cell r="R36" t="str">
            <v>No</v>
          </cell>
          <cell r="S36" t="str">
            <v>Yes</v>
          </cell>
          <cell r="T36" t="str">
            <v>No</v>
          </cell>
        </row>
        <row r="37">
          <cell r="M37" t="str">
            <v>Aluminium ValanceRevealChain Winder Fixed Guide</v>
          </cell>
          <cell r="N37">
            <v>0</v>
          </cell>
          <cell r="O37" t="str">
            <v>N/A</v>
          </cell>
          <cell r="P37">
            <v>0</v>
          </cell>
          <cell r="Q37" t="str">
            <v>N/A</v>
          </cell>
          <cell r="R37" t="str">
            <v>No</v>
          </cell>
          <cell r="S37" t="str">
            <v>No</v>
          </cell>
          <cell r="T37" t="str">
            <v>Yes</v>
          </cell>
        </row>
        <row r="38">
          <cell r="M38" t="str">
            <v>Aluminium Valance - Fabric CoveredRevealChain Winder Fixed Guide</v>
          </cell>
          <cell r="N38">
            <v>0</v>
          </cell>
          <cell r="O38" t="str">
            <v>N/A</v>
          </cell>
          <cell r="P38">
            <v>0</v>
          </cell>
          <cell r="Q38" t="str">
            <v>N/A</v>
          </cell>
          <cell r="R38" t="str">
            <v>No</v>
          </cell>
          <cell r="S38" t="str">
            <v>No</v>
          </cell>
          <cell r="T38" t="str">
            <v>Yes</v>
          </cell>
        </row>
        <row r="39">
          <cell r="M39" t="str">
            <v>Side ChannelsRevealChain Winder Fixed Guide</v>
          </cell>
          <cell r="N39">
            <v>10</v>
          </cell>
          <cell r="O39" t="str">
            <v>N/A</v>
          </cell>
          <cell r="P39" t="str">
            <v>N/A</v>
          </cell>
          <cell r="Q39">
            <v>60</v>
          </cell>
          <cell r="R39" t="str">
            <v>N/A</v>
          </cell>
          <cell r="S39" t="str">
            <v>No</v>
          </cell>
          <cell r="T39" t="str">
            <v>N/A</v>
          </cell>
        </row>
        <row r="40">
          <cell r="M40" t="str">
            <v>Zipscreen HoodingRevealChain Winder Fixed Guide</v>
          </cell>
          <cell r="N40">
            <v>17</v>
          </cell>
          <cell r="O40">
            <v>66</v>
          </cell>
          <cell r="P40">
            <v>66</v>
          </cell>
          <cell r="Q40" t="str">
            <v>N/A</v>
          </cell>
          <cell r="R40" t="str">
            <v>N/A</v>
          </cell>
          <cell r="S40" t="str">
            <v>No</v>
          </cell>
          <cell r="T40" t="str">
            <v>N/A</v>
          </cell>
        </row>
        <row r="41">
          <cell r="M41" t="str">
            <v>NoneRevealLinked</v>
          </cell>
          <cell r="N41">
            <v>0</v>
          </cell>
          <cell r="O41" t="str">
            <v>N/A</v>
          </cell>
          <cell r="P41" t="str">
            <v>N/A</v>
          </cell>
          <cell r="Q41" t="str">
            <v>N/A</v>
          </cell>
          <cell r="R41" t="str">
            <v>N/A</v>
          </cell>
          <cell r="S41" t="str">
            <v>No</v>
          </cell>
          <cell r="T41" t="str">
            <v>N/A</v>
          </cell>
        </row>
        <row r="42">
          <cell r="M42" t="str">
            <v>Straight Upholstered PelmetRevealLinked</v>
          </cell>
          <cell r="N42">
            <v>0</v>
          </cell>
          <cell r="O42" t="str">
            <v>N/A</v>
          </cell>
          <cell r="P42" t="str">
            <v>N/A</v>
          </cell>
          <cell r="Q42" t="str">
            <v>N/A</v>
          </cell>
          <cell r="R42" t="str">
            <v>N/A</v>
          </cell>
          <cell r="S42" t="str">
            <v>No</v>
          </cell>
          <cell r="T42" t="str">
            <v>N/A</v>
          </cell>
        </row>
        <row r="43">
          <cell r="M43" t="str">
            <v>Shaped Upholstered PelmetRevealLinked</v>
          </cell>
          <cell r="N43">
            <v>0</v>
          </cell>
          <cell r="O43" t="str">
            <v>N/A</v>
          </cell>
          <cell r="P43" t="str">
            <v>N/A</v>
          </cell>
          <cell r="Q43" t="str">
            <v>N/A</v>
          </cell>
          <cell r="R43" t="str">
            <v>N/A</v>
          </cell>
          <cell r="S43" t="str">
            <v>No</v>
          </cell>
          <cell r="T43" t="str">
            <v>N/A</v>
          </cell>
        </row>
        <row r="44">
          <cell r="M44" t="str">
            <v>Aluminium PelmetRevealLinked</v>
          </cell>
          <cell r="N44">
            <v>0</v>
          </cell>
          <cell r="O44">
            <v>0</v>
          </cell>
          <cell r="P44" t="str">
            <v>N/A</v>
          </cell>
          <cell r="Q44" t="str">
            <v>N/A</v>
          </cell>
          <cell r="R44" t="str">
            <v>No</v>
          </cell>
          <cell r="S44" t="str">
            <v>No</v>
          </cell>
          <cell r="T44" t="str">
            <v>Yes</v>
          </cell>
        </row>
        <row r="45">
          <cell r="M45" t="str">
            <v>Square CassetteRevealLinked</v>
          </cell>
          <cell r="N45">
            <v>10</v>
          </cell>
          <cell r="O45">
            <v>14</v>
          </cell>
          <cell r="P45">
            <v>14</v>
          </cell>
          <cell r="Q45" t="str">
            <v>N/A</v>
          </cell>
          <cell r="R45" t="str">
            <v>No</v>
          </cell>
          <cell r="S45" t="str">
            <v>No</v>
          </cell>
          <cell r="T45" t="str">
            <v>No</v>
          </cell>
        </row>
        <row r="46">
          <cell r="M46" t="str">
            <v>Square Cassette with Side ChannelsRevealLinked</v>
          </cell>
          <cell r="N46">
            <v>10</v>
          </cell>
          <cell r="O46">
            <v>14</v>
          </cell>
          <cell r="P46">
            <v>14</v>
          </cell>
          <cell r="Q46">
            <v>88</v>
          </cell>
          <cell r="R46" t="str">
            <v>No</v>
          </cell>
          <cell r="S46" t="str">
            <v>Yes</v>
          </cell>
          <cell r="T46" t="str">
            <v>No</v>
          </cell>
        </row>
        <row r="47">
          <cell r="M47" t="str">
            <v>Round CassetteRevealLinked</v>
          </cell>
          <cell r="N47">
            <v>10</v>
          </cell>
          <cell r="O47">
            <v>14</v>
          </cell>
          <cell r="P47">
            <v>14</v>
          </cell>
          <cell r="Q47" t="str">
            <v>N/A</v>
          </cell>
          <cell r="R47" t="str">
            <v>No</v>
          </cell>
          <cell r="S47" t="str">
            <v>No</v>
          </cell>
          <cell r="T47" t="str">
            <v>No</v>
          </cell>
        </row>
        <row r="48">
          <cell r="M48" t="str">
            <v>Round Cassette with Side ChannelsRevealLinked</v>
          </cell>
          <cell r="N48">
            <v>10</v>
          </cell>
          <cell r="O48">
            <v>14</v>
          </cell>
          <cell r="P48">
            <v>14</v>
          </cell>
          <cell r="Q48">
            <v>88</v>
          </cell>
          <cell r="R48" t="str">
            <v>No</v>
          </cell>
          <cell r="S48" t="str">
            <v>Yes</v>
          </cell>
          <cell r="T48" t="str">
            <v>No</v>
          </cell>
        </row>
        <row r="49">
          <cell r="M49" t="str">
            <v>Aluminium ValanceRevealLinked</v>
          </cell>
          <cell r="N49">
            <v>0</v>
          </cell>
          <cell r="O49" t="str">
            <v>N/A</v>
          </cell>
          <cell r="P49">
            <v>0</v>
          </cell>
          <cell r="Q49" t="str">
            <v>N/A</v>
          </cell>
          <cell r="R49" t="str">
            <v>No</v>
          </cell>
          <cell r="S49" t="str">
            <v>No</v>
          </cell>
          <cell r="T49" t="str">
            <v>Yes</v>
          </cell>
        </row>
        <row r="50">
          <cell r="M50" t="str">
            <v>Aluminium Valance - Fabric CoveredRevealLinked</v>
          </cell>
          <cell r="N50">
            <v>0</v>
          </cell>
          <cell r="O50" t="str">
            <v>N/A</v>
          </cell>
          <cell r="P50">
            <v>0</v>
          </cell>
          <cell r="Q50" t="str">
            <v>N/A</v>
          </cell>
          <cell r="R50" t="str">
            <v>No</v>
          </cell>
          <cell r="S50" t="str">
            <v>No</v>
          </cell>
          <cell r="T50" t="str">
            <v>Yes</v>
          </cell>
        </row>
        <row r="51">
          <cell r="M51" t="str">
            <v>Side ChannelsRevealLinked</v>
          </cell>
          <cell r="N51">
            <v>10</v>
          </cell>
          <cell r="O51" t="str">
            <v>N/A</v>
          </cell>
          <cell r="P51" t="str">
            <v>N/A</v>
          </cell>
          <cell r="Q51">
            <v>60</v>
          </cell>
          <cell r="R51" t="str">
            <v>N/A</v>
          </cell>
          <cell r="S51" t="str">
            <v>No</v>
          </cell>
          <cell r="T51" t="str">
            <v>N/A</v>
          </cell>
        </row>
        <row r="52">
          <cell r="M52" t="str">
            <v>Zipscreen HoodingRevealLinked</v>
          </cell>
          <cell r="N52">
            <v>17</v>
          </cell>
          <cell r="O52">
            <v>66</v>
          </cell>
          <cell r="P52">
            <v>66</v>
          </cell>
          <cell r="Q52" t="str">
            <v>N/A</v>
          </cell>
          <cell r="R52" t="str">
            <v>N/A</v>
          </cell>
          <cell r="S52" t="str">
            <v>No</v>
          </cell>
          <cell r="T52" t="str">
            <v>N/A</v>
          </cell>
        </row>
        <row r="53">
          <cell r="M53" t="str">
            <v>NoneRevealStandard Spring</v>
          </cell>
          <cell r="N53">
            <v>0</v>
          </cell>
          <cell r="O53" t="str">
            <v>N/A</v>
          </cell>
          <cell r="P53" t="str">
            <v>N/A</v>
          </cell>
          <cell r="Q53" t="str">
            <v>N/A</v>
          </cell>
          <cell r="R53" t="str">
            <v>N/A</v>
          </cell>
          <cell r="S53" t="str">
            <v>No</v>
          </cell>
          <cell r="T53" t="str">
            <v>N/A</v>
          </cell>
        </row>
        <row r="54">
          <cell r="M54" t="str">
            <v>Straight Upholstered PelmetRevealStandard Spring</v>
          </cell>
          <cell r="N54">
            <v>0</v>
          </cell>
          <cell r="O54" t="str">
            <v>N/A</v>
          </cell>
          <cell r="P54" t="str">
            <v>N/A</v>
          </cell>
          <cell r="Q54" t="str">
            <v>N/A</v>
          </cell>
          <cell r="R54" t="str">
            <v>N/A</v>
          </cell>
          <cell r="S54" t="str">
            <v>No</v>
          </cell>
          <cell r="T54" t="str">
            <v>N/A</v>
          </cell>
        </row>
        <row r="55">
          <cell r="M55" t="str">
            <v>Shaped Upholstered PelmetRevealStandard Spring</v>
          </cell>
          <cell r="N55">
            <v>0</v>
          </cell>
          <cell r="O55" t="str">
            <v>N/A</v>
          </cell>
          <cell r="P55" t="str">
            <v>N/A</v>
          </cell>
          <cell r="Q55" t="str">
            <v>N/A</v>
          </cell>
          <cell r="R55" t="str">
            <v>N/A</v>
          </cell>
          <cell r="S55" t="str">
            <v>No</v>
          </cell>
          <cell r="T55" t="str">
            <v>N/A</v>
          </cell>
        </row>
        <row r="56">
          <cell r="M56" t="str">
            <v>Aluminium PelmetRevealStandard Spring</v>
          </cell>
          <cell r="N56">
            <v>0</v>
          </cell>
          <cell r="O56">
            <v>0</v>
          </cell>
          <cell r="P56" t="str">
            <v>N/A</v>
          </cell>
          <cell r="Q56" t="str">
            <v>N/A</v>
          </cell>
          <cell r="R56" t="str">
            <v>No</v>
          </cell>
          <cell r="S56" t="str">
            <v>No</v>
          </cell>
          <cell r="T56" t="str">
            <v>Yes</v>
          </cell>
        </row>
        <row r="57">
          <cell r="M57" t="str">
            <v>Square CassetteRevealStandard Spring</v>
          </cell>
          <cell r="N57">
            <v>10</v>
          </cell>
          <cell r="O57">
            <v>14</v>
          </cell>
          <cell r="P57">
            <v>14</v>
          </cell>
          <cell r="Q57" t="str">
            <v>N/A</v>
          </cell>
          <cell r="R57" t="str">
            <v>No</v>
          </cell>
          <cell r="S57" t="str">
            <v>No</v>
          </cell>
          <cell r="T57" t="str">
            <v>No</v>
          </cell>
        </row>
        <row r="58">
          <cell r="M58" t="str">
            <v>Square Cassette with Side ChannelsRevealStandard Spring</v>
          </cell>
          <cell r="N58">
            <v>10</v>
          </cell>
          <cell r="O58">
            <v>14</v>
          </cell>
          <cell r="P58">
            <v>14</v>
          </cell>
          <cell r="Q58">
            <v>88</v>
          </cell>
          <cell r="R58" t="str">
            <v>No</v>
          </cell>
          <cell r="S58" t="str">
            <v>Yes</v>
          </cell>
          <cell r="T58" t="str">
            <v>No</v>
          </cell>
        </row>
        <row r="59">
          <cell r="M59" t="str">
            <v>Round CassetteRevealStandard Spring</v>
          </cell>
          <cell r="N59">
            <v>10</v>
          </cell>
          <cell r="O59">
            <v>14</v>
          </cell>
          <cell r="P59">
            <v>14</v>
          </cell>
          <cell r="Q59" t="str">
            <v>N/A</v>
          </cell>
          <cell r="R59" t="str">
            <v>No</v>
          </cell>
          <cell r="S59" t="str">
            <v>No</v>
          </cell>
          <cell r="T59" t="str">
            <v>No</v>
          </cell>
        </row>
        <row r="60">
          <cell r="M60" t="str">
            <v>Round Cassette with Side ChannelsRevealStandard Spring</v>
          </cell>
          <cell r="N60">
            <v>10</v>
          </cell>
          <cell r="O60">
            <v>14</v>
          </cell>
          <cell r="P60">
            <v>14</v>
          </cell>
          <cell r="Q60">
            <v>88</v>
          </cell>
          <cell r="R60" t="str">
            <v>No</v>
          </cell>
          <cell r="S60" t="str">
            <v>Yes</v>
          </cell>
          <cell r="T60" t="str">
            <v>No</v>
          </cell>
        </row>
        <row r="61">
          <cell r="M61" t="str">
            <v>Aluminium ValanceRevealStandard Spring</v>
          </cell>
          <cell r="N61">
            <v>0</v>
          </cell>
          <cell r="O61" t="str">
            <v>N/A</v>
          </cell>
          <cell r="P61">
            <v>0</v>
          </cell>
          <cell r="Q61" t="str">
            <v>N/A</v>
          </cell>
          <cell r="R61" t="str">
            <v>No</v>
          </cell>
          <cell r="S61" t="str">
            <v>No</v>
          </cell>
          <cell r="T61" t="str">
            <v>Yes</v>
          </cell>
        </row>
        <row r="62">
          <cell r="M62" t="str">
            <v>Aluminium Valance - Fabric CoveredRevealStandard Spring</v>
          </cell>
          <cell r="N62">
            <v>0</v>
          </cell>
          <cell r="O62" t="str">
            <v>N/A</v>
          </cell>
          <cell r="P62">
            <v>0</v>
          </cell>
          <cell r="Q62" t="str">
            <v>N/A</v>
          </cell>
          <cell r="R62" t="str">
            <v>No</v>
          </cell>
          <cell r="S62" t="str">
            <v>No</v>
          </cell>
          <cell r="T62" t="str">
            <v>Yes</v>
          </cell>
        </row>
        <row r="63">
          <cell r="M63" t="str">
            <v>Side ChannelsRevealStandard Spring</v>
          </cell>
          <cell r="N63">
            <v>10</v>
          </cell>
          <cell r="O63" t="str">
            <v>N/A</v>
          </cell>
          <cell r="P63" t="str">
            <v>N/A</v>
          </cell>
          <cell r="Q63">
            <v>60</v>
          </cell>
          <cell r="R63" t="str">
            <v>N/A</v>
          </cell>
          <cell r="S63" t="str">
            <v>No</v>
          </cell>
          <cell r="T63" t="str">
            <v>N/A</v>
          </cell>
        </row>
        <row r="64">
          <cell r="M64" t="str">
            <v>Zipscreen HoodingRevealStandard Spring</v>
          </cell>
          <cell r="N64">
            <v>17</v>
          </cell>
          <cell r="O64">
            <v>66</v>
          </cell>
          <cell r="P64">
            <v>66</v>
          </cell>
          <cell r="Q64" t="str">
            <v>N/A</v>
          </cell>
          <cell r="R64" t="str">
            <v>N/A</v>
          </cell>
          <cell r="S64" t="str">
            <v>No</v>
          </cell>
          <cell r="T64" t="str">
            <v>N/A</v>
          </cell>
        </row>
        <row r="65">
          <cell r="M65" t="str">
            <v>NoneRevealSmall Spring</v>
          </cell>
          <cell r="N65">
            <v>0</v>
          </cell>
          <cell r="O65" t="str">
            <v>N/A</v>
          </cell>
          <cell r="P65" t="str">
            <v>N/A</v>
          </cell>
          <cell r="Q65" t="str">
            <v>N/A</v>
          </cell>
          <cell r="R65" t="str">
            <v>N/A</v>
          </cell>
          <cell r="S65" t="str">
            <v>No</v>
          </cell>
          <cell r="T65" t="str">
            <v>N/A</v>
          </cell>
        </row>
        <row r="66">
          <cell r="M66" t="str">
            <v>Straight Upholstered PelmetRevealSmall Spring</v>
          </cell>
          <cell r="N66">
            <v>0</v>
          </cell>
          <cell r="O66" t="str">
            <v>N/A</v>
          </cell>
          <cell r="P66" t="str">
            <v>N/A</v>
          </cell>
          <cell r="Q66" t="str">
            <v>N/A</v>
          </cell>
          <cell r="R66" t="str">
            <v>N/A</v>
          </cell>
          <cell r="S66" t="str">
            <v>No</v>
          </cell>
          <cell r="T66" t="str">
            <v>N/A</v>
          </cell>
        </row>
        <row r="67">
          <cell r="M67" t="str">
            <v>Shaped Upholstered PelmetRevealSmall Spring</v>
          </cell>
          <cell r="N67">
            <v>0</v>
          </cell>
          <cell r="O67" t="str">
            <v>N/A</v>
          </cell>
          <cell r="P67" t="str">
            <v>N/A</v>
          </cell>
          <cell r="Q67" t="str">
            <v>N/A</v>
          </cell>
          <cell r="R67" t="str">
            <v>N/A</v>
          </cell>
          <cell r="S67" t="str">
            <v>No</v>
          </cell>
          <cell r="T67" t="str">
            <v>N/A</v>
          </cell>
        </row>
        <row r="68">
          <cell r="M68" t="str">
            <v>Aluminium PelmetRevealSmall Spring</v>
          </cell>
          <cell r="N68">
            <v>0</v>
          </cell>
          <cell r="O68">
            <v>0</v>
          </cell>
          <cell r="P68" t="str">
            <v>N/A</v>
          </cell>
          <cell r="Q68" t="str">
            <v>N/A</v>
          </cell>
          <cell r="R68" t="str">
            <v>No</v>
          </cell>
          <cell r="S68" t="str">
            <v>No</v>
          </cell>
          <cell r="T68" t="str">
            <v>Yes</v>
          </cell>
        </row>
        <row r="69">
          <cell r="M69" t="str">
            <v>Square CassetteRevealSmall Spring</v>
          </cell>
          <cell r="N69">
            <v>10</v>
          </cell>
          <cell r="O69">
            <v>14</v>
          </cell>
          <cell r="P69">
            <v>14</v>
          </cell>
          <cell r="Q69" t="str">
            <v>N/A</v>
          </cell>
          <cell r="R69" t="str">
            <v>No</v>
          </cell>
          <cell r="S69" t="str">
            <v>No</v>
          </cell>
          <cell r="T69" t="str">
            <v>No</v>
          </cell>
        </row>
        <row r="70">
          <cell r="M70" t="str">
            <v>Square Cassette with Side ChannelsRevealSmall Spring</v>
          </cell>
          <cell r="N70">
            <v>10</v>
          </cell>
          <cell r="O70">
            <v>14</v>
          </cell>
          <cell r="P70">
            <v>14</v>
          </cell>
          <cell r="Q70">
            <v>88</v>
          </cell>
          <cell r="R70" t="str">
            <v>No</v>
          </cell>
          <cell r="S70" t="str">
            <v>Yes</v>
          </cell>
          <cell r="T70" t="str">
            <v>No</v>
          </cell>
        </row>
        <row r="71">
          <cell r="M71" t="str">
            <v>Round CassetteRevealSmall Spring</v>
          </cell>
          <cell r="N71">
            <v>10</v>
          </cell>
          <cell r="O71">
            <v>14</v>
          </cell>
          <cell r="P71">
            <v>14</v>
          </cell>
          <cell r="Q71" t="str">
            <v>N/A</v>
          </cell>
          <cell r="R71" t="str">
            <v>No</v>
          </cell>
          <cell r="S71" t="str">
            <v>No</v>
          </cell>
          <cell r="T71" t="str">
            <v>No</v>
          </cell>
        </row>
        <row r="72">
          <cell r="M72" t="str">
            <v>Round Cassette with Side ChannelsRevealSmall Spring</v>
          </cell>
          <cell r="N72">
            <v>10</v>
          </cell>
          <cell r="O72">
            <v>14</v>
          </cell>
          <cell r="P72">
            <v>14</v>
          </cell>
          <cell r="Q72">
            <v>88</v>
          </cell>
          <cell r="R72" t="str">
            <v>No</v>
          </cell>
          <cell r="S72" t="str">
            <v>Yes</v>
          </cell>
          <cell r="T72" t="str">
            <v>No</v>
          </cell>
        </row>
        <row r="73">
          <cell r="M73" t="str">
            <v>Aluminium ValanceRevealSmall Spring</v>
          </cell>
          <cell r="N73">
            <v>0</v>
          </cell>
          <cell r="O73" t="str">
            <v>N/A</v>
          </cell>
          <cell r="P73">
            <v>0</v>
          </cell>
          <cell r="Q73" t="str">
            <v>N/A</v>
          </cell>
          <cell r="R73" t="str">
            <v>No</v>
          </cell>
          <cell r="S73" t="str">
            <v>No</v>
          </cell>
          <cell r="T73" t="str">
            <v>Yes</v>
          </cell>
        </row>
        <row r="74">
          <cell r="M74" t="str">
            <v>Aluminium Valance - Fabric CoveredRevealSmall Spring</v>
          </cell>
          <cell r="N74">
            <v>0</v>
          </cell>
          <cell r="O74" t="str">
            <v>N/A</v>
          </cell>
          <cell r="P74">
            <v>0</v>
          </cell>
          <cell r="Q74" t="str">
            <v>N/A</v>
          </cell>
          <cell r="R74" t="str">
            <v>No</v>
          </cell>
          <cell r="S74" t="str">
            <v>No</v>
          </cell>
          <cell r="T74" t="str">
            <v>Yes</v>
          </cell>
        </row>
        <row r="75">
          <cell r="M75" t="str">
            <v>Side ChannelsRevealSmall Spring</v>
          </cell>
          <cell r="N75">
            <v>10</v>
          </cell>
          <cell r="O75" t="str">
            <v>N/A</v>
          </cell>
          <cell r="P75" t="str">
            <v>N/A</v>
          </cell>
          <cell r="Q75">
            <v>60</v>
          </cell>
          <cell r="R75" t="str">
            <v>N/A</v>
          </cell>
          <cell r="S75" t="str">
            <v>No</v>
          </cell>
          <cell r="T75" t="str">
            <v>N/A</v>
          </cell>
        </row>
        <row r="76">
          <cell r="M76" t="str">
            <v>Zipscreen HoodingRevealSmall Spring</v>
          </cell>
          <cell r="N76">
            <v>17</v>
          </cell>
          <cell r="O76">
            <v>66</v>
          </cell>
          <cell r="P76">
            <v>66</v>
          </cell>
          <cell r="Q76" t="str">
            <v>N/A</v>
          </cell>
          <cell r="R76" t="str">
            <v>N/A</v>
          </cell>
          <cell r="S76" t="str">
            <v>No</v>
          </cell>
          <cell r="T76" t="str">
            <v>N/A</v>
          </cell>
        </row>
        <row r="77">
          <cell r="M77" t="str">
            <v>NoneRevealUniline Spring (Old Style)</v>
          </cell>
          <cell r="N77">
            <v>0</v>
          </cell>
          <cell r="O77" t="str">
            <v>N/A</v>
          </cell>
          <cell r="P77" t="str">
            <v>N/A</v>
          </cell>
          <cell r="Q77" t="str">
            <v>N/A</v>
          </cell>
          <cell r="R77" t="str">
            <v>N/A</v>
          </cell>
          <cell r="S77" t="str">
            <v>No</v>
          </cell>
          <cell r="T77" t="str">
            <v>N/A</v>
          </cell>
        </row>
        <row r="78">
          <cell r="M78" t="str">
            <v>Straight Upholstered PelmetRevealUniline Spring (Old Style)</v>
          </cell>
          <cell r="N78">
            <v>0</v>
          </cell>
          <cell r="O78" t="str">
            <v>N/A</v>
          </cell>
          <cell r="P78" t="str">
            <v>N/A</v>
          </cell>
          <cell r="Q78" t="str">
            <v>N/A</v>
          </cell>
          <cell r="R78" t="str">
            <v>N/A</v>
          </cell>
          <cell r="S78" t="str">
            <v>No</v>
          </cell>
          <cell r="T78" t="str">
            <v>N/A</v>
          </cell>
        </row>
        <row r="79">
          <cell r="M79" t="str">
            <v>Shaped Upholstered PelmetRevealUniline Spring (Old Style)</v>
          </cell>
          <cell r="N79">
            <v>0</v>
          </cell>
          <cell r="O79" t="str">
            <v>N/A</v>
          </cell>
          <cell r="P79" t="str">
            <v>N/A</v>
          </cell>
          <cell r="Q79" t="str">
            <v>N/A</v>
          </cell>
          <cell r="R79" t="str">
            <v>N/A</v>
          </cell>
          <cell r="S79" t="str">
            <v>No</v>
          </cell>
          <cell r="T79" t="str">
            <v>N/A</v>
          </cell>
        </row>
        <row r="80">
          <cell r="M80" t="str">
            <v>Aluminium PelmetRevealUniline Spring (Old Style)</v>
          </cell>
          <cell r="N80">
            <v>0</v>
          </cell>
          <cell r="O80">
            <v>0</v>
          </cell>
          <cell r="P80" t="str">
            <v>N/A</v>
          </cell>
          <cell r="Q80" t="str">
            <v>N/A</v>
          </cell>
          <cell r="R80" t="str">
            <v>No</v>
          </cell>
          <cell r="S80" t="str">
            <v>No</v>
          </cell>
          <cell r="T80" t="str">
            <v>Yes</v>
          </cell>
        </row>
        <row r="81">
          <cell r="M81" t="str">
            <v>Square CassetteRevealUniline Spring (Old Style)</v>
          </cell>
          <cell r="N81">
            <v>10</v>
          </cell>
          <cell r="O81">
            <v>14</v>
          </cell>
          <cell r="P81">
            <v>14</v>
          </cell>
          <cell r="Q81" t="str">
            <v>N/A</v>
          </cell>
          <cell r="R81" t="str">
            <v>No</v>
          </cell>
          <cell r="S81" t="str">
            <v>No</v>
          </cell>
          <cell r="T81" t="str">
            <v>No</v>
          </cell>
        </row>
        <row r="82">
          <cell r="M82" t="str">
            <v>Square Cassette with Side ChannelsRevealUniline Spring (Old Style)</v>
          </cell>
          <cell r="N82">
            <v>10</v>
          </cell>
          <cell r="O82">
            <v>14</v>
          </cell>
          <cell r="P82">
            <v>14</v>
          </cell>
          <cell r="Q82">
            <v>88</v>
          </cell>
          <cell r="R82" t="str">
            <v>No</v>
          </cell>
          <cell r="S82" t="str">
            <v>Yes</v>
          </cell>
          <cell r="T82" t="str">
            <v>No</v>
          </cell>
        </row>
        <row r="83">
          <cell r="M83" t="str">
            <v>Round CassetteRevealUniline Spring (Old Style)</v>
          </cell>
          <cell r="N83">
            <v>10</v>
          </cell>
          <cell r="O83">
            <v>14</v>
          </cell>
          <cell r="P83">
            <v>14</v>
          </cell>
          <cell r="Q83" t="str">
            <v>N/A</v>
          </cell>
          <cell r="R83" t="str">
            <v>No</v>
          </cell>
          <cell r="S83" t="str">
            <v>No</v>
          </cell>
          <cell r="T83" t="str">
            <v>No</v>
          </cell>
        </row>
        <row r="84">
          <cell r="M84" t="str">
            <v>Round Cassette with Side ChannelsRevealUniline Spring (Old Style)</v>
          </cell>
          <cell r="N84">
            <v>10</v>
          </cell>
          <cell r="O84">
            <v>14</v>
          </cell>
          <cell r="P84">
            <v>14</v>
          </cell>
          <cell r="Q84">
            <v>88</v>
          </cell>
          <cell r="R84" t="str">
            <v>No</v>
          </cell>
          <cell r="S84" t="str">
            <v>Yes</v>
          </cell>
          <cell r="T84" t="str">
            <v>No</v>
          </cell>
        </row>
        <row r="85">
          <cell r="M85" t="str">
            <v>Aluminium ValanceRevealUniline Spring (Old Style)</v>
          </cell>
          <cell r="N85">
            <v>0</v>
          </cell>
          <cell r="O85" t="str">
            <v>N/A</v>
          </cell>
          <cell r="P85">
            <v>0</v>
          </cell>
          <cell r="Q85" t="str">
            <v>N/A</v>
          </cell>
          <cell r="R85" t="str">
            <v>No</v>
          </cell>
          <cell r="S85" t="str">
            <v>No</v>
          </cell>
          <cell r="T85" t="str">
            <v>Yes</v>
          </cell>
        </row>
        <row r="86">
          <cell r="M86" t="str">
            <v>Aluminium Valance - Fabric CoveredRevealUniline Spring (Old Style)</v>
          </cell>
          <cell r="N86">
            <v>0</v>
          </cell>
          <cell r="O86" t="str">
            <v>N/A</v>
          </cell>
          <cell r="P86">
            <v>0</v>
          </cell>
          <cell r="Q86" t="str">
            <v>N/A</v>
          </cell>
          <cell r="R86" t="str">
            <v>No</v>
          </cell>
          <cell r="S86" t="str">
            <v>No</v>
          </cell>
          <cell r="T86" t="str">
            <v>Yes</v>
          </cell>
        </row>
        <row r="87">
          <cell r="M87" t="str">
            <v>Side ChannelsRevealUniline Spring (Old Style)</v>
          </cell>
          <cell r="N87">
            <v>10</v>
          </cell>
          <cell r="O87" t="str">
            <v>N/A</v>
          </cell>
          <cell r="P87" t="str">
            <v>N/A</v>
          </cell>
          <cell r="Q87">
            <v>60</v>
          </cell>
          <cell r="R87" t="str">
            <v>N/A</v>
          </cell>
          <cell r="S87" t="str">
            <v>No</v>
          </cell>
          <cell r="T87" t="str">
            <v>N/A</v>
          </cell>
        </row>
        <row r="88">
          <cell r="M88" t="str">
            <v>Zipscreen HoodingRevealUniline Spring (Old Style)</v>
          </cell>
          <cell r="N88">
            <v>17</v>
          </cell>
          <cell r="O88">
            <v>66</v>
          </cell>
          <cell r="P88">
            <v>66</v>
          </cell>
          <cell r="Q88" t="str">
            <v>N/A</v>
          </cell>
          <cell r="R88" t="str">
            <v>N/A</v>
          </cell>
          <cell r="S88" t="str">
            <v>No</v>
          </cell>
          <cell r="T88" t="str">
            <v>N/A</v>
          </cell>
        </row>
        <row r="89">
          <cell r="M89" t="str">
            <v>NoneRevealBecker Remote Motor</v>
          </cell>
          <cell r="N89">
            <v>0</v>
          </cell>
          <cell r="O89" t="str">
            <v>N/A</v>
          </cell>
          <cell r="P89" t="str">
            <v>N/A</v>
          </cell>
          <cell r="Q89" t="str">
            <v>N/A</v>
          </cell>
          <cell r="R89" t="str">
            <v>N/A</v>
          </cell>
          <cell r="S89" t="str">
            <v>No</v>
          </cell>
          <cell r="T89" t="str">
            <v>N/A</v>
          </cell>
        </row>
        <row r="90">
          <cell r="M90" t="str">
            <v>Straight Upholstered PelmetRevealBecker Remote Motor</v>
          </cell>
          <cell r="N90">
            <v>0</v>
          </cell>
          <cell r="O90" t="str">
            <v>N/A</v>
          </cell>
          <cell r="P90" t="str">
            <v>N/A</v>
          </cell>
          <cell r="Q90" t="str">
            <v>N/A</v>
          </cell>
          <cell r="R90" t="str">
            <v>N/A</v>
          </cell>
          <cell r="S90" t="str">
            <v>No</v>
          </cell>
          <cell r="T90" t="str">
            <v>N/A</v>
          </cell>
        </row>
        <row r="91">
          <cell r="M91" t="str">
            <v>Shaped Upholstered PelmetRevealBecker Remote Motor</v>
          </cell>
          <cell r="N91">
            <v>0</v>
          </cell>
          <cell r="O91" t="str">
            <v>N/A</v>
          </cell>
          <cell r="P91" t="str">
            <v>N/A</v>
          </cell>
          <cell r="Q91" t="str">
            <v>N/A</v>
          </cell>
          <cell r="R91" t="str">
            <v>N/A</v>
          </cell>
          <cell r="S91" t="str">
            <v>No</v>
          </cell>
          <cell r="T91" t="str">
            <v>N/A</v>
          </cell>
        </row>
        <row r="92">
          <cell r="M92" t="str">
            <v>Aluminium PelmetRevealBecker Remote Motor</v>
          </cell>
          <cell r="N92">
            <v>0</v>
          </cell>
          <cell r="O92">
            <v>0</v>
          </cell>
          <cell r="P92" t="str">
            <v>N/A</v>
          </cell>
          <cell r="Q92" t="str">
            <v>N/A</v>
          </cell>
          <cell r="R92" t="str">
            <v>No</v>
          </cell>
          <cell r="S92" t="str">
            <v>No</v>
          </cell>
          <cell r="T92" t="str">
            <v>Yes</v>
          </cell>
        </row>
        <row r="93">
          <cell r="M93" t="str">
            <v>Square CassetteRevealBecker Remote Motor</v>
          </cell>
          <cell r="N93">
            <v>10</v>
          </cell>
          <cell r="O93">
            <v>14</v>
          </cell>
          <cell r="P93">
            <v>14</v>
          </cell>
          <cell r="Q93" t="str">
            <v>N/A</v>
          </cell>
          <cell r="R93" t="str">
            <v>No</v>
          </cell>
          <cell r="S93" t="str">
            <v>No</v>
          </cell>
          <cell r="T93" t="str">
            <v>No</v>
          </cell>
        </row>
        <row r="94">
          <cell r="M94" t="str">
            <v>Square Cassette with Side ChannelsRevealBecker Remote Motor</v>
          </cell>
          <cell r="N94">
            <v>10</v>
          </cell>
          <cell r="O94">
            <v>14</v>
          </cell>
          <cell r="P94">
            <v>14</v>
          </cell>
          <cell r="Q94">
            <v>88</v>
          </cell>
          <cell r="R94" t="str">
            <v>No</v>
          </cell>
          <cell r="S94" t="str">
            <v>Yes</v>
          </cell>
          <cell r="T94" t="str">
            <v>No</v>
          </cell>
        </row>
        <row r="95">
          <cell r="M95" t="str">
            <v>Round CassetteRevealBecker Remote Motor</v>
          </cell>
          <cell r="N95">
            <v>10</v>
          </cell>
          <cell r="O95">
            <v>14</v>
          </cell>
          <cell r="P95">
            <v>14</v>
          </cell>
          <cell r="Q95" t="str">
            <v>N/A</v>
          </cell>
          <cell r="R95" t="str">
            <v>No</v>
          </cell>
          <cell r="S95" t="str">
            <v>No</v>
          </cell>
          <cell r="T95" t="str">
            <v>No</v>
          </cell>
        </row>
        <row r="96">
          <cell r="M96" t="str">
            <v>Round Cassette with Side ChannelsRevealBecker Remote Motor</v>
          </cell>
          <cell r="N96">
            <v>10</v>
          </cell>
          <cell r="O96">
            <v>14</v>
          </cell>
          <cell r="P96">
            <v>14</v>
          </cell>
          <cell r="Q96">
            <v>88</v>
          </cell>
          <cell r="R96" t="str">
            <v>No</v>
          </cell>
          <cell r="S96" t="str">
            <v>Yes</v>
          </cell>
          <cell r="T96" t="str">
            <v>No</v>
          </cell>
        </row>
        <row r="97">
          <cell r="M97" t="str">
            <v>Aluminium ValanceRevealBecker Remote Motor</v>
          </cell>
          <cell r="N97">
            <v>0</v>
          </cell>
          <cell r="O97" t="str">
            <v>N/A</v>
          </cell>
          <cell r="P97">
            <v>0</v>
          </cell>
          <cell r="Q97" t="str">
            <v>N/A</v>
          </cell>
          <cell r="R97" t="str">
            <v>No</v>
          </cell>
          <cell r="S97" t="str">
            <v>No</v>
          </cell>
          <cell r="T97" t="str">
            <v>Yes</v>
          </cell>
        </row>
        <row r="98">
          <cell r="M98" t="str">
            <v>Aluminium Valance - Fabric CoveredRevealBecker Remote Motor</v>
          </cell>
          <cell r="N98">
            <v>0</v>
          </cell>
          <cell r="O98" t="str">
            <v>N/A</v>
          </cell>
          <cell r="P98">
            <v>0</v>
          </cell>
          <cell r="Q98" t="str">
            <v>N/A</v>
          </cell>
          <cell r="R98" t="str">
            <v>No</v>
          </cell>
          <cell r="S98" t="str">
            <v>No</v>
          </cell>
          <cell r="T98" t="str">
            <v>Yes</v>
          </cell>
        </row>
        <row r="99">
          <cell r="M99" t="str">
            <v>Side ChannelsRevealBecker Remote Motor</v>
          </cell>
          <cell r="N99">
            <v>10</v>
          </cell>
          <cell r="O99" t="str">
            <v>N/A</v>
          </cell>
          <cell r="P99" t="str">
            <v>N/A</v>
          </cell>
          <cell r="Q99">
            <v>60</v>
          </cell>
          <cell r="R99" t="str">
            <v>N/A</v>
          </cell>
          <cell r="S99" t="str">
            <v>No</v>
          </cell>
          <cell r="T99" t="str">
            <v>N/A</v>
          </cell>
        </row>
        <row r="100">
          <cell r="M100" t="str">
            <v>Zipscreen HoodingRevealBecker Remote Motor</v>
          </cell>
          <cell r="N100">
            <v>17</v>
          </cell>
          <cell r="O100">
            <v>66</v>
          </cell>
          <cell r="P100">
            <v>66</v>
          </cell>
          <cell r="Q100" t="str">
            <v>N/A</v>
          </cell>
          <cell r="R100" t="str">
            <v>N/A</v>
          </cell>
          <cell r="S100" t="str">
            <v>No</v>
          </cell>
          <cell r="T100" t="str">
            <v>N/A</v>
          </cell>
        </row>
        <row r="101">
          <cell r="M101" t="str">
            <v>NoneRevealBecker CBUS Motor</v>
          </cell>
          <cell r="N101">
            <v>0</v>
          </cell>
          <cell r="O101" t="str">
            <v>N/A</v>
          </cell>
          <cell r="P101" t="str">
            <v>N/A</v>
          </cell>
          <cell r="Q101" t="str">
            <v>N/A</v>
          </cell>
          <cell r="R101" t="str">
            <v>N/A</v>
          </cell>
          <cell r="S101" t="str">
            <v>No</v>
          </cell>
          <cell r="T101" t="str">
            <v>N/A</v>
          </cell>
        </row>
        <row r="102">
          <cell r="M102" t="str">
            <v>Straight Upholstered PelmetRevealBecker CBUS Motor</v>
          </cell>
          <cell r="N102">
            <v>0</v>
          </cell>
          <cell r="O102" t="str">
            <v>N/A</v>
          </cell>
          <cell r="P102" t="str">
            <v>N/A</v>
          </cell>
          <cell r="Q102" t="str">
            <v>N/A</v>
          </cell>
          <cell r="R102" t="str">
            <v>N/A</v>
          </cell>
          <cell r="S102" t="str">
            <v>No</v>
          </cell>
          <cell r="T102" t="str">
            <v>N/A</v>
          </cell>
        </row>
        <row r="103">
          <cell r="M103" t="str">
            <v>Shaped Upholstered PelmetRevealBecker CBUS Motor</v>
          </cell>
          <cell r="N103">
            <v>0</v>
          </cell>
          <cell r="O103" t="str">
            <v>N/A</v>
          </cell>
          <cell r="P103" t="str">
            <v>N/A</v>
          </cell>
          <cell r="Q103" t="str">
            <v>N/A</v>
          </cell>
          <cell r="R103" t="str">
            <v>N/A</v>
          </cell>
          <cell r="S103" t="str">
            <v>No</v>
          </cell>
          <cell r="T103" t="str">
            <v>N/A</v>
          </cell>
        </row>
        <row r="104">
          <cell r="M104" t="str">
            <v>Aluminium PelmetRevealBecker CBUS Motor</v>
          </cell>
          <cell r="N104">
            <v>0</v>
          </cell>
          <cell r="O104">
            <v>0</v>
          </cell>
          <cell r="P104" t="str">
            <v>N/A</v>
          </cell>
          <cell r="Q104" t="str">
            <v>N/A</v>
          </cell>
          <cell r="R104" t="str">
            <v>No</v>
          </cell>
          <cell r="S104" t="str">
            <v>No</v>
          </cell>
          <cell r="T104" t="str">
            <v>Yes</v>
          </cell>
        </row>
        <row r="105">
          <cell r="M105" t="str">
            <v>Square CassetteRevealBecker CBUS Motor</v>
          </cell>
          <cell r="N105">
            <v>10</v>
          </cell>
          <cell r="O105">
            <v>14</v>
          </cell>
          <cell r="P105">
            <v>14</v>
          </cell>
          <cell r="Q105" t="str">
            <v>N/A</v>
          </cell>
          <cell r="R105" t="str">
            <v>No</v>
          </cell>
          <cell r="S105" t="str">
            <v>No</v>
          </cell>
          <cell r="T105" t="str">
            <v>No</v>
          </cell>
        </row>
        <row r="106">
          <cell r="M106" t="str">
            <v>Square Cassette with Side ChannelsRevealBecker CBUS Motor</v>
          </cell>
          <cell r="N106">
            <v>10</v>
          </cell>
          <cell r="O106">
            <v>14</v>
          </cell>
          <cell r="P106">
            <v>14</v>
          </cell>
          <cell r="Q106">
            <v>88</v>
          </cell>
          <cell r="R106" t="str">
            <v>No</v>
          </cell>
          <cell r="S106" t="str">
            <v>Yes</v>
          </cell>
          <cell r="T106" t="str">
            <v>No</v>
          </cell>
        </row>
        <row r="107">
          <cell r="M107" t="str">
            <v>Round CassetteRevealBecker CBUS Motor</v>
          </cell>
          <cell r="N107">
            <v>10</v>
          </cell>
          <cell r="O107">
            <v>14</v>
          </cell>
          <cell r="P107">
            <v>14</v>
          </cell>
          <cell r="Q107" t="str">
            <v>N/A</v>
          </cell>
          <cell r="R107" t="str">
            <v>No</v>
          </cell>
          <cell r="S107" t="str">
            <v>No</v>
          </cell>
          <cell r="T107" t="str">
            <v>No</v>
          </cell>
        </row>
        <row r="108">
          <cell r="M108" t="str">
            <v>Round Cassette with Side ChannelsRevealBecker CBUS Motor</v>
          </cell>
          <cell r="N108">
            <v>10</v>
          </cell>
          <cell r="O108">
            <v>14</v>
          </cell>
          <cell r="P108">
            <v>14</v>
          </cell>
          <cell r="Q108">
            <v>88</v>
          </cell>
          <cell r="R108" t="str">
            <v>No</v>
          </cell>
          <cell r="S108" t="str">
            <v>Yes</v>
          </cell>
          <cell r="T108" t="str">
            <v>No</v>
          </cell>
        </row>
        <row r="109">
          <cell r="M109" t="str">
            <v>Aluminium ValanceRevealBecker CBUS Motor</v>
          </cell>
          <cell r="N109">
            <v>0</v>
          </cell>
          <cell r="O109" t="str">
            <v>N/A</v>
          </cell>
          <cell r="P109">
            <v>0</v>
          </cell>
          <cell r="Q109" t="str">
            <v>N/A</v>
          </cell>
          <cell r="R109" t="str">
            <v>No</v>
          </cell>
          <cell r="S109" t="str">
            <v>No</v>
          </cell>
          <cell r="T109" t="str">
            <v>Yes</v>
          </cell>
        </row>
        <row r="110">
          <cell r="M110" t="str">
            <v>Aluminium Valance - Fabric CoveredRevealBecker CBUS Motor</v>
          </cell>
          <cell r="N110">
            <v>0</v>
          </cell>
          <cell r="O110" t="str">
            <v>N/A</v>
          </cell>
          <cell r="P110">
            <v>0</v>
          </cell>
          <cell r="Q110" t="str">
            <v>N/A</v>
          </cell>
          <cell r="R110" t="str">
            <v>No</v>
          </cell>
          <cell r="S110" t="str">
            <v>No</v>
          </cell>
          <cell r="T110" t="str">
            <v>Yes</v>
          </cell>
        </row>
        <row r="111">
          <cell r="M111" t="str">
            <v>Side ChannelsRevealBecker CBUS Motor</v>
          </cell>
          <cell r="N111">
            <v>10</v>
          </cell>
          <cell r="O111" t="str">
            <v>N/A</v>
          </cell>
          <cell r="P111" t="str">
            <v>N/A</v>
          </cell>
          <cell r="Q111">
            <v>60</v>
          </cell>
          <cell r="R111" t="str">
            <v>N/A</v>
          </cell>
          <cell r="S111" t="str">
            <v>No</v>
          </cell>
          <cell r="T111" t="str">
            <v>N/A</v>
          </cell>
        </row>
        <row r="112">
          <cell r="M112" t="str">
            <v>Zipscreen HoodingRevealBecker CBUS Motor</v>
          </cell>
          <cell r="N112">
            <v>17</v>
          </cell>
          <cell r="O112">
            <v>66</v>
          </cell>
          <cell r="P112">
            <v>66</v>
          </cell>
          <cell r="Q112" t="str">
            <v>N/A</v>
          </cell>
          <cell r="R112" t="str">
            <v>N/A</v>
          </cell>
          <cell r="S112" t="str">
            <v>No</v>
          </cell>
          <cell r="T112" t="str">
            <v>N/A</v>
          </cell>
        </row>
        <row r="113">
          <cell r="M113" t="str">
            <v>NoneReveal1.1nm 12v Acmeda Motor</v>
          </cell>
          <cell r="N113">
            <v>0</v>
          </cell>
          <cell r="O113" t="str">
            <v>N/A</v>
          </cell>
          <cell r="P113" t="str">
            <v>N/A</v>
          </cell>
          <cell r="Q113" t="str">
            <v>N/A</v>
          </cell>
          <cell r="R113" t="str">
            <v>N/A</v>
          </cell>
          <cell r="S113" t="str">
            <v>No</v>
          </cell>
          <cell r="T113" t="str">
            <v>N/A</v>
          </cell>
        </row>
        <row r="114">
          <cell r="M114" t="str">
            <v>Straight Upholstered PelmetReveal1.1nm 12v Acmeda Motor</v>
          </cell>
          <cell r="N114">
            <v>0</v>
          </cell>
          <cell r="O114" t="str">
            <v>N/A</v>
          </cell>
          <cell r="P114" t="str">
            <v>N/A</v>
          </cell>
          <cell r="Q114" t="str">
            <v>N/A</v>
          </cell>
          <cell r="R114" t="str">
            <v>N/A</v>
          </cell>
          <cell r="S114" t="str">
            <v>No</v>
          </cell>
          <cell r="T114" t="str">
            <v>N/A</v>
          </cell>
        </row>
        <row r="115">
          <cell r="M115" t="str">
            <v>Shaped Upholstered PelmetReveal1.1nm 12v Acmeda Motor</v>
          </cell>
          <cell r="N115">
            <v>0</v>
          </cell>
          <cell r="O115" t="str">
            <v>N/A</v>
          </cell>
          <cell r="P115" t="str">
            <v>N/A</v>
          </cell>
          <cell r="Q115" t="str">
            <v>N/A</v>
          </cell>
          <cell r="R115" t="str">
            <v>N/A</v>
          </cell>
          <cell r="S115" t="str">
            <v>No</v>
          </cell>
          <cell r="T115" t="str">
            <v>N/A</v>
          </cell>
        </row>
        <row r="116">
          <cell r="M116" t="str">
            <v>Aluminium PelmetReveal1.1nm 12v Acmeda Motor</v>
          </cell>
          <cell r="N116">
            <v>0</v>
          </cell>
          <cell r="O116">
            <v>0</v>
          </cell>
          <cell r="P116" t="str">
            <v>N/A</v>
          </cell>
          <cell r="Q116" t="str">
            <v>N/A</v>
          </cell>
          <cell r="R116" t="str">
            <v>No</v>
          </cell>
          <cell r="S116" t="str">
            <v>No</v>
          </cell>
          <cell r="T116" t="str">
            <v>Yes</v>
          </cell>
        </row>
        <row r="117">
          <cell r="M117" t="str">
            <v>Square CassetteReveal1.1nm 12v Acmeda Motor</v>
          </cell>
          <cell r="N117">
            <v>10</v>
          </cell>
          <cell r="O117">
            <v>14</v>
          </cell>
          <cell r="P117">
            <v>14</v>
          </cell>
          <cell r="Q117" t="str">
            <v>N/A</v>
          </cell>
          <cell r="R117" t="str">
            <v>No</v>
          </cell>
          <cell r="S117" t="str">
            <v>No</v>
          </cell>
          <cell r="T117" t="str">
            <v>No</v>
          </cell>
        </row>
        <row r="118">
          <cell r="M118" t="str">
            <v>Square Cassette with Side ChannelsReveal1.1nm 12v Acmeda Motor</v>
          </cell>
          <cell r="N118">
            <v>10</v>
          </cell>
          <cell r="O118">
            <v>14</v>
          </cell>
          <cell r="P118">
            <v>14</v>
          </cell>
          <cell r="Q118">
            <v>88</v>
          </cell>
          <cell r="R118" t="str">
            <v>No</v>
          </cell>
          <cell r="S118" t="str">
            <v>Yes</v>
          </cell>
          <cell r="T118" t="str">
            <v>No</v>
          </cell>
        </row>
        <row r="119">
          <cell r="M119" t="str">
            <v>Round CassetteReveal1.1nm 12v Acmeda Motor</v>
          </cell>
          <cell r="N119">
            <v>10</v>
          </cell>
          <cell r="O119">
            <v>14</v>
          </cell>
          <cell r="P119">
            <v>14</v>
          </cell>
          <cell r="Q119" t="str">
            <v>N/A</v>
          </cell>
          <cell r="R119" t="str">
            <v>No</v>
          </cell>
          <cell r="S119" t="str">
            <v>No</v>
          </cell>
          <cell r="T119" t="str">
            <v>No</v>
          </cell>
        </row>
        <row r="120">
          <cell r="M120" t="str">
            <v>Round Cassette with Side ChannelsReveal1.1nm 12v Acmeda Motor</v>
          </cell>
          <cell r="N120">
            <v>10</v>
          </cell>
          <cell r="O120">
            <v>14</v>
          </cell>
          <cell r="P120">
            <v>14</v>
          </cell>
          <cell r="Q120">
            <v>88</v>
          </cell>
          <cell r="R120" t="str">
            <v>No</v>
          </cell>
          <cell r="S120" t="str">
            <v>Yes</v>
          </cell>
          <cell r="T120" t="str">
            <v>No</v>
          </cell>
        </row>
        <row r="121">
          <cell r="M121" t="str">
            <v>Aluminium ValanceReveal1.1nm 12v Acmeda Motor</v>
          </cell>
          <cell r="N121">
            <v>0</v>
          </cell>
          <cell r="O121" t="str">
            <v>N/A</v>
          </cell>
          <cell r="P121">
            <v>0</v>
          </cell>
          <cell r="Q121" t="str">
            <v>N/A</v>
          </cell>
          <cell r="R121" t="str">
            <v>No</v>
          </cell>
          <cell r="S121" t="str">
            <v>No</v>
          </cell>
          <cell r="T121" t="str">
            <v>Yes</v>
          </cell>
        </row>
        <row r="122">
          <cell r="M122" t="str">
            <v>Aluminium Valance - Fabric CoveredReveal1.1nm 12v Acmeda Motor</v>
          </cell>
          <cell r="N122">
            <v>0</v>
          </cell>
          <cell r="O122" t="str">
            <v>N/A</v>
          </cell>
          <cell r="P122">
            <v>0</v>
          </cell>
          <cell r="Q122" t="str">
            <v>N/A</v>
          </cell>
          <cell r="R122" t="str">
            <v>No</v>
          </cell>
          <cell r="S122" t="str">
            <v>No</v>
          </cell>
          <cell r="T122" t="str">
            <v>Yes</v>
          </cell>
        </row>
        <row r="123">
          <cell r="M123" t="str">
            <v>Side ChannelsReveal1.1nm 12v Acmeda Motor</v>
          </cell>
          <cell r="N123">
            <v>10</v>
          </cell>
          <cell r="O123" t="str">
            <v>N/A</v>
          </cell>
          <cell r="P123" t="str">
            <v>N/A</v>
          </cell>
          <cell r="Q123">
            <v>60</v>
          </cell>
          <cell r="R123" t="str">
            <v>N/A</v>
          </cell>
          <cell r="S123" t="str">
            <v>No</v>
          </cell>
          <cell r="T123" t="str">
            <v>N/A</v>
          </cell>
        </row>
        <row r="124">
          <cell r="M124" t="str">
            <v>Zipscreen HoodingReveal1.1nm 12v Acmeda Motor</v>
          </cell>
          <cell r="N124">
            <v>17</v>
          </cell>
          <cell r="O124">
            <v>66</v>
          </cell>
          <cell r="P124">
            <v>66</v>
          </cell>
          <cell r="Q124" t="str">
            <v>N/A</v>
          </cell>
          <cell r="R124" t="str">
            <v>N/A</v>
          </cell>
          <cell r="S124" t="str">
            <v>No</v>
          </cell>
          <cell r="T124" t="str">
            <v>N/A</v>
          </cell>
        </row>
        <row r="125">
          <cell r="M125" t="str">
            <v>NoneReveal2nm 12v Acmeda Motor</v>
          </cell>
          <cell r="N125">
            <v>0</v>
          </cell>
          <cell r="O125" t="str">
            <v>N/A</v>
          </cell>
          <cell r="P125" t="str">
            <v>N/A</v>
          </cell>
          <cell r="Q125" t="str">
            <v>N/A</v>
          </cell>
          <cell r="R125" t="str">
            <v>N/A</v>
          </cell>
          <cell r="S125" t="str">
            <v>No</v>
          </cell>
          <cell r="T125" t="str">
            <v>N/A</v>
          </cell>
        </row>
        <row r="126">
          <cell r="M126" t="str">
            <v>Straight Upholstered PelmetReveal2nm 12v Acmeda Motor</v>
          </cell>
          <cell r="N126">
            <v>0</v>
          </cell>
          <cell r="O126" t="str">
            <v>N/A</v>
          </cell>
          <cell r="P126" t="str">
            <v>N/A</v>
          </cell>
          <cell r="Q126" t="str">
            <v>N/A</v>
          </cell>
          <cell r="R126" t="str">
            <v>N/A</v>
          </cell>
          <cell r="S126" t="str">
            <v>No</v>
          </cell>
          <cell r="T126" t="str">
            <v>N/A</v>
          </cell>
        </row>
        <row r="127">
          <cell r="M127" t="str">
            <v>Shaped Upholstered PelmetReveal2nm 12v Acmeda Motor</v>
          </cell>
          <cell r="N127">
            <v>0</v>
          </cell>
          <cell r="O127" t="str">
            <v>N/A</v>
          </cell>
          <cell r="P127" t="str">
            <v>N/A</v>
          </cell>
          <cell r="Q127" t="str">
            <v>N/A</v>
          </cell>
          <cell r="R127" t="str">
            <v>N/A</v>
          </cell>
          <cell r="S127" t="str">
            <v>No</v>
          </cell>
          <cell r="T127" t="str">
            <v>N/A</v>
          </cell>
        </row>
        <row r="128">
          <cell r="M128" t="str">
            <v>Aluminium PelmetReveal2nm 12v Acmeda Motor</v>
          </cell>
          <cell r="N128">
            <v>0</v>
          </cell>
          <cell r="O128">
            <v>0</v>
          </cell>
          <cell r="P128" t="str">
            <v>N/A</v>
          </cell>
          <cell r="Q128" t="str">
            <v>N/A</v>
          </cell>
          <cell r="R128" t="str">
            <v>No</v>
          </cell>
          <cell r="S128" t="str">
            <v>No</v>
          </cell>
          <cell r="T128" t="str">
            <v>Yes</v>
          </cell>
        </row>
        <row r="129">
          <cell r="M129" t="str">
            <v>Square CassetteReveal2nm 12v Acmeda Motor</v>
          </cell>
          <cell r="N129">
            <v>10</v>
          </cell>
          <cell r="O129">
            <v>14</v>
          </cell>
          <cell r="P129">
            <v>14</v>
          </cell>
          <cell r="Q129" t="str">
            <v>N/A</v>
          </cell>
          <cell r="R129" t="str">
            <v>No</v>
          </cell>
          <cell r="S129" t="str">
            <v>No</v>
          </cell>
          <cell r="T129" t="str">
            <v>No</v>
          </cell>
        </row>
        <row r="130">
          <cell r="M130" t="str">
            <v>Square Cassette with Side ChannelsReveal2nm 12v Acmeda Motor</v>
          </cell>
          <cell r="N130">
            <v>10</v>
          </cell>
          <cell r="O130">
            <v>14</v>
          </cell>
          <cell r="P130">
            <v>14</v>
          </cell>
          <cell r="Q130">
            <v>88</v>
          </cell>
          <cell r="R130" t="str">
            <v>No</v>
          </cell>
          <cell r="S130" t="str">
            <v>Yes</v>
          </cell>
          <cell r="T130" t="str">
            <v>No</v>
          </cell>
        </row>
        <row r="131">
          <cell r="M131" t="str">
            <v>Round CassetteReveal2nm 12v Acmeda Motor</v>
          </cell>
          <cell r="N131">
            <v>10</v>
          </cell>
          <cell r="O131">
            <v>14</v>
          </cell>
          <cell r="P131">
            <v>14</v>
          </cell>
          <cell r="Q131" t="str">
            <v>N/A</v>
          </cell>
          <cell r="R131" t="str">
            <v>No</v>
          </cell>
          <cell r="S131" t="str">
            <v>No</v>
          </cell>
          <cell r="T131" t="str">
            <v>No</v>
          </cell>
        </row>
        <row r="132">
          <cell r="M132" t="str">
            <v>Round Cassette with Side ChannelsReveal2nm 12v Acmeda Motor</v>
          </cell>
          <cell r="N132">
            <v>10</v>
          </cell>
          <cell r="O132">
            <v>14</v>
          </cell>
          <cell r="P132">
            <v>14</v>
          </cell>
          <cell r="Q132">
            <v>88</v>
          </cell>
          <cell r="R132" t="str">
            <v>No</v>
          </cell>
          <cell r="S132" t="str">
            <v>Yes</v>
          </cell>
          <cell r="T132" t="str">
            <v>No</v>
          </cell>
        </row>
        <row r="133">
          <cell r="M133" t="str">
            <v>Aluminium ValanceReveal2nm 12v Acmeda Motor</v>
          </cell>
          <cell r="N133">
            <v>0</v>
          </cell>
          <cell r="O133" t="str">
            <v>N/A</v>
          </cell>
          <cell r="P133">
            <v>0</v>
          </cell>
          <cell r="Q133" t="str">
            <v>N/A</v>
          </cell>
          <cell r="R133" t="str">
            <v>No</v>
          </cell>
          <cell r="S133" t="str">
            <v>No</v>
          </cell>
          <cell r="T133" t="str">
            <v>Yes</v>
          </cell>
        </row>
        <row r="134">
          <cell r="M134" t="str">
            <v>Aluminium Valance - Fabric CoveredReveal2nm 12v Acmeda Motor</v>
          </cell>
          <cell r="N134">
            <v>0</v>
          </cell>
          <cell r="O134" t="str">
            <v>N/A</v>
          </cell>
          <cell r="P134">
            <v>0</v>
          </cell>
          <cell r="Q134" t="str">
            <v>N/A</v>
          </cell>
          <cell r="R134" t="str">
            <v>No</v>
          </cell>
          <cell r="S134" t="str">
            <v>No</v>
          </cell>
          <cell r="T134" t="str">
            <v>Yes</v>
          </cell>
        </row>
        <row r="135">
          <cell r="M135" t="str">
            <v>Side ChannelsReveal2nm 12v Acmeda Motor</v>
          </cell>
          <cell r="N135">
            <v>10</v>
          </cell>
          <cell r="O135" t="str">
            <v>N/A</v>
          </cell>
          <cell r="P135" t="str">
            <v>N/A</v>
          </cell>
          <cell r="Q135">
            <v>60</v>
          </cell>
          <cell r="R135" t="str">
            <v>N/A</v>
          </cell>
          <cell r="S135" t="str">
            <v>No</v>
          </cell>
          <cell r="T135" t="str">
            <v>N/A</v>
          </cell>
        </row>
        <row r="136">
          <cell r="M136" t="str">
            <v>Zipscreen HoodingReveal2nm 12v Acmeda Motor</v>
          </cell>
          <cell r="N136">
            <v>17</v>
          </cell>
          <cell r="O136">
            <v>66</v>
          </cell>
          <cell r="P136">
            <v>66</v>
          </cell>
          <cell r="Q136" t="str">
            <v>N/A</v>
          </cell>
          <cell r="R136" t="str">
            <v>N/A</v>
          </cell>
          <cell r="S136" t="str">
            <v>No</v>
          </cell>
          <cell r="T136" t="str">
            <v>N/A</v>
          </cell>
        </row>
        <row r="137">
          <cell r="M137" t="str">
            <v>NoneReveal3nm 12v Acmeda Motor</v>
          </cell>
          <cell r="N137">
            <v>0</v>
          </cell>
          <cell r="O137" t="str">
            <v>N/A</v>
          </cell>
          <cell r="P137" t="str">
            <v>N/A</v>
          </cell>
          <cell r="Q137" t="str">
            <v>N/A</v>
          </cell>
          <cell r="R137" t="str">
            <v>N/A</v>
          </cell>
          <cell r="S137" t="str">
            <v>No</v>
          </cell>
          <cell r="T137" t="str">
            <v>N/A</v>
          </cell>
        </row>
        <row r="138">
          <cell r="M138" t="str">
            <v>Straight Upholstered PelmetReveal3nm 12v Acmeda Motor</v>
          </cell>
          <cell r="N138">
            <v>0</v>
          </cell>
          <cell r="O138" t="str">
            <v>N/A</v>
          </cell>
          <cell r="P138" t="str">
            <v>N/A</v>
          </cell>
          <cell r="Q138" t="str">
            <v>N/A</v>
          </cell>
          <cell r="R138" t="str">
            <v>N/A</v>
          </cell>
          <cell r="S138" t="str">
            <v>No</v>
          </cell>
          <cell r="T138" t="str">
            <v>N/A</v>
          </cell>
        </row>
        <row r="139">
          <cell r="M139" t="str">
            <v>Shaped Upholstered PelmetReveal3nm 12v Acmeda Motor</v>
          </cell>
          <cell r="N139">
            <v>0</v>
          </cell>
          <cell r="O139" t="str">
            <v>N/A</v>
          </cell>
          <cell r="P139" t="str">
            <v>N/A</v>
          </cell>
          <cell r="Q139" t="str">
            <v>N/A</v>
          </cell>
          <cell r="R139" t="str">
            <v>N/A</v>
          </cell>
          <cell r="S139" t="str">
            <v>No</v>
          </cell>
          <cell r="T139" t="str">
            <v>N/A</v>
          </cell>
        </row>
        <row r="140">
          <cell r="M140" t="str">
            <v>Aluminium PelmetReveal3nm 12v Acmeda Motor</v>
          </cell>
          <cell r="N140">
            <v>0</v>
          </cell>
          <cell r="O140">
            <v>0</v>
          </cell>
          <cell r="P140" t="str">
            <v>N/A</v>
          </cell>
          <cell r="Q140" t="str">
            <v>N/A</v>
          </cell>
          <cell r="R140" t="str">
            <v>No</v>
          </cell>
          <cell r="S140" t="str">
            <v>No</v>
          </cell>
          <cell r="T140" t="str">
            <v>Yes</v>
          </cell>
        </row>
        <row r="141">
          <cell r="M141" t="str">
            <v>Square CassetteReveal3nm 12v Acmeda Motor</v>
          </cell>
          <cell r="N141">
            <v>10</v>
          </cell>
          <cell r="O141">
            <v>14</v>
          </cell>
          <cell r="P141">
            <v>14</v>
          </cell>
          <cell r="Q141" t="str">
            <v>N/A</v>
          </cell>
          <cell r="R141" t="str">
            <v>No</v>
          </cell>
          <cell r="S141" t="str">
            <v>No</v>
          </cell>
          <cell r="T141" t="str">
            <v>No</v>
          </cell>
        </row>
        <row r="142">
          <cell r="M142" t="str">
            <v>Square Cassette with Side ChannelsReveal3nm 12v Acmeda Motor</v>
          </cell>
          <cell r="N142">
            <v>10</v>
          </cell>
          <cell r="O142">
            <v>14</v>
          </cell>
          <cell r="P142">
            <v>14</v>
          </cell>
          <cell r="Q142">
            <v>88</v>
          </cell>
          <cell r="R142" t="str">
            <v>No</v>
          </cell>
          <cell r="S142" t="str">
            <v>Yes</v>
          </cell>
          <cell r="T142" t="str">
            <v>No</v>
          </cell>
        </row>
        <row r="143">
          <cell r="M143" t="str">
            <v>Round CassetteReveal3nm 12v Acmeda Motor</v>
          </cell>
          <cell r="N143">
            <v>10</v>
          </cell>
          <cell r="O143">
            <v>14</v>
          </cell>
          <cell r="P143">
            <v>14</v>
          </cell>
          <cell r="Q143" t="str">
            <v>N/A</v>
          </cell>
          <cell r="R143" t="str">
            <v>No</v>
          </cell>
          <cell r="S143" t="str">
            <v>No</v>
          </cell>
          <cell r="T143" t="str">
            <v>No</v>
          </cell>
        </row>
        <row r="144">
          <cell r="M144" t="str">
            <v>Round Cassette with Side ChannelsReveal3nm 12v Acmeda Motor</v>
          </cell>
          <cell r="N144">
            <v>10</v>
          </cell>
          <cell r="O144">
            <v>14</v>
          </cell>
          <cell r="P144">
            <v>14</v>
          </cell>
          <cell r="Q144">
            <v>88</v>
          </cell>
          <cell r="R144" t="str">
            <v>No</v>
          </cell>
          <cell r="S144" t="str">
            <v>Yes</v>
          </cell>
          <cell r="T144" t="str">
            <v>No</v>
          </cell>
        </row>
        <row r="145">
          <cell r="M145" t="str">
            <v>Aluminium ValanceReveal3nm 12v Acmeda Motor</v>
          </cell>
          <cell r="N145">
            <v>0</v>
          </cell>
          <cell r="O145" t="str">
            <v>N/A</v>
          </cell>
          <cell r="P145">
            <v>0</v>
          </cell>
          <cell r="Q145" t="str">
            <v>N/A</v>
          </cell>
          <cell r="R145" t="str">
            <v>No</v>
          </cell>
          <cell r="S145" t="str">
            <v>No</v>
          </cell>
          <cell r="T145" t="str">
            <v>Yes</v>
          </cell>
        </row>
        <row r="146">
          <cell r="M146" t="str">
            <v>Aluminium Valance - Fabric CoveredReveal3nm 12v Acmeda Motor</v>
          </cell>
          <cell r="N146">
            <v>0</v>
          </cell>
          <cell r="O146" t="str">
            <v>N/A</v>
          </cell>
          <cell r="P146">
            <v>0</v>
          </cell>
          <cell r="Q146" t="str">
            <v>N/A</v>
          </cell>
          <cell r="R146" t="str">
            <v>No</v>
          </cell>
          <cell r="S146" t="str">
            <v>No</v>
          </cell>
          <cell r="T146" t="str">
            <v>Yes</v>
          </cell>
        </row>
        <row r="147">
          <cell r="M147" t="str">
            <v>Side ChannelsReveal3nm 12v Acmeda Motor</v>
          </cell>
          <cell r="N147">
            <v>10</v>
          </cell>
          <cell r="O147" t="str">
            <v>N/A</v>
          </cell>
          <cell r="P147" t="str">
            <v>N/A</v>
          </cell>
          <cell r="Q147">
            <v>60</v>
          </cell>
          <cell r="R147" t="str">
            <v>N/A</v>
          </cell>
          <cell r="S147" t="str">
            <v>No</v>
          </cell>
          <cell r="T147" t="str">
            <v>N/A</v>
          </cell>
        </row>
        <row r="148">
          <cell r="M148" t="str">
            <v>Zipscreen HoodingReveal3nm 12v Acmeda Motor</v>
          </cell>
          <cell r="N148">
            <v>17</v>
          </cell>
          <cell r="O148">
            <v>66</v>
          </cell>
          <cell r="P148">
            <v>66</v>
          </cell>
          <cell r="Q148" t="str">
            <v>N/A</v>
          </cell>
          <cell r="R148" t="str">
            <v>N/A</v>
          </cell>
          <cell r="S148" t="str">
            <v>No</v>
          </cell>
          <cell r="T148" t="str">
            <v>N/A</v>
          </cell>
        </row>
        <row r="149">
          <cell r="M149" t="str">
            <v>NoneReveal1.1nm 12v Acmeda Short Motor</v>
          </cell>
          <cell r="N149">
            <v>0</v>
          </cell>
          <cell r="O149" t="str">
            <v>N/A</v>
          </cell>
          <cell r="P149" t="str">
            <v>N/A</v>
          </cell>
          <cell r="Q149" t="str">
            <v>N/A</v>
          </cell>
          <cell r="R149" t="str">
            <v>N/A</v>
          </cell>
          <cell r="S149" t="str">
            <v>No</v>
          </cell>
          <cell r="T149" t="str">
            <v>N/A</v>
          </cell>
        </row>
        <row r="150">
          <cell r="M150" t="str">
            <v>Straight Upholstered PelmetReveal1.1nm 12v Acmeda Short Motor</v>
          </cell>
          <cell r="N150">
            <v>0</v>
          </cell>
          <cell r="O150" t="str">
            <v>N/A</v>
          </cell>
          <cell r="P150" t="str">
            <v>N/A</v>
          </cell>
          <cell r="Q150" t="str">
            <v>N/A</v>
          </cell>
          <cell r="R150" t="str">
            <v>N/A</v>
          </cell>
          <cell r="S150" t="str">
            <v>No</v>
          </cell>
          <cell r="T150" t="str">
            <v>N/A</v>
          </cell>
        </row>
        <row r="151">
          <cell r="M151" t="str">
            <v>Shaped Upholstered PelmetReveal1.1nm 12v Acmeda Short Motor</v>
          </cell>
          <cell r="N151">
            <v>0</v>
          </cell>
          <cell r="O151" t="str">
            <v>N/A</v>
          </cell>
          <cell r="P151" t="str">
            <v>N/A</v>
          </cell>
          <cell r="Q151" t="str">
            <v>N/A</v>
          </cell>
          <cell r="R151" t="str">
            <v>N/A</v>
          </cell>
          <cell r="S151" t="str">
            <v>No</v>
          </cell>
          <cell r="T151" t="str">
            <v>N/A</v>
          </cell>
        </row>
        <row r="152">
          <cell r="M152" t="str">
            <v>Aluminium PelmetReveal1.1nm 12v Acmeda Short Motor</v>
          </cell>
          <cell r="N152">
            <v>0</v>
          </cell>
          <cell r="O152">
            <v>0</v>
          </cell>
          <cell r="P152" t="str">
            <v>N/A</v>
          </cell>
          <cell r="Q152" t="str">
            <v>N/A</v>
          </cell>
          <cell r="R152" t="str">
            <v>No</v>
          </cell>
          <cell r="S152" t="str">
            <v>No</v>
          </cell>
          <cell r="T152" t="str">
            <v>Yes</v>
          </cell>
        </row>
        <row r="153">
          <cell r="M153" t="str">
            <v>Square CassetteReveal1.1nm 12v Acmeda Short Motor</v>
          </cell>
          <cell r="N153">
            <v>10</v>
          </cell>
          <cell r="O153">
            <v>14</v>
          </cell>
          <cell r="P153">
            <v>14</v>
          </cell>
          <cell r="Q153" t="str">
            <v>N/A</v>
          </cell>
          <cell r="R153" t="str">
            <v>No</v>
          </cell>
          <cell r="S153" t="str">
            <v>No</v>
          </cell>
          <cell r="T153" t="str">
            <v>No</v>
          </cell>
        </row>
        <row r="154">
          <cell r="M154" t="str">
            <v>Square Cassette with Side ChannelsReveal1.1nm 12v Acmeda Short Motor</v>
          </cell>
          <cell r="N154">
            <v>10</v>
          </cell>
          <cell r="O154">
            <v>14</v>
          </cell>
          <cell r="P154">
            <v>14</v>
          </cell>
          <cell r="Q154">
            <v>88</v>
          </cell>
          <cell r="R154" t="str">
            <v>No</v>
          </cell>
          <cell r="S154" t="str">
            <v>Yes</v>
          </cell>
          <cell r="T154" t="str">
            <v>No</v>
          </cell>
        </row>
        <row r="155">
          <cell r="M155" t="str">
            <v>Round CassetteReveal1.1nm 12v Acmeda Short Motor</v>
          </cell>
          <cell r="N155">
            <v>10</v>
          </cell>
          <cell r="O155">
            <v>14</v>
          </cell>
          <cell r="P155">
            <v>14</v>
          </cell>
          <cell r="Q155" t="str">
            <v>N/A</v>
          </cell>
          <cell r="R155" t="str">
            <v>No</v>
          </cell>
          <cell r="S155" t="str">
            <v>No</v>
          </cell>
          <cell r="T155" t="str">
            <v>No</v>
          </cell>
        </row>
        <row r="156">
          <cell r="M156" t="str">
            <v>Round Cassette with Side ChannelsReveal1.1nm 12v Acmeda Short Motor</v>
          </cell>
          <cell r="N156">
            <v>10</v>
          </cell>
          <cell r="O156">
            <v>14</v>
          </cell>
          <cell r="P156">
            <v>14</v>
          </cell>
          <cell r="Q156">
            <v>88</v>
          </cell>
          <cell r="R156" t="str">
            <v>No</v>
          </cell>
          <cell r="S156" t="str">
            <v>Yes</v>
          </cell>
          <cell r="T156" t="str">
            <v>No</v>
          </cell>
        </row>
        <row r="157">
          <cell r="M157" t="str">
            <v>Aluminium ValanceReveal1.1nm 12v Acmeda Short Motor</v>
          </cell>
          <cell r="N157">
            <v>0</v>
          </cell>
          <cell r="O157" t="str">
            <v>N/A</v>
          </cell>
          <cell r="P157">
            <v>0</v>
          </cell>
          <cell r="Q157" t="str">
            <v>N/A</v>
          </cell>
          <cell r="R157" t="str">
            <v>No</v>
          </cell>
          <cell r="S157" t="str">
            <v>No</v>
          </cell>
          <cell r="T157" t="str">
            <v>Yes</v>
          </cell>
        </row>
        <row r="158">
          <cell r="M158" t="str">
            <v>Aluminium Valance - Fabric CoveredReveal1.1nm 12v Acmeda Short Motor</v>
          </cell>
          <cell r="N158">
            <v>0</v>
          </cell>
          <cell r="O158" t="str">
            <v>N/A</v>
          </cell>
          <cell r="P158">
            <v>0</v>
          </cell>
          <cell r="Q158" t="str">
            <v>N/A</v>
          </cell>
          <cell r="R158" t="str">
            <v>No</v>
          </cell>
          <cell r="S158" t="str">
            <v>No</v>
          </cell>
          <cell r="T158" t="str">
            <v>Yes</v>
          </cell>
        </row>
        <row r="159">
          <cell r="M159" t="str">
            <v>Side ChannelsReveal1.1nm 12v Acmeda Short Motor</v>
          </cell>
          <cell r="N159">
            <v>10</v>
          </cell>
          <cell r="O159" t="str">
            <v>N/A</v>
          </cell>
          <cell r="P159" t="str">
            <v>N/A</v>
          </cell>
          <cell r="Q159">
            <v>60</v>
          </cell>
          <cell r="R159" t="str">
            <v>N/A</v>
          </cell>
          <cell r="S159" t="str">
            <v>No</v>
          </cell>
          <cell r="T159" t="str">
            <v>N/A</v>
          </cell>
        </row>
        <row r="160">
          <cell r="M160" t="str">
            <v>Zipscreen HoodingReveal1.1nm 12v Acmeda Short Motor</v>
          </cell>
          <cell r="N160">
            <v>17</v>
          </cell>
          <cell r="O160">
            <v>66</v>
          </cell>
          <cell r="P160">
            <v>66</v>
          </cell>
          <cell r="Q160" t="str">
            <v>N/A</v>
          </cell>
          <cell r="R160" t="str">
            <v>N/A</v>
          </cell>
          <cell r="S160" t="str">
            <v>No</v>
          </cell>
          <cell r="T160" t="str">
            <v>N/A</v>
          </cell>
        </row>
        <row r="161">
          <cell r="M161" t="str">
            <v>NoneReveal1.1nm 12v Acmeda DCRF Motor with External Battery</v>
          </cell>
          <cell r="N161">
            <v>0</v>
          </cell>
          <cell r="O161" t="str">
            <v>N/A</v>
          </cell>
          <cell r="P161" t="str">
            <v>N/A</v>
          </cell>
          <cell r="Q161" t="str">
            <v>N/A</v>
          </cell>
          <cell r="R161" t="str">
            <v>N/A</v>
          </cell>
          <cell r="S161" t="str">
            <v>No</v>
          </cell>
          <cell r="T161" t="str">
            <v>N/A</v>
          </cell>
        </row>
        <row r="162">
          <cell r="M162" t="str">
            <v>Straight Upholstered PelmetReveal1.1nm 12v Acmeda DCRF Motor with External Battery</v>
          </cell>
          <cell r="N162">
            <v>0</v>
          </cell>
          <cell r="O162" t="str">
            <v>N/A</v>
          </cell>
          <cell r="P162" t="str">
            <v>N/A</v>
          </cell>
          <cell r="Q162" t="str">
            <v>N/A</v>
          </cell>
          <cell r="R162" t="str">
            <v>N/A</v>
          </cell>
          <cell r="S162" t="str">
            <v>No</v>
          </cell>
          <cell r="T162" t="str">
            <v>N/A</v>
          </cell>
        </row>
        <row r="163">
          <cell r="M163" t="str">
            <v>Shaped Upholstered PelmetReveal1.1nm 12v Acmeda DCRF Motor with External Battery</v>
          </cell>
          <cell r="N163">
            <v>0</v>
          </cell>
          <cell r="O163" t="str">
            <v>N/A</v>
          </cell>
          <cell r="P163" t="str">
            <v>N/A</v>
          </cell>
          <cell r="Q163" t="str">
            <v>N/A</v>
          </cell>
          <cell r="R163" t="str">
            <v>N/A</v>
          </cell>
          <cell r="S163" t="str">
            <v>No</v>
          </cell>
          <cell r="T163" t="str">
            <v>N/A</v>
          </cell>
        </row>
        <row r="164">
          <cell r="M164" t="str">
            <v>Aluminium PelmetReveal1.1nm 12v Acmeda DCRF Motor with External Battery</v>
          </cell>
          <cell r="N164">
            <v>0</v>
          </cell>
          <cell r="O164">
            <v>0</v>
          </cell>
          <cell r="P164" t="str">
            <v>N/A</v>
          </cell>
          <cell r="Q164" t="str">
            <v>N/A</v>
          </cell>
          <cell r="R164" t="str">
            <v>No</v>
          </cell>
          <cell r="S164" t="str">
            <v>No</v>
          </cell>
          <cell r="T164" t="str">
            <v>Yes</v>
          </cell>
        </row>
        <row r="165">
          <cell r="M165" t="str">
            <v>Square CassetteReveal1.1nm 12v Acmeda DCRF Motor with External Battery</v>
          </cell>
          <cell r="N165">
            <v>10</v>
          </cell>
          <cell r="O165">
            <v>14</v>
          </cell>
          <cell r="P165">
            <v>14</v>
          </cell>
          <cell r="Q165" t="str">
            <v>N/A</v>
          </cell>
          <cell r="R165" t="str">
            <v>No</v>
          </cell>
          <cell r="S165" t="str">
            <v>No</v>
          </cell>
          <cell r="T165" t="str">
            <v>No</v>
          </cell>
        </row>
        <row r="166">
          <cell r="M166" t="str">
            <v>Square Cassette with Side ChannelsReveal1.1nm 12v Acmeda DCRF Motor with External Battery</v>
          </cell>
          <cell r="N166">
            <v>10</v>
          </cell>
          <cell r="O166">
            <v>14</v>
          </cell>
          <cell r="P166">
            <v>14</v>
          </cell>
          <cell r="Q166">
            <v>88</v>
          </cell>
          <cell r="R166" t="str">
            <v>No</v>
          </cell>
          <cell r="S166" t="str">
            <v>Yes</v>
          </cell>
          <cell r="T166" t="str">
            <v>No</v>
          </cell>
        </row>
        <row r="167">
          <cell r="M167" t="str">
            <v>Round CassetteReveal1.1nm 12v Acmeda DCRF Motor with External Battery</v>
          </cell>
          <cell r="N167">
            <v>10</v>
          </cell>
          <cell r="O167">
            <v>14</v>
          </cell>
          <cell r="P167">
            <v>14</v>
          </cell>
          <cell r="Q167" t="str">
            <v>N/A</v>
          </cell>
          <cell r="R167" t="str">
            <v>No</v>
          </cell>
          <cell r="S167" t="str">
            <v>No</v>
          </cell>
          <cell r="T167" t="str">
            <v>No</v>
          </cell>
        </row>
        <row r="168">
          <cell r="M168" t="str">
            <v>Round Cassette with Side ChannelsReveal1.1nm 12v Acmeda DCRF Motor with External Battery</v>
          </cell>
          <cell r="N168">
            <v>10</v>
          </cell>
          <cell r="O168">
            <v>14</v>
          </cell>
          <cell r="P168">
            <v>14</v>
          </cell>
          <cell r="Q168">
            <v>88</v>
          </cell>
          <cell r="R168" t="str">
            <v>No</v>
          </cell>
          <cell r="S168" t="str">
            <v>Yes</v>
          </cell>
          <cell r="T168" t="str">
            <v>No</v>
          </cell>
        </row>
        <row r="169">
          <cell r="M169" t="str">
            <v>Aluminium ValanceReveal1.1nm 12v Acmeda DCRF Motor with External Battery</v>
          </cell>
          <cell r="N169">
            <v>0</v>
          </cell>
          <cell r="O169" t="str">
            <v>N/A</v>
          </cell>
          <cell r="P169">
            <v>0</v>
          </cell>
          <cell r="Q169" t="str">
            <v>N/A</v>
          </cell>
          <cell r="R169" t="str">
            <v>No</v>
          </cell>
          <cell r="S169" t="str">
            <v>No</v>
          </cell>
          <cell r="T169" t="str">
            <v>Yes</v>
          </cell>
        </row>
        <row r="170">
          <cell r="M170" t="str">
            <v>Aluminium Valance - Fabric CoveredReveal1.1nm 12v Acmeda DCRF Motor with External Battery</v>
          </cell>
          <cell r="N170">
            <v>0</v>
          </cell>
          <cell r="O170" t="str">
            <v>N/A</v>
          </cell>
          <cell r="P170">
            <v>0</v>
          </cell>
          <cell r="Q170" t="str">
            <v>N/A</v>
          </cell>
          <cell r="R170" t="str">
            <v>No</v>
          </cell>
          <cell r="S170" t="str">
            <v>No</v>
          </cell>
          <cell r="T170" t="str">
            <v>Yes</v>
          </cell>
        </row>
        <row r="171">
          <cell r="M171" t="str">
            <v>Side ChannelsReveal1.1nm 12v Acmeda DCRF Motor with External Battery</v>
          </cell>
          <cell r="N171">
            <v>10</v>
          </cell>
          <cell r="O171" t="str">
            <v>N/A</v>
          </cell>
          <cell r="P171" t="str">
            <v>N/A</v>
          </cell>
          <cell r="Q171">
            <v>60</v>
          </cell>
          <cell r="R171" t="str">
            <v>N/A</v>
          </cell>
          <cell r="S171" t="str">
            <v>No</v>
          </cell>
          <cell r="T171" t="str">
            <v>N/A</v>
          </cell>
        </row>
        <row r="172">
          <cell r="M172" t="str">
            <v>Zipscreen HoodingReveal1.1nm 12v Acmeda DCRF Motor with External Battery</v>
          </cell>
          <cell r="N172">
            <v>17</v>
          </cell>
          <cell r="O172">
            <v>66</v>
          </cell>
          <cell r="P172">
            <v>66</v>
          </cell>
          <cell r="Q172" t="str">
            <v>N/A</v>
          </cell>
          <cell r="R172" t="str">
            <v>N/A</v>
          </cell>
          <cell r="S172" t="str">
            <v>No</v>
          </cell>
          <cell r="T172" t="str">
            <v>N/A</v>
          </cell>
        </row>
        <row r="173">
          <cell r="M173" t="str">
            <v>NoneReveal1.1nm 12v Acmeda DCRF Motor</v>
          </cell>
          <cell r="N173">
            <v>0</v>
          </cell>
          <cell r="O173" t="str">
            <v>N/A</v>
          </cell>
          <cell r="P173" t="str">
            <v>N/A</v>
          </cell>
          <cell r="Q173" t="str">
            <v>N/A</v>
          </cell>
          <cell r="R173" t="str">
            <v>N/A</v>
          </cell>
          <cell r="S173" t="str">
            <v>No</v>
          </cell>
          <cell r="T173" t="str">
            <v>N/A</v>
          </cell>
        </row>
        <row r="174">
          <cell r="M174" t="str">
            <v>Straight Upholstered PelmetReveal1.1nm 12v Acmeda DCRF Motor</v>
          </cell>
          <cell r="N174">
            <v>0</v>
          </cell>
          <cell r="O174" t="str">
            <v>N/A</v>
          </cell>
          <cell r="P174" t="str">
            <v>N/A</v>
          </cell>
          <cell r="Q174" t="str">
            <v>N/A</v>
          </cell>
          <cell r="R174" t="str">
            <v>N/A</v>
          </cell>
          <cell r="S174" t="str">
            <v>No</v>
          </cell>
          <cell r="T174" t="str">
            <v>N/A</v>
          </cell>
        </row>
        <row r="175">
          <cell r="M175" t="str">
            <v>Shaped Upholstered PelmetReveal1.1nm 12v Acmeda DCRF Motor</v>
          </cell>
          <cell r="N175">
            <v>0</v>
          </cell>
          <cell r="O175" t="str">
            <v>N/A</v>
          </cell>
          <cell r="P175" t="str">
            <v>N/A</v>
          </cell>
          <cell r="Q175" t="str">
            <v>N/A</v>
          </cell>
          <cell r="R175" t="str">
            <v>N/A</v>
          </cell>
          <cell r="S175" t="str">
            <v>No</v>
          </cell>
          <cell r="T175" t="str">
            <v>N/A</v>
          </cell>
        </row>
        <row r="176">
          <cell r="M176" t="str">
            <v>Aluminium PelmetReveal1.1nm 12v Acmeda DCRF Motor</v>
          </cell>
          <cell r="N176">
            <v>0</v>
          </cell>
          <cell r="O176">
            <v>0</v>
          </cell>
          <cell r="P176" t="str">
            <v>N/A</v>
          </cell>
          <cell r="Q176" t="str">
            <v>N/A</v>
          </cell>
          <cell r="R176" t="str">
            <v>No</v>
          </cell>
          <cell r="S176" t="str">
            <v>No</v>
          </cell>
          <cell r="T176" t="str">
            <v>Yes</v>
          </cell>
        </row>
        <row r="177">
          <cell r="M177" t="str">
            <v>Square CassetteReveal1.1nm 12v Acmeda DCRF Motor</v>
          </cell>
          <cell r="N177">
            <v>10</v>
          </cell>
          <cell r="O177">
            <v>14</v>
          </cell>
          <cell r="P177">
            <v>14</v>
          </cell>
          <cell r="Q177" t="str">
            <v>N/A</v>
          </cell>
          <cell r="R177" t="str">
            <v>No</v>
          </cell>
          <cell r="S177" t="str">
            <v>No</v>
          </cell>
          <cell r="T177" t="str">
            <v>No</v>
          </cell>
        </row>
        <row r="178">
          <cell r="M178" t="str">
            <v>Square Cassette with Side ChannelsReveal1.1nm 12v Acmeda DCRF Motor</v>
          </cell>
          <cell r="N178">
            <v>10</v>
          </cell>
          <cell r="O178">
            <v>14</v>
          </cell>
          <cell r="P178">
            <v>14</v>
          </cell>
          <cell r="Q178">
            <v>88</v>
          </cell>
          <cell r="R178" t="str">
            <v>No</v>
          </cell>
          <cell r="S178" t="str">
            <v>Yes</v>
          </cell>
          <cell r="T178" t="str">
            <v>No</v>
          </cell>
        </row>
        <row r="179">
          <cell r="M179" t="str">
            <v>Round CassetteReveal1.1nm 12v Acmeda DCRF Motor</v>
          </cell>
          <cell r="N179">
            <v>10</v>
          </cell>
          <cell r="O179">
            <v>14</v>
          </cell>
          <cell r="P179">
            <v>14</v>
          </cell>
          <cell r="Q179" t="str">
            <v>N/A</v>
          </cell>
          <cell r="R179" t="str">
            <v>No</v>
          </cell>
          <cell r="S179" t="str">
            <v>No</v>
          </cell>
          <cell r="T179" t="str">
            <v>No</v>
          </cell>
        </row>
        <row r="180">
          <cell r="M180" t="str">
            <v>Round Cassette with Side ChannelsReveal1.1nm 12v Acmeda DCRF Motor</v>
          </cell>
          <cell r="N180">
            <v>10</v>
          </cell>
          <cell r="O180">
            <v>14</v>
          </cell>
          <cell r="P180">
            <v>14</v>
          </cell>
          <cell r="Q180">
            <v>88</v>
          </cell>
          <cell r="R180" t="str">
            <v>No</v>
          </cell>
          <cell r="S180" t="str">
            <v>Yes</v>
          </cell>
          <cell r="T180" t="str">
            <v>No</v>
          </cell>
        </row>
        <row r="181">
          <cell r="M181" t="str">
            <v>Aluminium ValanceReveal1.1nm 12v Acmeda DCRF Motor</v>
          </cell>
          <cell r="N181">
            <v>0</v>
          </cell>
          <cell r="O181" t="str">
            <v>N/A</v>
          </cell>
          <cell r="P181">
            <v>0</v>
          </cell>
          <cell r="Q181" t="str">
            <v>N/A</v>
          </cell>
          <cell r="R181" t="str">
            <v>No</v>
          </cell>
          <cell r="S181" t="str">
            <v>No</v>
          </cell>
          <cell r="T181" t="str">
            <v>Yes</v>
          </cell>
        </row>
        <row r="182">
          <cell r="M182" t="str">
            <v>Aluminium Valance - Fabric CoveredReveal1.1nm 12v Acmeda DCRF Motor</v>
          </cell>
          <cell r="N182">
            <v>0</v>
          </cell>
          <cell r="O182" t="str">
            <v>N/A</v>
          </cell>
          <cell r="P182">
            <v>0</v>
          </cell>
          <cell r="Q182" t="str">
            <v>N/A</v>
          </cell>
          <cell r="R182" t="str">
            <v>No</v>
          </cell>
          <cell r="S182" t="str">
            <v>No</v>
          </cell>
          <cell r="T182" t="str">
            <v>Yes</v>
          </cell>
        </row>
        <row r="183">
          <cell r="M183" t="str">
            <v>Side ChannelsReveal1.1nm 12v Acmeda DCRF Motor</v>
          </cell>
          <cell r="N183">
            <v>10</v>
          </cell>
          <cell r="O183" t="str">
            <v>N/A</v>
          </cell>
          <cell r="P183" t="str">
            <v>N/A</v>
          </cell>
          <cell r="Q183">
            <v>60</v>
          </cell>
          <cell r="R183" t="str">
            <v>N/A</v>
          </cell>
          <cell r="S183" t="str">
            <v>No</v>
          </cell>
          <cell r="T183" t="str">
            <v>N/A</v>
          </cell>
        </row>
        <row r="184">
          <cell r="M184" t="str">
            <v>Zipscreen HoodingReveal1.1nm 12v Acmeda DCRF Motor</v>
          </cell>
          <cell r="N184">
            <v>17</v>
          </cell>
          <cell r="O184">
            <v>66</v>
          </cell>
          <cell r="P184">
            <v>66</v>
          </cell>
          <cell r="Q184" t="str">
            <v>N/A</v>
          </cell>
          <cell r="R184" t="str">
            <v>N/A</v>
          </cell>
          <cell r="S184" t="str">
            <v>No</v>
          </cell>
          <cell r="T184" t="str">
            <v>N/A</v>
          </cell>
        </row>
        <row r="185">
          <cell r="M185" t="str">
            <v>NoneReveal2nm 12v Acmeda DCRF Motor</v>
          </cell>
          <cell r="N185">
            <v>0</v>
          </cell>
          <cell r="O185" t="str">
            <v>N/A</v>
          </cell>
          <cell r="P185" t="str">
            <v>N/A</v>
          </cell>
          <cell r="Q185" t="str">
            <v>N/A</v>
          </cell>
          <cell r="R185" t="str">
            <v>N/A</v>
          </cell>
          <cell r="S185" t="str">
            <v>No</v>
          </cell>
          <cell r="T185" t="str">
            <v>N/A</v>
          </cell>
        </row>
        <row r="186">
          <cell r="M186" t="str">
            <v>Straight Upholstered PelmetReveal2nm 12v Acmeda DCRF Motor</v>
          </cell>
          <cell r="N186">
            <v>0</v>
          </cell>
          <cell r="O186" t="str">
            <v>N/A</v>
          </cell>
          <cell r="P186" t="str">
            <v>N/A</v>
          </cell>
          <cell r="Q186" t="str">
            <v>N/A</v>
          </cell>
          <cell r="R186" t="str">
            <v>N/A</v>
          </cell>
          <cell r="S186" t="str">
            <v>No</v>
          </cell>
          <cell r="T186" t="str">
            <v>N/A</v>
          </cell>
        </row>
        <row r="187">
          <cell r="M187" t="str">
            <v>Shaped Upholstered PelmetReveal2nm 12v Acmeda DCRF Motor</v>
          </cell>
          <cell r="N187">
            <v>0</v>
          </cell>
          <cell r="O187" t="str">
            <v>N/A</v>
          </cell>
          <cell r="P187" t="str">
            <v>N/A</v>
          </cell>
          <cell r="Q187" t="str">
            <v>N/A</v>
          </cell>
          <cell r="R187" t="str">
            <v>N/A</v>
          </cell>
          <cell r="S187" t="str">
            <v>No</v>
          </cell>
          <cell r="T187" t="str">
            <v>N/A</v>
          </cell>
        </row>
        <row r="188">
          <cell r="M188" t="str">
            <v>Aluminium PelmetReveal2nm 12v Acmeda DCRF Motor</v>
          </cell>
          <cell r="N188">
            <v>0</v>
          </cell>
          <cell r="O188">
            <v>0</v>
          </cell>
          <cell r="P188" t="str">
            <v>N/A</v>
          </cell>
          <cell r="Q188" t="str">
            <v>N/A</v>
          </cell>
          <cell r="R188" t="str">
            <v>No</v>
          </cell>
          <cell r="S188" t="str">
            <v>No</v>
          </cell>
          <cell r="T188" t="str">
            <v>Yes</v>
          </cell>
        </row>
        <row r="189">
          <cell r="M189" t="str">
            <v>Square CassetteReveal2nm 12v Acmeda DCRF Motor</v>
          </cell>
          <cell r="N189">
            <v>10</v>
          </cell>
          <cell r="O189">
            <v>14</v>
          </cell>
          <cell r="P189">
            <v>14</v>
          </cell>
          <cell r="Q189" t="str">
            <v>N/A</v>
          </cell>
          <cell r="R189" t="str">
            <v>No</v>
          </cell>
          <cell r="S189" t="str">
            <v>No</v>
          </cell>
          <cell r="T189" t="str">
            <v>No</v>
          </cell>
        </row>
        <row r="190">
          <cell r="M190" t="str">
            <v>Square Cassette with Side ChannelsReveal2nm 12v Acmeda DCRF Motor</v>
          </cell>
          <cell r="N190">
            <v>10</v>
          </cell>
          <cell r="O190">
            <v>14</v>
          </cell>
          <cell r="P190">
            <v>14</v>
          </cell>
          <cell r="Q190">
            <v>88</v>
          </cell>
          <cell r="R190" t="str">
            <v>No</v>
          </cell>
          <cell r="S190" t="str">
            <v>Yes</v>
          </cell>
          <cell r="T190" t="str">
            <v>No</v>
          </cell>
        </row>
        <row r="191">
          <cell r="M191" t="str">
            <v>Round CassetteReveal2nm 12v Acmeda DCRF Motor</v>
          </cell>
          <cell r="N191">
            <v>10</v>
          </cell>
          <cell r="O191">
            <v>14</v>
          </cell>
          <cell r="P191">
            <v>14</v>
          </cell>
          <cell r="Q191" t="str">
            <v>N/A</v>
          </cell>
          <cell r="R191" t="str">
            <v>No</v>
          </cell>
          <cell r="S191" t="str">
            <v>No</v>
          </cell>
          <cell r="T191" t="str">
            <v>No</v>
          </cell>
        </row>
        <row r="192">
          <cell r="M192" t="str">
            <v>Round Cassette with Side ChannelsReveal2nm 12v Acmeda DCRF Motor</v>
          </cell>
          <cell r="N192">
            <v>10</v>
          </cell>
          <cell r="O192">
            <v>14</v>
          </cell>
          <cell r="P192">
            <v>14</v>
          </cell>
          <cell r="Q192">
            <v>88</v>
          </cell>
          <cell r="R192" t="str">
            <v>No</v>
          </cell>
          <cell r="S192" t="str">
            <v>Yes</v>
          </cell>
          <cell r="T192" t="str">
            <v>No</v>
          </cell>
        </row>
        <row r="193">
          <cell r="M193" t="str">
            <v>Aluminium ValanceReveal2nm 12v Acmeda DCRF Motor</v>
          </cell>
          <cell r="N193">
            <v>0</v>
          </cell>
          <cell r="O193" t="str">
            <v>N/A</v>
          </cell>
          <cell r="P193">
            <v>0</v>
          </cell>
          <cell r="Q193" t="str">
            <v>N/A</v>
          </cell>
          <cell r="R193" t="str">
            <v>No</v>
          </cell>
          <cell r="S193" t="str">
            <v>No</v>
          </cell>
          <cell r="T193" t="str">
            <v>Yes</v>
          </cell>
        </row>
        <row r="194">
          <cell r="M194" t="str">
            <v>Aluminium Valance - Fabric CoveredReveal2nm 12v Acmeda DCRF Motor</v>
          </cell>
          <cell r="N194">
            <v>0</v>
          </cell>
          <cell r="O194" t="str">
            <v>N/A</v>
          </cell>
          <cell r="P194">
            <v>0</v>
          </cell>
          <cell r="Q194" t="str">
            <v>N/A</v>
          </cell>
          <cell r="R194" t="str">
            <v>No</v>
          </cell>
          <cell r="S194" t="str">
            <v>No</v>
          </cell>
          <cell r="T194" t="str">
            <v>Yes</v>
          </cell>
        </row>
        <row r="195">
          <cell r="M195" t="str">
            <v>Side ChannelsReveal2nm 12v Acmeda DCRF Motor</v>
          </cell>
          <cell r="N195">
            <v>10</v>
          </cell>
          <cell r="O195" t="str">
            <v>N/A</v>
          </cell>
          <cell r="P195" t="str">
            <v>N/A</v>
          </cell>
          <cell r="Q195">
            <v>60</v>
          </cell>
          <cell r="R195" t="str">
            <v>N/A</v>
          </cell>
          <cell r="S195" t="str">
            <v>No</v>
          </cell>
          <cell r="T195" t="str">
            <v>N/A</v>
          </cell>
        </row>
        <row r="196">
          <cell r="M196" t="str">
            <v>Zipscreen HoodingReveal2nm 12v Acmeda DCRF Motor</v>
          </cell>
          <cell r="N196">
            <v>17</v>
          </cell>
          <cell r="O196">
            <v>66</v>
          </cell>
          <cell r="P196">
            <v>66</v>
          </cell>
          <cell r="Q196" t="str">
            <v>N/A</v>
          </cell>
          <cell r="R196" t="str">
            <v>N/A</v>
          </cell>
          <cell r="S196" t="str">
            <v>No</v>
          </cell>
          <cell r="T196" t="str">
            <v>N/A</v>
          </cell>
        </row>
        <row r="197">
          <cell r="M197" t="str">
            <v>NoneRevealSomfy Remote Sonesse Motor</v>
          </cell>
          <cell r="N197">
            <v>0</v>
          </cell>
          <cell r="O197" t="str">
            <v>N/A</v>
          </cell>
          <cell r="P197" t="str">
            <v>N/A</v>
          </cell>
          <cell r="Q197" t="str">
            <v>N/A</v>
          </cell>
          <cell r="R197" t="str">
            <v>N/A</v>
          </cell>
          <cell r="S197" t="str">
            <v>No</v>
          </cell>
          <cell r="T197" t="str">
            <v>N/A</v>
          </cell>
        </row>
        <row r="198">
          <cell r="M198" t="str">
            <v>Straight Upholstered PelmetRevealSomfy Remote Sonesse Motor</v>
          </cell>
          <cell r="N198">
            <v>0</v>
          </cell>
          <cell r="O198" t="str">
            <v>N/A</v>
          </cell>
          <cell r="P198" t="str">
            <v>N/A</v>
          </cell>
          <cell r="Q198" t="str">
            <v>N/A</v>
          </cell>
          <cell r="R198" t="str">
            <v>N/A</v>
          </cell>
          <cell r="S198" t="str">
            <v>No</v>
          </cell>
          <cell r="T198" t="str">
            <v>N/A</v>
          </cell>
        </row>
        <row r="199">
          <cell r="M199" t="str">
            <v>Shaped Upholstered PelmetRevealSomfy Remote Sonesse Motor</v>
          </cell>
          <cell r="N199">
            <v>0</v>
          </cell>
          <cell r="O199" t="str">
            <v>N/A</v>
          </cell>
          <cell r="P199" t="str">
            <v>N/A</v>
          </cell>
          <cell r="Q199" t="str">
            <v>N/A</v>
          </cell>
          <cell r="R199" t="str">
            <v>N/A</v>
          </cell>
          <cell r="S199" t="str">
            <v>No</v>
          </cell>
          <cell r="T199" t="str">
            <v>N/A</v>
          </cell>
        </row>
        <row r="200">
          <cell r="M200" t="str">
            <v>Aluminium PelmetRevealSomfy Remote Sonesse Motor</v>
          </cell>
          <cell r="N200">
            <v>0</v>
          </cell>
          <cell r="O200">
            <v>0</v>
          </cell>
          <cell r="P200" t="str">
            <v>N/A</v>
          </cell>
          <cell r="Q200" t="str">
            <v>N/A</v>
          </cell>
          <cell r="R200" t="str">
            <v>No</v>
          </cell>
          <cell r="S200" t="str">
            <v>No</v>
          </cell>
          <cell r="T200" t="str">
            <v>Yes</v>
          </cell>
        </row>
        <row r="201">
          <cell r="M201" t="str">
            <v>Square CassetteRevealSomfy Remote Sonesse Motor</v>
          </cell>
          <cell r="N201">
            <v>10</v>
          </cell>
          <cell r="O201">
            <v>14</v>
          </cell>
          <cell r="P201">
            <v>14</v>
          </cell>
          <cell r="Q201" t="str">
            <v>N/A</v>
          </cell>
          <cell r="R201" t="str">
            <v>No</v>
          </cell>
          <cell r="S201" t="str">
            <v>No</v>
          </cell>
          <cell r="T201" t="str">
            <v>No</v>
          </cell>
        </row>
        <row r="202">
          <cell r="M202" t="str">
            <v>Square Cassette with Side ChannelsRevealSomfy Remote Sonesse Motor</v>
          </cell>
          <cell r="N202">
            <v>10</v>
          </cell>
          <cell r="O202">
            <v>14</v>
          </cell>
          <cell r="P202">
            <v>14</v>
          </cell>
          <cell r="Q202">
            <v>88</v>
          </cell>
          <cell r="R202" t="str">
            <v>No</v>
          </cell>
          <cell r="S202" t="str">
            <v>Yes</v>
          </cell>
          <cell r="T202" t="str">
            <v>No</v>
          </cell>
        </row>
        <row r="203">
          <cell r="M203" t="str">
            <v>Round CassetteRevealSomfy Remote Sonesse Motor</v>
          </cell>
          <cell r="N203">
            <v>10</v>
          </cell>
          <cell r="O203">
            <v>14</v>
          </cell>
          <cell r="P203">
            <v>14</v>
          </cell>
          <cell r="Q203" t="str">
            <v>N/A</v>
          </cell>
          <cell r="R203" t="str">
            <v>No</v>
          </cell>
          <cell r="S203" t="str">
            <v>No</v>
          </cell>
          <cell r="T203" t="str">
            <v>No</v>
          </cell>
        </row>
        <row r="204">
          <cell r="M204" t="str">
            <v>Round Cassette with Side ChannelsRevealSomfy Remote Sonesse Motor</v>
          </cell>
          <cell r="N204">
            <v>10</v>
          </cell>
          <cell r="O204">
            <v>14</v>
          </cell>
          <cell r="P204">
            <v>14</v>
          </cell>
          <cell r="Q204">
            <v>88</v>
          </cell>
          <cell r="R204" t="str">
            <v>No</v>
          </cell>
          <cell r="S204" t="str">
            <v>Yes</v>
          </cell>
          <cell r="T204" t="str">
            <v>No</v>
          </cell>
        </row>
        <row r="205">
          <cell r="M205" t="str">
            <v>Aluminium ValanceRevealSomfy Remote Sonesse Motor</v>
          </cell>
          <cell r="N205">
            <v>0</v>
          </cell>
          <cell r="O205" t="str">
            <v>N/A</v>
          </cell>
          <cell r="P205">
            <v>0</v>
          </cell>
          <cell r="Q205" t="str">
            <v>N/A</v>
          </cell>
          <cell r="R205" t="str">
            <v>No</v>
          </cell>
          <cell r="S205" t="str">
            <v>No</v>
          </cell>
          <cell r="T205" t="str">
            <v>Yes</v>
          </cell>
        </row>
        <row r="206">
          <cell r="M206" t="str">
            <v>Aluminium Valance - Fabric CoveredRevealSomfy Remote Sonesse Motor</v>
          </cell>
          <cell r="N206">
            <v>0</v>
          </cell>
          <cell r="O206" t="str">
            <v>N/A</v>
          </cell>
          <cell r="P206">
            <v>0</v>
          </cell>
          <cell r="Q206" t="str">
            <v>N/A</v>
          </cell>
          <cell r="R206" t="str">
            <v>No</v>
          </cell>
          <cell r="S206" t="str">
            <v>No</v>
          </cell>
          <cell r="T206" t="str">
            <v>Yes</v>
          </cell>
        </row>
        <row r="207">
          <cell r="M207" t="str">
            <v>Side ChannelsRevealSomfy Remote Sonesse Motor</v>
          </cell>
          <cell r="N207">
            <v>10</v>
          </cell>
          <cell r="O207" t="str">
            <v>N/A</v>
          </cell>
          <cell r="P207" t="str">
            <v>N/A</v>
          </cell>
          <cell r="Q207">
            <v>60</v>
          </cell>
          <cell r="R207" t="str">
            <v>N/A</v>
          </cell>
          <cell r="S207" t="str">
            <v>No</v>
          </cell>
          <cell r="T207" t="str">
            <v>N/A</v>
          </cell>
        </row>
        <row r="208">
          <cell r="M208" t="str">
            <v>Zipscreen HoodingRevealSomfy Remote Sonesse Motor</v>
          </cell>
          <cell r="N208">
            <v>17</v>
          </cell>
          <cell r="O208">
            <v>66</v>
          </cell>
          <cell r="P208">
            <v>66</v>
          </cell>
          <cell r="Q208" t="str">
            <v>N/A</v>
          </cell>
          <cell r="R208" t="str">
            <v>N/A</v>
          </cell>
          <cell r="S208" t="str">
            <v>No</v>
          </cell>
          <cell r="T208" t="str">
            <v>N/A</v>
          </cell>
        </row>
        <row r="209">
          <cell r="M209" t="str">
            <v>NoneRevealSomfy 12v Remote Sonesse Motor</v>
          </cell>
          <cell r="N209">
            <v>0</v>
          </cell>
          <cell r="O209" t="str">
            <v>N/A</v>
          </cell>
          <cell r="P209" t="str">
            <v>N/A</v>
          </cell>
          <cell r="Q209" t="str">
            <v>N/A</v>
          </cell>
          <cell r="R209" t="str">
            <v>N/A</v>
          </cell>
          <cell r="S209" t="str">
            <v>No</v>
          </cell>
          <cell r="T209" t="str">
            <v>N/A</v>
          </cell>
        </row>
        <row r="210">
          <cell r="M210" t="str">
            <v>Straight Upholstered PelmetRevealSomfy 12v Remote Sonesse Motor</v>
          </cell>
          <cell r="N210">
            <v>0</v>
          </cell>
          <cell r="O210" t="str">
            <v>N/A</v>
          </cell>
          <cell r="P210" t="str">
            <v>N/A</v>
          </cell>
          <cell r="Q210" t="str">
            <v>N/A</v>
          </cell>
          <cell r="R210" t="str">
            <v>N/A</v>
          </cell>
          <cell r="S210" t="str">
            <v>No</v>
          </cell>
          <cell r="T210" t="str">
            <v>N/A</v>
          </cell>
        </row>
        <row r="211">
          <cell r="M211" t="str">
            <v>Shaped Upholstered PelmetRevealSomfy 12v Remote Sonesse Motor</v>
          </cell>
          <cell r="N211">
            <v>0</v>
          </cell>
          <cell r="O211" t="str">
            <v>N/A</v>
          </cell>
          <cell r="P211" t="str">
            <v>N/A</v>
          </cell>
          <cell r="Q211" t="str">
            <v>N/A</v>
          </cell>
          <cell r="R211" t="str">
            <v>N/A</v>
          </cell>
          <cell r="S211" t="str">
            <v>No</v>
          </cell>
          <cell r="T211" t="str">
            <v>N/A</v>
          </cell>
        </row>
        <row r="212">
          <cell r="M212" t="str">
            <v>Aluminium PelmetRevealSomfy 12v Remote Sonesse Motor</v>
          </cell>
          <cell r="N212">
            <v>0</v>
          </cell>
          <cell r="O212">
            <v>0</v>
          </cell>
          <cell r="P212" t="str">
            <v>N/A</v>
          </cell>
          <cell r="Q212" t="str">
            <v>N/A</v>
          </cell>
          <cell r="R212" t="str">
            <v>No</v>
          </cell>
          <cell r="S212" t="str">
            <v>No</v>
          </cell>
          <cell r="T212" t="str">
            <v>Yes</v>
          </cell>
        </row>
        <row r="213">
          <cell r="M213" t="str">
            <v>Square CassetteRevealSomfy 12v Remote Sonesse Motor</v>
          </cell>
          <cell r="N213">
            <v>10</v>
          </cell>
          <cell r="O213">
            <v>14</v>
          </cell>
          <cell r="P213">
            <v>14</v>
          </cell>
          <cell r="Q213" t="str">
            <v>N/A</v>
          </cell>
          <cell r="R213" t="str">
            <v>No</v>
          </cell>
          <cell r="S213" t="str">
            <v>No</v>
          </cell>
          <cell r="T213" t="str">
            <v>No</v>
          </cell>
        </row>
        <row r="214">
          <cell r="M214" t="str">
            <v>Square Cassette with Side ChannelsRevealSomfy 12v Remote Sonesse Motor</v>
          </cell>
          <cell r="N214">
            <v>10</v>
          </cell>
          <cell r="O214">
            <v>14</v>
          </cell>
          <cell r="P214">
            <v>14</v>
          </cell>
          <cell r="Q214">
            <v>88</v>
          </cell>
          <cell r="R214" t="str">
            <v>No</v>
          </cell>
          <cell r="S214" t="str">
            <v>Yes</v>
          </cell>
          <cell r="T214" t="str">
            <v>No</v>
          </cell>
        </row>
        <row r="215">
          <cell r="M215" t="str">
            <v>Round CassetteRevealSomfy 12v Remote Sonesse Motor</v>
          </cell>
          <cell r="N215">
            <v>10</v>
          </cell>
          <cell r="O215">
            <v>14</v>
          </cell>
          <cell r="P215">
            <v>14</v>
          </cell>
          <cell r="Q215" t="str">
            <v>N/A</v>
          </cell>
          <cell r="R215" t="str">
            <v>No</v>
          </cell>
          <cell r="S215" t="str">
            <v>No</v>
          </cell>
          <cell r="T215" t="str">
            <v>No</v>
          </cell>
        </row>
        <row r="216">
          <cell r="M216" t="str">
            <v>Round Cassette with Side ChannelsRevealSomfy 12v Remote Sonesse Motor</v>
          </cell>
          <cell r="N216">
            <v>10</v>
          </cell>
          <cell r="O216">
            <v>14</v>
          </cell>
          <cell r="P216">
            <v>14</v>
          </cell>
          <cell r="Q216">
            <v>88</v>
          </cell>
          <cell r="R216" t="str">
            <v>No</v>
          </cell>
          <cell r="S216" t="str">
            <v>Yes</v>
          </cell>
          <cell r="T216" t="str">
            <v>No</v>
          </cell>
        </row>
        <row r="217">
          <cell r="M217" t="str">
            <v>Aluminium ValanceRevealSomfy 12v Remote Sonesse Motor</v>
          </cell>
          <cell r="N217">
            <v>0</v>
          </cell>
          <cell r="O217" t="str">
            <v>N/A</v>
          </cell>
          <cell r="P217">
            <v>0</v>
          </cell>
          <cell r="Q217" t="str">
            <v>N/A</v>
          </cell>
          <cell r="R217" t="str">
            <v>No</v>
          </cell>
          <cell r="S217" t="str">
            <v>No</v>
          </cell>
          <cell r="T217" t="str">
            <v>Yes</v>
          </cell>
        </row>
        <row r="218">
          <cell r="M218" t="str">
            <v>Aluminium Valance - Fabric CoveredRevealSomfy 12v Remote Sonesse Motor</v>
          </cell>
          <cell r="N218">
            <v>0</v>
          </cell>
          <cell r="O218" t="str">
            <v>N/A</v>
          </cell>
          <cell r="P218">
            <v>0</v>
          </cell>
          <cell r="Q218" t="str">
            <v>N/A</v>
          </cell>
          <cell r="R218" t="str">
            <v>No</v>
          </cell>
          <cell r="S218" t="str">
            <v>No</v>
          </cell>
          <cell r="T218" t="str">
            <v>Yes</v>
          </cell>
        </row>
        <row r="219">
          <cell r="M219" t="str">
            <v>Side ChannelsRevealSomfy 12v Remote Sonesse Motor</v>
          </cell>
          <cell r="N219">
            <v>10</v>
          </cell>
          <cell r="O219" t="str">
            <v>N/A</v>
          </cell>
          <cell r="P219" t="str">
            <v>N/A</v>
          </cell>
          <cell r="Q219">
            <v>60</v>
          </cell>
          <cell r="R219" t="str">
            <v>N/A</v>
          </cell>
          <cell r="S219" t="str">
            <v>No</v>
          </cell>
          <cell r="T219" t="str">
            <v>N/A</v>
          </cell>
        </row>
        <row r="220">
          <cell r="M220" t="str">
            <v>Zipscreen HoodingRevealSomfy 12v Remote Sonesse Motor</v>
          </cell>
          <cell r="N220">
            <v>17</v>
          </cell>
          <cell r="O220">
            <v>66</v>
          </cell>
          <cell r="P220">
            <v>66</v>
          </cell>
          <cell r="Q220" t="str">
            <v>N/A</v>
          </cell>
          <cell r="R220" t="str">
            <v>N/A</v>
          </cell>
          <cell r="S220" t="str">
            <v>No</v>
          </cell>
          <cell r="T220" t="str">
            <v>N/A</v>
          </cell>
        </row>
        <row r="221">
          <cell r="M221" t="str">
            <v>NoneRevealSomfy CBUS Motor</v>
          </cell>
          <cell r="N221">
            <v>0</v>
          </cell>
          <cell r="O221" t="str">
            <v>N/A</v>
          </cell>
          <cell r="P221" t="str">
            <v>N/A</v>
          </cell>
          <cell r="Q221" t="str">
            <v>N/A</v>
          </cell>
          <cell r="R221" t="str">
            <v>N/A</v>
          </cell>
          <cell r="S221" t="str">
            <v>No</v>
          </cell>
          <cell r="T221" t="str">
            <v>N/A</v>
          </cell>
        </row>
        <row r="222">
          <cell r="M222" t="str">
            <v>Straight Upholstered PelmetRevealSomfy CBUS Motor</v>
          </cell>
          <cell r="N222">
            <v>0</v>
          </cell>
          <cell r="O222" t="str">
            <v>N/A</v>
          </cell>
          <cell r="P222" t="str">
            <v>N/A</v>
          </cell>
          <cell r="Q222" t="str">
            <v>N/A</v>
          </cell>
          <cell r="R222" t="str">
            <v>N/A</v>
          </cell>
          <cell r="S222" t="str">
            <v>No</v>
          </cell>
          <cell r="T222" t="str">
            <v>N/A</v>
          </cell>
        </row>
        <row r="223">
          <cell r="M223" t="str">
            <v>Shaped Upholstered PelmetRevealSomfy CBUS Motor</v>
          </cell>
          <cell r="N223">
            <v>0</v>
          </cell>
          <cell r="O223" t="str">
            <v>N/A</v>
          </cell>
          <cell r="P223" t="str">
            <v>N/A</v>
          </cell>
          <cell r="Q223" t="str">
            <v>N/A</v>
          </cell>
          <cell r="R223" t="str">
            <v>N/A</v>
          </cell>
          <cell r="S223" t="str">
            <v>No</v>
          </cell>
          <cell r="T223" t="str">
            <v>N/A</v>
          </cell>
        </row>
        <row r="224">
          <cell r="M224" t="str">
            <v>Aluminium PelmetRevealSomfy CBUS Motor</v>
          </cell>
          <cell r="N224">
            <v>0</v>
          </cell>
          <cell r="O224">
            <v>0</v>
          </cell>
          <cell r="P224" t="str">
            <v>N/A</v>
          </cell>
          <cell r="Q224" t="str">
            <v>N/A</v>
          </cell>
          <cell r="R224" t="str">
            <v>No</v>
          </cell>
          <cell r="S224" t="str">
            <v>No</v>
          </cell>
          <cell r="T224" t="str">
            <v>Yes</v>
          </cell>
        </row>
        <row r="225">
          <cell r="M225" t="str">
            <v>Square CassetteRevealSomfy CBUS Motor</v>
          </cell>
          <cell r="N225">
            <v>10</v>
          </cell>
          <cell r="O225">
            <v>14</v>
          </cell>
          <cell r="P225">
            <v>14</v>
          </cell>
          <cell r="Q225" t="str">
            <v>N/A</v>
          </cell>
          <cell r="R225" t="str">
            <v>No</v>
          </cell>
          <cell r="S225" t="str">
            <v>No</v>
          </cell>
          <cell r="T225" t="str">
            <v>No</v>
          </cell>
        </row>
        <row r="226">
          <cell r="M226" t="str">
            <v>Square Cassette with Side ChannelsRevealSomfy CBUS Motor</v>
          </cell>
          <cell r="N226">
            <v>10</v>
          </cell>
          <cell r="O226">
            <v>14</v>
          </cell>
          <cell r="P226">
            <v>14</v>
          </cell>
          <cell r="Q226">
            <v>88</v>
          </cell>
          <cell r="R226" t="str">
            <v>No</v>
          </cell>
          <cell r="S226" t="str">
            <v>Yes</v>
          </cell>
          <cell r="T226" t="str">
            <v>No</v>
          </cell>
        </row>
        <row r="227">
          <cell r="M227" t="str">
            <v>Round CassetteRevealSomfy CBUS Motor</v>
          </cell>
          <cell r="N227">
            <v>10</v>
          </cell>
          <cell r="O227">
            <v>14</v>
          </cell>
          <cell r="P227">
            <v>14</v>
          </cell>
          <cell r="Q227" t="str">
            <v>N/A</v>
          </cell>
          <cell r="R227" t="str">
            <v>No</v>
          </cell>
          <cell r="S227" t="str">
            <v>No</v>
          </cell>
          <cell r="T227" t="str">
            <v>No</v>
          </cell>
        </row>
        <row r="228">
          <cell r="M228" t="str">
            <v>Round Cassette with Side ChannelsRevealSomfy CBUS Motor</v>
          </cell>
          <cell r="N228">
            <v>10</v>
          </cell>
          <cell r="O228">
            <v>14</v>
          </cell>
          <cell r="P228">
            <v>14</v>
          </cell>
          <cell r="Q228">
            <v>88</v>
          </cell>
          <cell r="R228" t="str">
            <v>No</v>
          </cell>
          <cell r="S228" t="str">
            <v>Yes</v>
          </cell>
          <cell r="T228" t="str">
            <v>No</v>
          </cell>
        </row>
        <row r="229">
          <cell r="M229" t="str">
            <v>Aluminium ValanceRevealSomfy CBUS Motor</v>
          </cell>
          <cell r="N229">
            <v>0</v>
          </cell>
          <cell r="O229" t="str">
            <v>N/A</v>
          </cell>
          <cell r="P229">
            <v>0</v>
          </cell>
          <cell r="Q229" t="str">
            <v>N/A</v>
          </cell>
          <cell r="R229" t="str">
            <v>No</v>
          </cell>
          <cell r="S229" t="str">
            <v>No</v>
          </cell>
          <cell r="T229" t="str">
            <v>Yes</v>
          </cell>
        </row>
        <row r="230">
          <cell r="M230" t="str">
            <v>Aluminium Valance - Fabric CoveredRevealSomfy CBUS Motor</v>
          </cell>
          <cell r="N230">
            <v>0</v>
          </cell>
          <cell r="O230" t="str">
            <v>N/A</v>
          </cell>
          <cell r="P230">
            <v>0</v>
          </cell>
          <cell r="Q230" t="str">
            <v>N/A</v>
          </cell>
          <cell r="R230" t="str">
            <v>No</v>
          </cell>
          <cell r="S230" t="str">
            <v>No</v>
          </cell>
          <cell r="T230" t="str">
            <v>Yes</v>
          </cell>
        </row>
        <row r="231">
          <cell r="M231" t="str">
            <v>Side ChannelsRevealSomfy CBUS Motor</v>
          </cell>
          <cell r="N231">
            <v>10</v>
          </cell>
          <cell r="O231" t="str">
            <v>N/A</v>
          </cell>
          <cell r="P231" t="str">
            <v>N/A</v>
          </cell>
          <cell r="Q231">
            <v>60</v>
          </cell>
          <cell r="R231" t="str">
            <v>N/A</v>
          </cell>
          <cell r="S231" t="str">
            <v>No</v>
          </cell>
          <cell r="T231" t="str">
            <v>N/A</v>
          </cell>
        </row>
        <row r="232">
          <cell r="M232" t="str">
            <v>Zipscreen HoodingRevealSomfy CBUS Motor</v>
          </cell>
          <cell r="N232">
            <v>17</v>
          </cell>
          <cell r="O232">
            <v>66</v>
          </cell>
          <cell r="P232">
            <v>66</v>
          </cell>
          <cell r="Q232" t="str">
            <v>N/A</v>
          </cell>
          <cell r="R232" t="str">
            <v>N/A</v>
          </cell>
          <cell r="S232" t="str">
            <v>No</v>
          </cell>
          <cell r="T232" t="str">
            <v>N/A</v>
          </cell>
        </row>
        <row r="233">
          <cell r="M233" t="str">
            <v>NoneRevealAcmeda E6 Motor</v>
          </cell>
          <cell r="N233">
            <v>0</v>
          </cell>
          <cell r="O233" t="str">
            <v>N/A</v>
          </cell>
          <cell r="P233" t="str">
            <v>N/A</v>
          </cell>
          <cell r="Q233" t="str">
            <v>N/A</v>
          </cell>
          <cell r="R233" t="str">
            <v>N/A</v>
          </cell>
          <cell r="S233" t="str">
            <v>No</v>
          </cell>
          <cell r="T233" t="str">
            <v>N/A</v>
          </cell>
        </row>
        <row r="234">
          <cell r="M234" t="str">
            <v>Straight Upholstered PelmetRevealAcmeda E6 Motor</v>
          </cell>
          <cell r="N234">
            <v>0</v>
          </cell>
          <cell r="O234" t="str">
            <v>N/A</v>
          </cell>
          <cell r="P234" t="str">
            <v>N/A</v>
          </cell>
          <cell r="Q234" t="str">
            <v>N/A</v>
          </cell>
          <cell r="R234" t="str">
            <v>N/A</v>
          </cell>
          <cell r="S234" t="str">
            <v>No</v>
          </cell>
          <cell r="T234" t="str">
            <v>N/A</v>
          </cell>
        </row>
        <row r="235">
          <cell r="M235" t="str">
            <v>Shaped Upholstered PelmetRevealAcmeda E6 Motor</v>
          </cell>
          <cell r="N235">
            <v>0</v>
          </cell>
          <cell r="O235" t="str">
            <v>N/A</v>
          </cell>
          <cell r="P235" t="str">
            <v>N/A</v>
          </cell>
          <cell r="Q235" t="str">
            <v>N/A</v>
          </cell>
          <cell r="R235" t="str">
            <v>N/A</v>
          </cell>
          <cell r="S235" t="str">
            <v>No</v>
          </cell>
          <cell r="T235" t="str">
            <v>N/A</v>
          </cell>
        </row>
        <row r="236">
          <cell r="M236" t="str">
            <v>Aluminium PelmetRevealAcmeda E6 Motor</v>
          </cell>
          <cell r="N236">
            <v>0</v>
          </cell>
          <cell r="O236">
            <v>0</v>
          </cell>
          <cell r="P236" t="str">
            <v>N/A</v>
          </cell>
          <cell r="Q236" t="str">
            <v>N/A</v>
          </cell>
          <cell r="R236" t="str">
            <v>No</v>
          </cell>
          <cell r="S236" t="str">
            <v>No</v>
          </cell>
          <cell r="T236" t="str">
            <v>Yes</v>
          </cell>
        </row>
        <row r="237">
          <cell r="M237" t="str">
            <v>Square CassetteRevealAcmeda E6 Motor</v>
          </cell>
          <cell r="N237">
            <v>10</v>
          </cell>
          <cell r="O237">
            <v>14</v>
          </cell>
          <cell r="P237">
            <v>14</v>
          </cell>
          <cell r="Q237" t="str">
            <v>N/A</v>
          </cell>
          <cell r="R237" t="str">
            <v>No</v>
          </cell>
          <cell r="S237" t="str">
            <v>No</v>
          </cell>
          <cell r="T237" t="str">
            <v>No</v>
          </cell>
        </row>
        <row r="238">
          <cell r="M238" t="str">
            <v>Square Cassette with Side ChannelsRevealAcmeda E6 Motor</v>
          </cell>
          <cell r="N238">
            <v>10</v>
          </cell>
          <cell r="O238">
            <v>14</v>
          </cell>
          <cell r="P238">
            <v>14</v>
          </cell>
          <cell r="Q238">
            <v>88</v>
          </cell>
          <cell r="R238" t="str">
            <v>No</v>
          </cell>
          <cell r="S238" t="str">
            <v>Yes</v>
          </cell>
          <cell r="T238" t="str">
            <v>No</v>
          </cell>
        </row>
        <row r="239">
          <cell r="M239" t="str">
            <v>Round CassetteRevealAcmeda E6 Motor</v>
          </cell>
          <cell r="N239">
            <v>10</v>
          </cell>
          <cell r="O239">
            <v>14</v>
          </cell>
          <cell r="P239">
            <v>14</v>
          </cell>
          <cell r="Q239" t="str">
            <v>N/A</v>
          </cell>
          <cell r="R239" t="str">
            <v>No</v>
          </cell>
          <cell r="S239" t="str">
            <v>No</v>
          </cell>
          <cell r="T239" t="str">
            <v>No</v>
          </cell>
        </row>
        <row r="240">
          <cell r="M240" t="str">
            <v>Round Cassette with Side ChannelsRevealAcmeda E6 Motor</v>
          </cell>
          <cell r="N240">
            <v>10</v>
          </cell>
          <cell r="O240">
            <v>14</v>
          </cell>
          <cell r="P240">
            <v>14</v>
          </cell>
          <cell r="Q240">
            <v>88</v>
          </cell>
          <cell r="R240" t="str">
            <v>No</v>
          </cell>
          <cell r="S240" t="str">
            <v>Yes</v>
          </cell>
          <cell r="T240" t="str">
            <v>No</v>
          </cell>
        </row>
        <row r="241">
          <cell r="M241" t="str">
            <v>Aluminium ValanceRevealAcmeda E6 Motor</v>
          </cell>
          <cell r="N241">
            <v>0</v>
          </cell>
          <cell r="O241" t="str">
            <v>N/A</v>
          </cell>
          <cell r="P241">
            <v>0</v>
          </cell>
          <cell r="Q241" t="str">
            <v>N/A</v>
          </cell>
          <cell r="R241" t="str">
            <v>No</v>
          </cell>
          <cell r="S241" t="str">
            <v>No</v>
          </cell>
          <cell r="T241" t="str">
            <v>Yes</v>
          </cell>
        </row>
        <row r="242">
          <cell r="M242" t="str">
            <v>Aluminium Valance - Fabric CoveredRevealAcmeda E6 Motor</v>
          </cell>
          <cell r="N242">
            <v>0</v>
          </cell>
          <cell r="O242" t="str">
            <v>N/A</v>
          </cell>
          <cell r="P242">
            <v>0</v>
          </cell>
          <cell r="Q242" t="str">
            <v>N/A</v>
          </cell>
          <cell r="R242" t="str">
            <v>No</v>
          </cell>
          <cell r="S242" t="str">
            <v>No</v>
          </cell>
          <cell r="T242" t="str">
            <v>Yes</v>
          </cell>
        </row>
        <row r="243">
          <cell r="M243" t="str">
            <v>Side ChannelsRevealAcmeda E6 Motor</v>
          </cell>
          <cell r="N243">
            <v>10</v>
          </cell>
          <cell r="O243" t="str">
            <v>N/A</v>
          </cell>
          <cell r="P243" t="str">
            <v>N/A</v>
          </cell>
          <cell r="Q243">
            <v>60</v>
          </cell>
          <cell r="R243" t="str">
            <v>N/A</v>
          </cell>
          <cell r="S243" t="str">
            <v>No</v>
          </cell>
          <cell r="T243" t="str">
            <v>N/A</v>
          </cell>
        </row>
        <row r="244">
          <cell r="M244" t="str">
            <v>Zipscreen HoodingRevealAcmeda E6 Motor</v>
          </cell>
          <cell r="N244">
            <v>17</v>
          </cell>
          <cell r="O244">
            <v>66</v>
          </cell>
          <cell r="P244">
            <v>66</v>
          </cell>
          <cell r="Q244" t="str">
            <v>N/A</v>
          </cell>
          <cell r="R244" t="str">
            <v>N/A</v>
          </cell>
          <cell r="S244" t="str">
            <v>No</v>
          </cell>
          <cell r="T244" t="str">
            <v>N/A</v>
          </cell>
        </row>
        <row r="245">
          <cell r="M245" t="str">
            <v>NoneRevealAcmeda M6 Motor</v>
          </cell>
          <cell r="N245">
            <v>0</v>
          </cell>
          <cell r="O245" t="str">
            <v>N/A</v>
          </cell>
          <cell r="P245" t="str">
            <v>N/A</v>
          </cell>
          <cell r="Q245" t="str">
            <v>N/A</v>
          </cell>
          <cell r="R245" t="str">
            <v>N/A</v>
          </cell>
          <cell r="S245" t="str">
            <v>No</v>
          </cell>
          <cell r="T245" t="str">
            <v>N/A</v>
          </cell>
        </row>
        <row r="246">
          <cell r="M246" t="str">
            <v>Straight Upholstered PelmetRevealAcmeda M6 Motor</v>
          </cell>
          <cell r="N246">
            <v>0</v>
          </cell>
          <cell r="O246" t="str">
            <v>N/A</v>
          </cell>
          <cell r="P246" t="str">
            <v>N/A</v>
          </cell>
          <cell r="Q246" t="str">
            <v>N/A</v>
          </cell>
          <cell r="R246" t="str">
            <v>N/A</v>
          </cell>
          <cell r="S246" t="str">
            <v>No</v>
          </cell>
          <cell r="T246" t="str">
            <v>N/A</v>
          </cell>
        </row>
        <row r="247">
          <cell r="M247" t="str">
            <v>Shaped Upholstered PelmetRevealAcmeda M6 Motor</v>
          </cell>
          <cell r="N247">
            <v>0</v>
          </cell>
          <cell r="O247" t="str">
            <v>N/A</v>
          </cell>
          <cell r="P247" t="str">
            <v>N/A</v>
          </cell>
          <cell r="Q247" t="str">
            <v>N/A</v>
          </cell>
          <cell r="R247" t="str">
            <v>N/A</v>
          </cell>
          <cell r="S247" t="str">
            <v>No</v>
          </cell>
          <cell r="T247" t="str">
            <v>N/A</v>
          </cell>
        </row>
        <row r="248">
          <cell r="M248" t="str">
            <v>Aluminium PelmetRevealAcmeda M6 Motor</v>
          </cell>
          <cell r="N248">
            <v>0</v>
          </cell>
          <cell r="O248">
            <v>0</v>
          </cell>
          <cell r="P248" t="str">
            <v>N/A</v>
          </cell>
          <cell r="Q248" t="str">
            <v>N/A</v>
          </cell>
          <cell r="R248" t="str">
            <v>No</v>
          </cell>
          <cell r="S248" t="str">
            <v>No</v>
          </cell>
          <cell r="T248" t="str">
            <v>Yes</v>
          </cell>
        </row>
        <row r="249">
          <cell r="M249" t="str">
            <v>Square CassetteRevealAcmeda M6 Motor</v>
          </cell>
          <cell r="N249">
            <v>10</v>
          </cell>
          <cell r="O249">
            <v>14</v>
          </cell>
          <cell r="P249">
            <v>14</v>
          </cell>
          <cell r="Q249" t="str">
            <v>N/A</v>
          </cell>
          <cell r="R249" t="str">
            <v>No</v>
          </cell>
          <cell r="S249" t="str">
            <v>No</v>
          </cell>
          <cell r="T249" t="str">
            <v>No</v>
          </cell>
        </row>
        <row r="250">
          <cell r="M250" t="str">
            <v>Square Cassette with Side ChannelsRevealAcmeda M6 Motor</v>
          </cell>
          <cell r="N250">
            <v>10</v>
          </cell>
          <cell r="O250">
            <v>14</v>
          </cell>
          <cell r="P250">
            <v>14</v>
          </cell>
          <cell r="Q250">
            <v>88</v>
          </cell>
          <cell r="R250" t="str">
            <v>No</v>
          </cell>
          <cell r="S250" t="str">
            <v>Yes</v>
          </cell>
          <cell r="T250" t="str">
            <v>No</v>
          </cell>
        </row>
        <row r="251">
          <cell r="M251" t="str">
            <v>Round CassetteRevealAcmeda M6 Motor</v>
          </cell>
          <cell r="N251">
            <v>10</v>
          </cell>
          <cell r="O251">
            <v>14</v>
          </cell>
          <cell r="P251">
            <v>14</v>
          </cell>
          <cell r="Q251" t="str">
            <v>N/A</v>
          </cell>
          <cell r="R251" t="str">
            <v>No</v>
          </cell>
          <cell r="S251" t="str">
            <v>No</v>
          </cell>
          <cell r="T251" t="str">
            <v>No</v>
          </cell>
        </row>
        <row r="252">
          <cell r="M252" t="str">
            <v>Round Cassette with Side ChannelsRevealAcmeda M6 Motor</v>
          </cell>
          <cell r="N252">
            <v>10</v>
          </cell>
          <cell r="O252">
            <v>14</v>
          </cell>
          <cell r="P252">
            <v>14</v>
          </cell>
          <cell r="Q252">
            <v>88</v>
          </cell>
          <cell r="R252" t="str">
            <v>No</v>
          </cell>
          <cell r="S252" t="str">
            <v>Yes</v>
          </cell>
          <cell r="T252" t="str">
            <v>No</v>
          </cell>
        </row>
        <row r="253">
          <cell r="M253" t="str">
            <v>Aluminium ValanceRevealAcmeda M6 Motor</v>
          </cell>
          <cell r="N253">
            <v>0</v>
          </cell>
          <cell r="O253" t="str">
            <v>N/A</v>
          </cell>
          <cell r="P253">
            <v>0</v>
          </cell>
          <cell r="Q253" t="str">
            <v>N/A</v>
          </cell>
          <cell r="R253" t="str">
            <v>No</v>
          </cell>
          <cell r="S253" t="str">
            <v>No</v>
          </cell>
          <cell r="T253" t="str">
            <v>Yes</v>
          </cell>
        </row>
        <row r="254">
          <cell r="M254" t="str">
            <v>Aluminium Valance - Fabric CoveredRevealAcmeda M6 Motor</v>
          </cell>
          <cell r="N254">
            <v>0</v>
          </cell>
          <cell r="O254" t="str">
            <v>N/A</v>
          </cell>
          <cell r="P254">
            <v>0</v>
          </cell>
          <cell r="Q254" t="str">
            <v>N/A</v>
          </cell>
          <cell r="R254" t="str">
            <v>No</v>
          </cell>
          <cell r="S254" t="str">
            <v>No</v>
          </cell>
          <cell r="T254" t="str">
            <v>Yes</v>
          </cell>
        </row>
        <row r="255">
          <cell r="M255" t="str">
            <v>Side ChannelsRevealAcmeda M6 Motor</v>
          </cell>
          <cell r="N255">
            <v>10</v>
          </cell>
          <cell r="O255" t="str">
            <v>N/A</v>
          </cell>
          <cell r="P255" t="str">
            <v>N/A</v>
          </cell>
          <cell r="Q255">
            <v>60</v>
          </cell>
          <cell r="R255" t="str">
            <v>N/A</v>
          </cell>
          <cell r="S255" t="str">
            <v>No</v>
          </cell>
          <cell r="T255" t="str">
            <v>N/A</v>
          </cell>
        </row>
        <row r="256">
          <cell r="M256" t="str">
            <v>Zipscreen HoodingRevealAcmeda M6 Motor</v>
          </cell>
          <cell r="N256">
            <v>17</v>
          </cell>
          <cell r="O256">
            <v>66</v>
          </cell>
          <cell r="P256">
            <v>66</v>
          </cell>
          <cell r="Q256" t="str">
            <v>N/A</v>
          </cell>
          <cell r="R256" t="str">
            <v>N/A</v>
          </cell>
          <cell r="S256" t="str">
            <v>No</v>
          </cell>
          <cell r="T256" t="str">
            <v>N/A</v>
          </cell>
        </row>
        <row r="257">
          <cell r="M257" t="str">
            <v>NoneRevealUniline Remote Motor</v>
          </cell>
          <cell r="N257">
            <v>0</v>
          </cell>
          <cell r="O257" t="str">
            <v>N/A</v>
          </cell>
          <cell r="P257" t="str">
            <v>N/A</v>
          </cell>
          <cell r="Q257" t="str">
            <v>N/A</v>
          </cell>
          <cell r="R257" t="str">
            <v>N/A</v>
          </cell>
          <cell r="S257" t="str">
            <v>No</v>
          </cell>
          <cell r="T257" t="str">
            <v>N/A</v>
          </cell>
        </row>
        <row r="258">
          <cell r="M258" t="str">
            <v>Straight Upholstered PelmetRevealUniline Remote Motor</v>
          </cell>
          <cell r="N258">
            <v>0</v>
          </cell>
          <cell r="O258" t="str">
            <v>N/A</v>
          </cell>
          <cell r="P258" t="str">
            <v>N/A</v>
          </cell>
          <cell r="Q258" t="str">
            <v>N/A</v>
          </cell>
          <cell r="R258" t="str">
            <v>N/A</v>
          </cell>
          <cell r="S258" t="str">
            <v>No</v>
          </cell>
          <cell r="T258" t="str">
            <v>N/A</v>
          </cell>
        </row>
        <row r="259">
          <cell r="M259" t="str">
            <v>Shaped Upholstered PelmetRevealUniline Remote Motor</v>
          </cell>
          <cell r="N259">
            <v>0</v>
          </cell>
          <cell r="O259" t="str">
            <v>N/A</v>
          </cell>
          <cell r="P259" t="str">
            <v>N/A</v>
          </cell>
          <cell r="Q259" t="str">
            <v>N/A</v>
          </cell>
          <cell r="R259" t="str">
            <v>N/A</v>
          </cell>
          <cell r="S259" t="str">
            <v>No</v>
          </cell>
          <cell r="T259" t="str">
            <v>N/A</v>
          </cell>
        </row>
        <row r="260">
          <cell r="M260" t="str">
            <v>Aluminium PelmetRevealUniline Remote Motor</v>
          </cell>
          <cell r="N260">
            <v>0</v>
          </cell>
          <cell r="O260">
            <v>0</v>
          </cell>
          <cell r="P260" t="str">
            <v>N/A</v>
          </cell>
          <cell r="Q260" t="str">
            <v>N/A</v>
          </cell>
          <cell r="R260" t="str">
            <v>No</v>
          </cell>
          <cell r="S260" t="str">
            <v>No</v>
          </cell>
          <cell r="T260" t="str">
            <v>Yes</v>
          </cell>
        </row>
        <row r="261">
          <cell r="M261" t="str">
            <v>Square CassetteRevealUniline Remote Motor</v>
          </cell>
          <cell r="N261">
            <v>10</v>
          </cell>
          <cell r="O261">
            <v>14</v>
          </cell>
          <cell r="P261">
            <v>14</v>
          </cell>
          <cell r="Q261" t="str">
            <v>N/A</v>
          </cell>
          <cell r="R261" t="str">
            <v>No</v>
          </cell>
          <cell r="S261" t="str">
            <v>No</v>
          </cell>
          <cell r="T261" t="str">
            <v>No</v>
          </cell>
        </row>
        <row r="262">
          <cell r="M262" t="str">
            <v>Square Cassette with Side ChannelsRevealUniline Remote Motor</v>
          </cell>
          <cell r="N262">
            <v>10</v>
          </cell>
          <cell r="O262">
            <v>14</v>
          </cell>
          <cell r="P262">
            <v>14</v>
          </cell>
          <cell r="Q262">
            <v>88</v>
          </cell>
          <cell r="R262" t="str">
            <v>No</v>
          </cell>
          <cell r="S262" t="str">
            <v>Yes</v>
          </cell>
          <cell r="T262" t="str">
            <v>No</v>
          </cell>
        </row>
        <row r="263">
          <cell r="M263" t="str">
            <v>Round CassetteRevealUniline Remote Motor</v>
          </cell>
          <cell r="N263">
            <v>10</v>
          </cell>
          <cell r="O263">
            <v>14</v>
          </cell>
          <cell r="P263">
            <v>14</v>
          </cell>
          <cell r="Q263" t="str">
            <v>N/A</v>
          </cell>
          <cell r="R263" t="str">
            <v>No</v>
          </cell>
          <cell r="S263" t="str">
            <v>No</v>
          </cell>
          <cell r="T263" t="str">
            <v>No</v>
          </cell>
        </row>
        <row r="264">
          <cell r="M264" t="str">
            <v>Round Cassette with Side ChannelsRevealUniline Remote Motor</v>
          </cell>
          <cell r="N264">
            <v>10</v>
          </cell>
          <cell r="O264">
            <v>14</v>
          </cell>
          <cell r="P264">
            <v>14</v>
          </cell>
          <cell r="Q264">
            <v>88</v>
          </cell>
          <cell r="R264" t="str">
            <v>No</v>
          </cell>
          <cell r="S264" t="str">
            <v>Yes</v>
          </cell>
          <cell r="T264" t="str">
            <v>No</v>
          </cell>
        </row>
        <row r="265">
          <cell r="M265" t="str">
            <v>Aluminium ValanceRevealUniline Remote Motor</v>
          </cell>
          <cell r="N265">
            <v>0</v>
          </cell>
          <cell r="O265" t="str">
            <v>N/A</v>
          </cell>
          <cell r="P265">
            <v>0</v>
          </cell>
          <cell r="Q265" t="str">
            <v>N/A</v>
          </cell>
          <cell r="R265" t="str">
            <v>No</v>
          </cell>
          <cell r="S265" t="str">
            <v>No</v>
          </cell>
          <cell r="T265" t="str">
            <v>Yes</v>
          </cell>
        </row>
        <row r="266">
          <cell r="M266" t="str">
            <v>Aluminium Valance - Fabric CoveredRevealUniline Remote Motor</v>
          </cell>
          <cell r="N266">
            <v>0</v>
          </cell>
          <cell r="O266" t="str">
            <v>N/A</v>
          </cell>
          <cell r="P266">
            <v>0</v>
          </cell>
          <cell r="Q266" t="str">
            <v>N/A</v>
          </cell>
          <cell r="R266" t="str">
            <v>No</v>
          </cell>
          <cell r="S266" t="str">
            <v>No</v>
          </cell>
          <cell r="T266" t="str">
            <v>Yes</v>
          </cell>
        </row>
        <row r="267">
          <cell r="M267" t="str">
            <v>Side ChannelsRevealUniline Remote Motor</v>
          </cell>
          <cell r="N267">
            <v>10</v>
          </cell>
          <cell r="O267" t="str">
            <v>N/A</v>
          </cell>
          <cell r="P267" t="str">
            <v>N/A</v>
          </cell>
          <cell r="Q267">
            <v>60</v>
          </cell>
          <cell r="R267" t="str">
            <v>N/A</v>
          </cell>
          <cell r="S267" t="str">
            <v>No</v>
          </cell>
          <cell r="T267" t="str">
            <v>N/A</v>
          </cell>
        </row>
        <row r="268">
          <cell r="M268" t="str">
            <v>Zipscreen HoodingRevealUniline Remote Motor</v>
          </cell>
          <cell r="N268">
            <v>17</v>
          </cell>
          <cell r="O268">
            <v>66</v>
          </cell>
          <cell r="P268">
            <v>66</v>
          </cell>
          <cell r="Q268" t="str">
            <v>N/A</v>
          </cell>
          <cell r="R268" t="str">
            <v>N/A</v>
          </cell>
          <cell r="S268" t="str">
            <v>No</v>
          </cell>
          <cell r="T268" t="str">
            <v>N/A</v>
          </cell>
        </row>
        <row r="269">
          <cell r="M269" t="str">
            <v>NoneRevealUniline Cbus Motor</v>
          </cell>
          <cell r="N269">
            <v>0</v>
          </cell>
          <cell r="O269" t="str">
            <v>N/A</v>
          </cell>
          <cell r="P269" t="str">
            <v>N/A</v>
          </cell>
          <cell r="Q269" t="str">
            <v>N/A</v>
          </cell>
          <cell r="R269" t="str">
            <v>N/A</v>
          </cell>
          <cell r="S269" t="str">
            <v>No</v>
          </cell>
          <cell r="T269" t="str">
            <v>N/A</v>
          </cell>
        </row>
        <row r="270">
          <cell r="M270" t="str">
            <v>Straight Upholstered PelmetRevealUniline Cbus Motor</v>
          </cell>
          <cell r="N270">
            <v>0</v>
          </cell>
          <cell r="O270" t="str">
            <v>N/A</v>
          </cell>
          <cell r="P270" t="str">
            <v>N/A</v>
          </cell>
          <cell r="Q270" t="str">
            <v>N/A</v>
          </cell>
          <cell r="R270" t="str">
            <v>N/A</v>
          </cell>
          <cell r="S270" t="str">
            <v>No</v>
          </cell>
          <cell r="T270" t="str">
            <v>N/A</v>
          </cell>
        </row>
        <row r="271">
          <cell r="M271" t="str">
            <v>Shaped Upholstered PelmetRevealUniline Cbus Motor</v>
          </cell>
          <cell r="N271">
            <v>0</v>
          </cell>
          <cell r="O271" t="str">
            <v>N/A</v>
          </cell>
          <cell r="P271" t="str">
            <v>N/A</v>
          </cell>
          <cell r="Q271" t="str">
            <v>N/A</v>
          </cell>
          <cell r="R271" t="str">
            <v>N/A</v>
          </cell>
          <cell r="S271" t="str">
            <v>No</v>
          </cell>
          <cell r="T271" t="str">
            <v>N/A</v>
          </cell>
        </row>
        <row r="272">
          <cell r="M272" t="str">
            <v>Aluminium PelmetRevealUniline Cbus Motor</v>
          </cell>
          <cell r="N272">
            <v>0</v>
          </cell>
          <cell r="O272">
            <v>0</v>
          </cell>
          <cell r="P272" t="str">
            <v>N/A</v>
          </cell>
          <cell r="Q272" t="str">
            <v>N/A</v>
          </cell>
          <cell r="R272" t="str">
            <v>No</v>
          </cell>
          <cell r="S272" t="str">
            <v>No</v>
          </cell>
          <cell r="T272" t="str">
            <v>Yes</v>
          </cell>
        </row>
        <row r="273">
          <cell r="M273" t="str">
            <v>Square CassetteRevealUniline Cbus Motor</v>
          </cell>
          <cell r="N273">
            <v>10</v>
          </cell>
          <cell r="O273">
            <v>14</v>
          </cell>
          <cell r="P273">
            <v>14</v>
          </cell>
          <cell r="Q273" t="str">
            <v>N/A</v>
          </cell>
          <cell r="R273" t="str">
            <v>No</v>
          </cell>
          <cell r="S273" t="str">
            <v>No</v>
          </cell>
          <cell r="T273" t="str">
            <v>No</v>
          </cell>
        </row>
        <row r="274">
          <cell r="M274" t="str">
            <v>Square Cassette with Side ChannelsRevealUniline Cbus Motor</v>
          </cell>
          <cell r="N274">
            <v>10</v>
          </cell>
          <cell r="O274">
            <v>14</v>
          </cell>
          <cell r="P274">
            <v>14</v>
          </cell>
          <cell r="Q274">
            <v>88</v>
          </cell>
          <cell r="R274" t="str">
            <v>No</v>
          </cell>
          <cell r="S274" t="str">
            <v>Yes</v>
          </cell>
          <cell r="T274" t="str">
            <v>No</v>
          </cell>
        </row>
        <row r="275">
          <cell r="M275" t="str">
            <v>Round CassetteRevealUniline Cbus Motor</v>
          </cell>
          <cell r="N275">
            <v>10</v>
          </cell>
          <cell r="O275">
            <v>14</v>
          </cell>
          <cell r="P275">
            <v>14</v>
          </cell>
          <cell r="Q275" t="str">
            <v>N/A</v>
          </cell>
          <cell r="R275" t="str">
            <v>No</v>
          </cell>
          <cell r="S275" t="str">
            <v>No</v>
          </cell>
          <cell r="T275" t="str">
            <v>No</v>
          </cell>
        </row>
        <row r="276">
          <cell r="M276" t="str">
            <v>Round Cassette with Side ChannelsRevealUniline Cbus Motor</v>
          </cell>
          <cell r="N276">
            <v>10</v>
          </cell>
          <cell r="O276">
            <v>14</v>
          </cell>
          <cell r="P276">
            <v>14</v>
          </cell>
          <cell r="Q276">
            <v>88</v>
          </cell>
          <cell r="R276" t="str">
            <v>No</v>
          </cell>
          <cell r="S276" t="str">
            <v>Yes</v>
          </cell>
          <cell r="T276" t="str">
            <v>No</v>
          </cell>
        </row>
        <row r="277">
          <cell r="M277" t="str">
            <v>Aluminium ValanceRevealUniline Cbus Motor</v>
          </cell>
          <cell r="N277">
            <v>0</v>
          </cell>
          <cell r="O277" t="str">
            <v>N/A</v>
          </cell>
          <cell r="P277">
            <v>0</v>
          </cell>
          <cell r="Q277" t="str">
            <v>N/A</v>
          </cell>
          <cell r="R277" t="str">
            <v>No</v>
          </cell>
          <cell r="S277" t="str">
            <v>No</v>
          </cell>
          <cell r="T277" t="str">
            <v>Yes</v>
          </cell>
        </row>
        <row r="278">
          <cell r="M278" t="str">
            <v>Aluminium Valance - Fabric CoveredRevealUniline Cbus Motor</v>
          </cell>
          <cell r="N278">
            <v>0</v>
          </cell>
          <cell r="O278" t="str">
            <v>N/A</v>
          </cell>
          <cell r="P278">
            <v>0</v>
          </cell>
          <cell r="Q278" t="str">
            <v>N/A</v>
          </cell>
          <cell r="R278" t="str">
            <v>No</v>
          </cell>
          <cell r="S278" t="str">
            <v>No</v>
          </cell>
          <cell r="T278" t="str">
            <v>Yes</v>
          </cell>
        </row>
        <row r="279">
          <cell r="M279" t="str">
            <v>Side ChannelsRevealUniline Cbus Motor</v>
          </cell>
          <cell r="N279">
            <v>10</v>
          </cell>
          <cell r="O279" t="str">
            <v>N/A</v>
          </cell>
          <cell r="P279" t="str">
            <v>N/A</v>
          </cell>
          <cell r="Q279">
            <v>60</v>
          </cell>
          <cell r="R279" t="str">
            <v>N/A</v>
          </cell>
          <cell r="S279" t="str">
            <v>No</v>
          </cell>
          <cell r="T279" t="str">
            <v>N/A</v>
          </cell>
        </row>
        <row r="280">
          <cell r="M280" t="str">
            <v>Zipscreen HoodingRevealUniline Cbus Motor</v>
          </cell>
          <cell r="N280">
            <v>17</v>
          </cell>
          <cell r="O280">
            <v>66</v>
          </cell>
          <cell r="P280">
            <v>66</v>
          </cell>
          <cell r="Q280" t="str">
            <v>N/A</v>
          </cell>
          <cell r="R280" t="str">
            <v>N/A</v>
          </cell>
          <cell r="S280" t="str">
            <v>No</v>
          </cell>
          <cell r="T280" t="str">
            <v>N/A</v>
          </cell>
        </row>
        <row r="281">
          <cell r="M281" t="str">
            <v>NoneRevealNice Remote Motor</v>
          </cell>
          <cell r="N281">
            <v>0</v>
          </cell>
          <cell r="O281" t="str">
            <v>N/A</v>
          </cell>
          <cell r="P281" t="str">
            <v>N/A</v>
          </cell>
          <cell r="Q281" t="str">
            <v>N/A</v>
          </cell>
          <cell r="R281" t="str">
            <v>N/A</v>
          </cell>
          <cell r="S281" t="str">
            <v>No</v>
          </cell>
          <cell r="T281" t="str">
            <v>N/A</v>
          </cell>
        </row>
        <row r="282">
          <cell r="M282" t="str">
            <v>Straight Upholstered PelmetRevealNice Remote Motor</v>
          </cell>
          <cell r="N282">
            <v>0</v>
          </cell>
          <cell r="O282" t="str">
            <v>N/A</v>
          </cell>
          <cell r="P282" t="str">
            <v>N/A</v>
          </cell>
          <cell r="Q282" t="str">
            <v>N/A</v>
          </cell>
          <cell r="R282" t="str">
            <v>N/A</v>
          </cell>
          <cell r="S282" t="str">
            <v>No</v>
          </cell>
          <cell r="T282" t="str">
            <v>N/A</v>
          </cell>
        </row>
        <row r="283">
          <cell r="M283" t="str">
            <v>Shaped Upholstered PelmetRevealNice Remote Motor</v>
          </cell>
          <cell r="N283">
            <v>0</v>
          </cell>
          <cell r="O283" t="str">
            <v>N/A</v>
          </cell>
          <cell r="P283" t="str">
            <v>N/A</v>
          </cell>
          <cell r="Q283" t="str">
            <v>N/A</v>
          </cell>
          <cell r="R283" t="str">
            <v>N/A</v>
          </cell>
          <cell r="S283" t="str">
            <v>No</v>
          </cell>
          <cell r="T283" t="str">
            <v>N/A</v>
          </cell>
        </row>
        <row r="284">
          <cell r="M284" t="str">
            <v>Aluminium PelmetRevealNice Remote Motor</v>
          </cell>
          <cell r="N284">
            <v>0</v>
          </cell>
          <cell r="O284">
            <v>0</v>
          </cell>
          <cell r="P284" t="str">
            <v>N/A</v>
          </cell>
          <cell r="Q284" t="str">
            <v>N/A</v>
          </cell>
          <cell r="R284" t="str">
            <v>No</v>
          </cell>
          <cell r="S284" t="str">
            <v>No</v>
          </cell>
          <cell r="T284" t="str">
            <v>Yes</v>
          </cell>
        </row>
        <row r="285">
          <cell r="M285" t="str">
            <v>Square CassetteRevealNice Remote Motor</v>
          </cell>
          <cell r="N285">
            <v>10</v>
          </cell>
          <cell r="O285">
            <v>14</v>
          </cell>
          <cell r="P285">
            <v>14</v>
          </cell>
          <cell r="Q285" t="str">
            <v>N/A</v>
          </cell>
          <cell r="R285" t="str">
            <v>No</v>
          </cell>
          <cell r="S285" t="str">
            <v>No</v>
          </cell>
          <cell r="T285" t="str">
            <v>No</v>
          </cell>
        </row>
        <row r="286">
          <cell r="M286" t="str">
            <v>Square Cassette with Side ChannelsRevealNice Remote Motor</v>
          </cell>
          <cell r="N286">
            <v>10</v>
          </cell>
          <cell r="O286">
            <v>14</v>
          </cell>
          <cell r="P286">
            <v>14</v>
          </cell>
          <cell r="Q286">
            <v>88</v>
          </cell>
          <cell r="R286" t="str">
            <v>No</v>
          </cell>
          <cell r="S286" t="str">
            <v>Yes</v>
          </cell>
          <cell r="T286" t="str">
            <v>No</v>
          </cell>
        </row>
        <row r="287">
          <cell r="M287" t="str">
            <v>Round CassetteRevealNice Remote Motor</v>
          </cell>
          <cell r="N287">
            <v>10</v>
          </cell>
          <cell r="O287">
            <v>14</v>
          </cell>
          <cell r="P287">
            <v>14</v>
          </cell>
          <cell r="Q287" t="str">
            <v>N/A</v>
          </cell>
          <cell r="R287" t="str">
            <v>No</v>
          </cell>
          <cell r="S287" t="str">
            <v>No</v>
          </cell>
          <cell r="T287" t="str">
            <v>No</v>
          </cell>
        </row>
        <row r="288">
          <cell r="M288" t="str">
            <v>Round Cassette with Side ChannelsRevealNice Remote Motor</v>
          </cell>
          <cell r="N288">
            <v>10</v>
          </cell>
          <cell r="O288">
            <v>14</v>
          </cell>
          <cell r="P288">
            <v>14</v>
          </cell>
          <cell r="Q288">
            <v>88</v>
          </cell>
          <cell r="R288" t="str">
            <v>No</v>
          </cell>
          <cell r="S288" t="str">
            <v>Yes</v>
          </cell>
          <cell r="T288" t="str">
            <v>No</v>
          </cell>
        </row>
        <row r="289">
          <cell r="M289" t="str">
            <v>Aluminium ValanceRevealNice Remote Motor</v>
          </cell>
          <cell r="N289">
            <v>0</v>
          </cell>
          <cell r="O289" t="str">
            <v>N/A</v>
          </cell>
          <cell r="P289">
            <v>0</v>
          </cell>
          <cell r="Q289" t="str">
            <v>N/A</v>
          </cell>
          <cell r="R289" t="str">
            <v>No</v>
          </cell>
          <cell r="S289" t="str">
            <v>No</v>
          </cell>
          <cell r="T289" t="str">
            <v>Yes</v>
          </cell>
        </row>
        <row r="290">
          <cell r="M290" t="str">
            <v>Aluminium Valance - Fabric CoveredRevealNice Remote Motor</v>
          </cell>
          <cell r="N290">
            <v>0</v>
          </cell>
          <cell r="O290" t="str">
            <v>N/A</v>
          </cell>
          <cell r="P290">
            <v>0</v>
          </cell>
          <cell r="Q290" t="str">
            <v>N/A</v>
          </cell>
          <cell r="R290" t="str">
            <v>No</v>
          </cell>
          <cell r="S290" t="str">
            <v>No</v>
          </cell>
          <cell r="T290" t="str">
            <v>Yes</v>
          </cell>
        </row>
        <row r="291">
          <cell r="M291" t="str">
            <v>Side ChannelsRevealNice Remote Motor</v>
          </cell>
          <cell r="N291">
            <v>10</v>
          </cell>
          <cell r="O291" t="str">
            <v>N/A</v>
          </cell>
          <cell r="P291" t="str">
            <v>N/A</v>
          </cell>
          <cell r="Q291">
            <v>60</v>
          </cell>
          <cell r="R291" t="str">
            <v>N/A</v>
          </cell>
          <cell r="S291" t="str">
            <v>No</v>
          </cell>
          <cell r="T291" t="str">
            <v>N/A</v>
          </cell>
        </row>
        <row r="292">
          <cell r="M292" t="str">
            <v>Zipscreen HoodingRevealNice Remote Motor</v>
          </cell>
          <cell r="N292">
            <v>17</v>
          </cell>
          <cell r="O292">
            <v>66</v>
          </cell>
          <cell r="P292">
            <v>66</v>
          </cell>
          <cell r="Q292" t="str">
            <v>N/A</v>
          </cell>
          <cell r="R292" t="str">
            <v>N/A</v>
          </cell>
          <cell r="S292" t="str">
            <v>No</v>
          </cell>
          <cell r="T292" t="str">
            <v>N/A</v>
          </cell>
        </row>
        <row r="293">
          <cell r="M293" t="str">
            <v>NoneRevealNice CBus Motor</v>
          </cell>
          <cell r="N293">
            <v>0</v>
          </cell>
          <cell r="O293" t="str">
            <v>N/A</v>
          </cell>
          <cell r="P293" t="str">
            <v>N/A</v>
          </cell>
          <cell r="Q293" t="str">
            <v>N/A</v>
          </cell>
          <cell r="R293" t="str">
            <v>N/A</v>
          </cell>
          <cell r="S293" t="str">
            <v>No</v>
          </cell>
          <cell r="T293" t="str">
            <v>N/A</v>
          </cell>
        </row>
        <row r="294">
          <cell r="M294" t="str">
            <v>Straight Upholstered PelmetRevealNice CBus Motor</v>
          </cell>
          <cell r="N294">
            <v>0</v>
          </cell>
          <cell r="O294" t="str">
            <v>N/A</v>
          </cell>
          <cell r="P294" t="str">
            <v>N/A</v>
          </cell>
          <cell r="Q294" t="str">
            <v>N/A</v>
          </cell>
          <cell r="R294" t="str">
            <v>N/A</v>
          </cell>
          <cell r="S294" t="str">
            <v>No</v>
          </cell>
          <cell r="T294" t="str">
            <v>N/A</v>
          </cell>
        </row>
        <row r="295">
          <cell r="M295" t="str">
            <v>Shaped Upholstered PelmetRevealNice CBus Motor</v>
          </cell>
          <cell r="N295">
            <v>0</v>
          </cell>
          <cell r="O295" t="str">
            <v>N/A</v>
          </cell>
          <cell r="P295" t="str">
            <v>N/A</v>
          </cell>
          <cell r="Q295" t="str">
            <v>N/A</v>
          </cell>
          <cell r="R295" t="str">
            <v>N/A</v>
          </cell>
          <cell r="S295" t="str">
            <v>No</v>
          </cell>
          <cell r="T295" t="str">
            <v>N/A</v>
          </cell>
        </row>
        <row r="296">
          <cell r="M296" t="str">
            <v>Aluminium PelmetRevealNice CBus Motor</v>
          </cell>
          <cell r="N296">
            <v>0</v>
          </cell>
          <cell r="O296">
            <v>0</v>
          </cell>
          <cell r="P296" t="str">
            <v>N/A</v>
          </cell>
          <cell r="Q296" t="str">
            <v>N/A</v>
          </cell>
          <cell r="R296" t="str">
            <v>No</v>
          </cell>
          <cell r="S296" t="str">
            <v>No</v>
          </cell>
          <cell r="T296" t="str">
            <v>Yes</v>
          </cell>
        </row>
        <row r="297">
          <cell r="M297" t="str">
            <v>Square CassetteRevealNice CBus Motor</v>
          </cell>
          <cell r="N297">
            <v>10</v>
          </cell>
          <cell r="O297">
            <v>14</v>
          </cell>
          <cell r="P297">
            <v>14</v>
          </cell>
          <cell r="Q297" t="str">
            <v>N/A</v>
          </cell>
          <cell r="R297" t="str">
            <v>No</v>
          </cell>
          <cell r="S297" t="str">
            <v>No</v>
          </cell>
          <cell r="T297" t="str">
            <v>No</v>
          </cell>
        </row>
        <row r="298">
          <cell r="M298" t="str">
            <v>Square Cassette with Side ChannelsRevealNice CBus Motor</v>
          </cell>
          <cell r="N298">
            <v>10</v>
          </cell>
          <cell r="O298">
            <v>14</v>
          </cell>
          <cell r="P298">
            <v>14</v>
          </cell>
          <cell r="Q298">
            <v>88</v>
          </cell>
          <cell r="R298" t="str">
            <v>No</v>
          </cell>
          <cell r="S298" t="str">
            <v>Yes</v>
          </cell>
          <cell r="T298" t="str">
            <v>No</v>
          </cell>
        </row>
        <row r="299">
          <cell r="M299" t="str">
            <v>Round CassetteRevealNice CBus Motor</v>
          </cell>
          <cell r="N299">
            <v>10</v>
          </cell>
          <cell r="O299">
            <v>14</v>
          </cell>
          <cell r="P299">
            <v>14</v>
          </cell>
          <cell r="Q299" t="str">
            <v>N/A</v>
          </cell>
          <cell r="R299" t="str">
            <v>No</v>
          </cell>
          <cell r="S299" t="str">
            <v>No</v>
          </cell>
          <cell r="T299" t="str">
            <v>No</v>
          </cell>
        </row>
        <row r="300">
          <cell r="M300" t="str">
            <v>Round Cassette with Side ChannelsRevealNice CBus Motor</v>
          </cell>
          <cell r="N300">
            <v>10</v>
          </cell>
          <cell r="O300">
            <v>14</v>
          </cell>
          <cell r="P300">
            <v>14</v>
          </cell>
          <cell r="Q300">
            <v>88</v>
          </cell>
          <cell r="R300" t="str">
            <v>No</v>
          </cell>
          <cell r="S300" t="str">
            <v>Yes</v>
          </cell>
          <cell r="T300" t="str">
            <v>No</v>
          </cell>
        </row>
        <row r="301">
          <cell r="M301" t="str">
            <v>Aluminium ValanceRevealNice CBus Motor</v>
          </cell>
          <cell r="N301">
            <v>0</v>
          </cell>
          <cell r="O301" t="str">
            <v>N/A</v>
          </cell>
          <cell r="P301">
            <v>0</v>
          </cell>
          <cell r="Q301" t="str">
            <v>N/A</v>
          </cell>
          <cell r="R301" t="str">
            <v>No</v>
          </cell>
          <cell r="S301" t="str">
            <v>No</v>
          </cell>
          <cell r="T301" t="str">
            <v>Yes</v>
          </cell>
        </row>
        <row r="302">
          <cell r="M302" t="str">
            <v>Aluminium Valance - Fabric CoveredRevealNice CBus Motor</v>
          </cell>
          <cell r="N302">
            <v>0</v>
          </cell>
          <cell r="O302" t="str">
            <v>N/A</v>
          </cell>
          <cell r="P302">
            <v>0</v>
          </cell>
          <cell r="Q302" t="str">
            <v>N/A</v>
          </cell>
          <cell r="R302" t="str">
            <v>No</v>
          </cell>
          <cell r="S302" t="str">
            <v>No</v>
          </cell>
          <cell r="T302" t="str">
            <v>Yes</v>
          </cell>
        </row>
        <row r="303">
          <cell r="M303" t="str">
            <v>Side ChannelsRevealNice CBus Motor</v>
          </cell>
          <cell r="N303">
            <v>10</v>
          </cell>
          <cell r="O303" t="str">
            <v>N/A</v>
          </cell>
          <cell r="P303" t="str">
            <v>N/A</v>
          </cell>
          <cell r="Q303">
            <v>60</v>
          </cell>
          <cell r="R303" t="str">
            <v>N/A</v>
          </cell>
          <cell r="S303" t="str">
            <v>No</v>
          </cell>
          <cell r="T303" t="str">
            <v>N/A</v>
          </cell>
        </row>
        <row r="304">
          <cell r="M304" t="str">
            <v>Zipscreen HoodingRevealNice CBus Motor</v>
          </cell>
          <cell r="N304">
            <v>17</v>
          </cell>
          <cell r="O304">
            <v>66</v>
          </cell>
          <cell r="P304">
            <v>66</v>
          </cell>
          <cell r="Q304" t="str">
            <v>N/A</v>
          </cell>
          <cell r="R304" t="str">
            <v>N/A</v>
          </cell>
          <cell r="S304" t="str">
            <v>No</v>
          </cell>
          <cell r="T304" t="str">
            <v>N/A</v>
          </cell>
        </row>
        <row r="305">
          <cell r="M305" t="str">
            <v>NoneRevealSunboss Chain Winder 38mm Tube</v>
          </cell>
          <cell r="N305">
            <v>0</v>
          </cell>
          <cell r="O305" t="str">
            <v>N/A</v>
          </cell>
          <cell r="P305" t="str">
            <v>N/A</v>
          </cell>
          <cell r="Q305" t="str">
            <v>N/A</v>
          </cell>
          <cell r="R305" t="str">
            <v>N/A</v>
          </cell>
          <cell r="S305" t="str">
            <v>No</v>
          </cell>
          <cell r="T305" t="str">
            <v>N/A</v>
          </cell>
        </row>
        <row r="306">
          <cell r="M306" t="str">
            <v>Straight Upholstered PelmetRevealSunboss Chain Winder 38mm Tube</v>
          </cell>
          <cell r="N306">
            <v>0</v>
          </cell>
          <cell r="O306" t="str">
            <v>N/A</v>
          </cell>
          <cell r="P306" t="str">
            <v>N/A</v>
          </cell>
          <cell r="Q306" t="str">
            <v>N/A</v>
          </cell>
          <cell r="R306" t="str">
            <v>N/A</v>
          </cell>
          <cell r="S306" t="str">
            <v>No</v>
          </cell>
          <cell r="T306" t="str">
            <v>N/A</v>
          </cell>
        </row>
        <row r="307">
          <cell r="M307" t="str">
            <v>Shaped Upholstered PelmetRevealSunboss Chain Winder 38mm Tube</v>
          </cell>
          <cell r="N307">
            <v>0</v>
          </cell>
          <cell r="O307" t="str">
            <v>N/A</v>
          </cell>
          <cell r="P307" t="str">
            <v>N/A</v>
          </cell>
          <cell r="Q307" t="str">
            <v>N/A</v>
          </cell>
          <cell r="R307" t="str">
            <v>N/A</v>
          </cell>
          <cell r="S307" t="str">
            <v>No</v>
          </cell>
          <cell r="T307" t="str">
            <v>N/A</v>
          </cell>
        </row>
        <row r="308">
          <cell r="M308" t="str">
            <v>Aluminium PelmetRevealSunboss Chain Winder 38mm Tube</v>
          </cell>
          <cell r="N308">
            <v>0</v>
          </cell>
          <cell r="O308">
            <v>0</v>
          </cell>
          <cell r="P308" t="str">
            <v>N/A</v>
          </cell>
          <cell r="Q308" t="str">
            <v>N/A</v>
          </cell>
          <cell r="R308" t="str">
            <v>No</v>
          </cell>
          <cell r="S308" t="str">
            <v>No</v>
          </cell>
          <cell r="T308" t="str">
            <v>Yes</v>
          </cell>
        </row>
        <row r="309">
          <cell r="M309" t="str">
            <v>Square CassetteRevealSunboss Chain Winder 38mm Tube</v>
          </cell>
          <cell r="N309">
            <v>10</v>
          </cell>
          <cell r="O309">
            <v>14</v>
          </cell>
          <cell r="P309">
            <v>14</v>
          </cell>
          <cell r="Q309" t="str">
            <v>N/A</v>
          </cell>
          <cell r="R309" t="str">
            <v>No</v>
          </cell>
          <cell r="S309" t="str">
            <v>No</v>
          </cell>
          <cell r="T309" t="str">
            <v>No</v>
          </cell>
        </row>
        <row r="310">
          <cell r="M310" t="str">
            <v>Square Cassette with Side ChannelsRevealSunboss Chain Winder 38mm Tube</v>
          </cell>
          <cell r="N310">
            <v>10</v>
          </cell>
          <cell r="O310">
            <v>14</v>
          </cell>
          <cell r="P310">
            <v>14</v>
          </cell>
          <cell r="Q310">
            <v>88</v>
          </cell>
          <cell r="R310" t="str">
            <v>No</v>
          </cell>
          <cell r="S310" t="str">
            <v>Yes</v>
          </cell>
          <cell r="T310" t="str">
            <v>No</v>
          </cell>
        </row>
        <row r="311">
          <cell r="M311" t="str">
            <v>Round CassetteRevealSunboss Chain Winder 38mm Tube</v>
          </cell>
          <cell r="N311">
            <v>10</v>
          </cell>
          <cell r="O311">
            <v>14</v>
          </cell>
          <cell r="P311">
            <v>14</v>
          </cell>
          <cell r="Q311" t="str">
            <v>N/A</v>
          </cell>
          <cell r="R311" t="str">
            <v>No</v>
          </cell>
          <cell r="S311" t="str">
            <v>No</v>
          </cell>
          <cell r="T311" t="str">
            <v>No</v>
          </cell>
        </row>
        <row r="312">
          <cell r="M312" t="str">
            <v>Round Cassette with Side ChannelsRevealSunboss Chain Winder 38mm Tube</v>
          </cell>
          <cell r="N312">
            <v>10</v>
          </cell>
          <cell r="O312">
            <v>14</v>
          </cell>
          <cell r="P312">
            <v>14</v>
          </cell>
          <cell r="Q312">
            <v>88</v>
          </cell>
          <cell r="R312" t="str">
            <v>No</v>
          </cell>
          <cell r="S312" t="str">
            <v>Yes</v>
          </cell>
          <cell r="T312" t="str">
            <v>No</v>
          </cell>
        </row>
        <row r="313">
          <cell r="M313" t="str">
            <v>Aluminium ValanceRevealSunboss Chain Winder 38mm Tube</v>
          </cell>
          <cell r="N313">
            <v>0</v>
          </cell>
          <cell r="O313" t="str">
            <v>N/A</v>
          </cell>
          <cell r="P313">
            <v>0</v>
          </cell>
          <cell r="Q313" t="str">
            <v>N/A</v>
          </cell>
          <cell r="R313" t="str">
            <v>No</v>
          </cell>
          <cell r="S313" t="str">
            <v>No</v>
          </cell>
          <cell r="T313" t="str">
            <v>Yes</v>
          </cell>
        </row>
        <row r="314">
          <cell r="M314" t="str">
            <v>Aluminium Valance - Fabric CoveredRevealSunboss Chain Winder 38mm Tube</v>
          </cell>
          <cell r="N314">
            <v>0</v>
          </cell>
          <cell r="O314" t="str">
            <v>N/A</v>
          </cell>
          <cell r="P314">
            <v>0</v>
          </cell>
          <cell r="Q314" t="str">
            <v>N/A</v>
          </cell>
          <cell r="R314" t="str">
            <v>No</v>
          </cell>
          <cell r="S314" t="str">
            <v>No</v>
          </cell>
          <cell r="T314" t="str">
            <v>Yes</v>
          </cell>
        </row>
        <row r="315">
          <cell r="M315" t="str">
            <v>Side ChannelsRevealSunboss Chain Winder 38mm Tube</v>
          </cell>
          <cell r="N315">
            <v>10</v>
          </cell>
          <cell r="O315" t="str">
            <v>N/A</v>
          </cell>
          <cell r="P315" t="str">
            <v>N/A</v>
          </cell>
          <cell r="Q315">
            <v>60</v>
          </cell>
          <cell r="R315" t="str">
            <v>N/A</v>
          </cell>
          <cell r="S315" t="str">
            <v>No</v>
          </cell>
          <cell r="T315" t="str">
            <v>N/A</v>
          </cell>
        </row>
        <row r="316">
          <cell r="M316" t="str">
            <v>Zipscreen HoodingRevealSunboss Chain Winder 38mm Tube</v>
          </cell>
          <cell r="N316">
            <v>17</v>
          </cell>
          <cell r="O316">
            <v>66</v>
          </cell>
          <cell r="P316">
            <v>66</v>
          </cell>
          <cell r="Q316" t="str">
            <v>N/A</v>
          </cell>
          <cell r="R316" t="str">
            <v>N/A</v>
          </cell>
          <cell r="S316" t="str">
            <v>No</v>
          </cell>
          <cell r="T316" t="str">
            <v>N/A</v>
          </cell>
        </row>
        <row r="317">
          <cell r="M317" t="str">
            <v>NoneRevealSunboss Chain Winder 43mm Tube</v>
          </cell>
          <cell r="N317">
            <v>0</v>
          </cell>
          <cell r="O317" t="str">
            <v>N/A</v>
          </cell>
          <cell r="P317" t="str">
            <v>N/A</v>
          </cell>
          <cell r="Q317" t="str">
            <v>N/A</v>
          </cell>
          <cell r="R317" t="str">
            <v>N/A</v>
          </cell>
          <cell r="S317" t="str">
            <v>No</v>
          </cell>
          <cell r="T317" t="str">
            <v>N/A</v>
          </cell>
        </row>
        <row r="318">
          <cell r="M318" t="str">
            <v>Straight Upholstered PelmetRevealSunboss Chain Winder 43mm Tube</v>
          </cell>
          <cell r="N318">
            <v>0</v>
          </cell>
          <cell r="O318" t="str">
            <v>N/A</v>
          </cell>
          <cell r="P318" t="str">
            <v>N/A</v>
          </cell>
          <cell r="Q318" t="str">
            <v>N/A</v>
          </cell>
          <cell r="R318" t="str">
            <v>N/A</v>
          </cell>
          <cell r="S318" t="str">
            <v>No</v>
          </cell>
          <cell r="T318" t="str">
            <v>N/A</v>
          </cell>
        </row>
        <row r="319">
          <cell r="M319" t="str">
            <v>Shaped Upholstered PelmetRevealSunboss Chain Winder 43mm Tube</v>
          </cell>
          <cell r="N319">
            <v>0</v>
          </cell>
          <cell r="O319" t="str">
            <v>N/A</v>
          </cell>
          <cell r="P319" t="str">
            <v>N/A</v>
          </cell>
          <cell r="Q319" t="str">
            <v>N/A</v>
          </cell>
          <cell r="R319" t="str">
            <v>N/A</v>
          </cell>
          <cell r="S319" t="str">
            <v>No</v>
          </cell>
          <cell r="T319" t="str">
            <v>N/A</v>
          </cell>
        </row>
        <row r="320">
          <cell r="M320" t="str">
            <v>Aluminium PelmetRevealSunboss Chain Winder 43mm Tube</v>
          </cell>
          <cell r="N320">
            <v>0</v>
          </cell>
          <cell r="O320">
            <v>0</v>
          </cell>
          <cell r="P320" t="str">
            <v>N/A</v>
          </cell>
          <cell r="Q320" t="str">
            <v>N/A</v>
          </cell>
          <cell r="R320" t="str">
            <v>No</v>
          </cell>
          <cell r="S320" t="str">
            <v>No</v>
          </cell>
          <cell r="T320" t="str">
            <v>Yes</v>
          </cell>
        </row>
        <row r="321">
          <cell r="M321" t="str">
            <v>Square CassetteRevealSunboss Chain Winder 43mm Tube</v>
          </cell>
          <cell r="N321">
            <v>10</v>
          </cell>
          <cell r="O321">
            <v>14</v>
          </cell>
          <cell r="P321">
            <v>14</v>
          </cell>
          <cell r="Q321" t="str">
            <v>N/A</v>
          </cell>
          <cell r="R321" t="str">
            <v>No</v>
          </cell>
          <cell r="S321" t="str">
            <v>No</v>
          </cell>
          <cell r="T321" t="str">
            <v>No</v>
          </cell>
        </row>
        <row r="322">
          <cell r="M322" t="str">
            <v>Square Cassette with Side ChannelsRevealSunboss Chain Winder 43mm Tube</v>
          </cell>
          <cell r="N322">
            <v>10</v>
          </cell>
          <cell r="O322">
            <v>14</v>
          </cell>
          <cell r="P322">
            <v>14</v>
          </cell>
          <cell r="Q322">
            <v>88</v>
          </cell>
          <cell r="R322" t="str">
            <v>No</v>
          </cell>
          <cell r="S322" t="str">
            <v>Yes</v>
          </cell>
          <cell r="T322" t="str">
            <v>No</v>
          </cell>
        </row>
        <row r="323">
          <cell r="M323" t="str">
            <v>Round CassetteRevealSunboss Chain Winder 43mm Tube</v>
          </cell>
          <cell r="N323">
            <v>10</v>
          </cell>
          <cell r="O323">
            <v>14</v>
          </cell>
          <cell r="P323">
            <v>14</v>
          </cell>
          <cell r="Q323" t="str">
            <v>N/A</v>
          </cell>
          <cell r="R323" t="str">
            <v>No</v>
          </cell>
          <cell r="S323" t="str">
            <v>No</v>
          </cell>
          <cell r="T323" t="str">
            <v>No</v>
          </cell>
        </row>
        <row r="324">
          <cell r="M324" t="str">
            <v>Round Cassette with Side ChannelsRevealSunboss Chain Winder 43mm Tube</v>
          </cell>
          <cell r="N324">
            <v>10</v>
          </cell>
          <cell r="O324">
            <v>14</v>
          </cell>
          <cell r="P324">
            <v>14</v>
          </cell>
          <cell r="Q324">
            <v>88</v>
          </cell>
          <cell r="R324" t="str">
            <v>No</v>
          </cell>
          <cell r="S324" t="str">
            <v>Yes</v>
          </cell>
          <cell r="T324" t="str">
            <v>No</v>
          </cell>
        </row>
        <row r="325">
          <cell r="M325" t="str">
            <v>Aluminium ValanceRevealSunboss Chain Winder 43mm Tube</v>
          </cell>
          <cell r="N325">
            <v>0</v>
          </cell>
          <cell r="O325" t="str">
            <v>N/A</v>
          </cell>
          <cell r="P325">
            <v>0</v>
          </cell>
          <cell r="Q325" t="str">
            <v>N/A</v>
          </cell>
          <cell r="R325" t="str">
            <v>No</v>
          </cell>
          <cell r="S325" t="str">
            <v>No</v>
          </cell>
          <cell r="T325" t="str">
            <v>Yes</v>
          </cell>
        </row>
        <row r="326">
          <cell r="M326" t="str">
            <v>Aluminium Valance - Fabric CoveredRevealSunboss Chain Winder 43mm Tube</v>
          </cell>
          <cell r="N326">
            <v>0</v>
          </cell>
          <cell r="O326" t="str">
            <v>N/A</v>
          </cell>
          <cell r="P326">
            <v>0</v>
          </cell>
          <cell r="Q326" t="str">
            <v>N/A</v>
          </cell>
          <cell r="R326" t="str">
            <v>No</v>
          </cell>
          <cell r="S326" t="str">
            <v>No</v>
          </cell>
          <cell r="T326" t="str">
            <v>Yes</v>
          </cell>
        </row>
        <row r="327">
          <cell r="M327" t="str">
            <v>Side ChannelsRevealSunboss Chain Winder 43mm Tube</v>
          </cell>
          <cell r="N327">
            <v>10</v>
          </cell>
          <cell r="O327" t="str">
            <v>N/A</v>
          </cell>
          <cell r="P327" t="str">
            <v>N/A</v>
          </cell>
          <cell r="Q327">
            <v>60</v>
          </cell>
          <cell r="R327" t="str">
            <v>N/A</v>
          </cell>
          <cell r="S327" t="str">
            <v>No</v>
          </cell>
          <cell r="T327" t="str">
            <v>N/A</v>
          </cell>
        </row>
        <row r="328">
          <cell r="M328" t="str">
            <v>Zipscreen HoodingRevealSunboss Chain Winder 43mm Tube</v>
          </cell>
          <cell r="N328">
            <v>17</v>
          </cell>
          <cell r="O328">
            <v>66</v>
          </cell>
          <cell r="P328">
            <v>66</v>
          </cell>
          <cell r="Q328" t="str">
            <v>N/A</v>
          </cell>
          <cell r="R328" t="str">
            <v>N/A</v>
          </cell>
          <cell r="S328" t="str">
            <v>No</v>
          </cell>
          <cell r="T328" t="str">
            <v>N/A</v>
          </cell>
        </row>
        <row r="329">
          <cell r="M329" t="str">
            <v>NoneRevealTBS Remote Motor</v>
          </cell>
          <cell r="N329">
            <v>0</v>
          </cell>
          <cell r="O329" t="str">
            <v>N/A</v>
          </cell>
          <cell r="P329" t="str">
            <v>N/A</v>
          </cell>
          <cell r="Q329" t="str">
            <v>N/A</v>
          </cell>
          <cell r="R329" t="str">
            <v>N/A</v>
          </cell>
          <cell r="S329" t="str">
            <v>No</v>
          </cell>
          <cell r="T329" t="str">
            <v>N/A</v>
          </cell>
        </row>
        <row r="330">
          <cell r="M330" t="str">
            <v>Straight Upholstered PelmetRevealTBS Remote Motor</v>
          </cell>
          <cell r="N330">
            <v>0</v>
          </cell>
          <cell r="O330" t="str">
            <v>N/A</v>
          </cell>
          <cell r="P330" t="str">
            <v>N/A</v>
          </cell>
          <cell r="Q330" t="str">
            <v>N/A</v>
          </cell>
          <cell r="R330" t="str">
            <v>N/A</v>
          </cell>
          <cell r="S330" t="str">
            <v>No</v>
          </cell>
          <cell r="T330" t="str">
            <v>N/A</v>
          </cell>
        </row>
        <row r="331">
          <cell r="M331" t="str">
            <v>Shaped Upholstered PelmetRevealTBS Remote Motor</v>
          </cell>
          <cell r="N331">
            <v>0</v>
          </cell>
          <cell r="O331" t="str">
            <v>N/A</v>
          </cell>
          <cell r="P331" t="str">
            <v>N/A</v>
          </cell>
          <cell r="Q331" t="str">
            <v>N/A</v>
          </cell>
          <cell r="R331" t="str">
            <v>N/A</v>
          </cell>
          <cell r="S331" t="str">
            <v>No</v>
          </cell>
          <cell r="T331" t="str">
            <v>N/A</v>
          </cell>
        </row>
        <row r="332">
          <cell r="M332" t="str">
            <v>Aluminium PelmetRevealTBS Remote Motor</v>
          </cell>
          <cell r="N332">
            <v>0</v>
          </cell>
          <cell r="O332">
            <v>0</v>
          </cell>
          <cell r="P332" t="str">
            <v>N/A</v>
          </cell>
          <cell r="Q332" t="str">
            <v>N/A</v>
          </cell>
          <cell r="R332" t="str">
            <v>No</v>
          </cell>
          <cell r="S332" t="str">
            <v>No</v>
          </cell>
          <cell r="T332" t="str">
            <v>Yes</v>
          </cell>
        </row>
        <row r="333">
          <cell r="M333" t="str">
            <v>Square CassetteRevealTBS Remote Motor</v>
          </cell>
          <cell r="N333">
            <v>10</v>
          </cell>
          <cell r="O333">
            <v>14</v>
          </cell>
          <cell r="P333">
            <v>14</v>
          </cell>
          <cell r="Q333" t="str">
            <v>N/A</v>
          </cell>
          <cell r="R333" t="str">
            <v>No</v>
          </cell>
          <cell r="S333" t="str">
            <v>No</v>
          </cell>
          <cell r="T333" t="str">
            <v>No</v>
          </cell>
        </row>
        <row r="334">
          <cell r="M334" t="str">
            <v>Square Cassette with Side ChannelsRevealTBS Remote Motor</v>
          </cell>
          <cell r="N334">
            <v>10</v>
          </cell>
          <cell r="O334">
            <v>14</v>
          </cell>
          <cell r="P334">
            <v>14</v>
          </cell>
          <cell r="Q334">
            <v>88</v>
          </cell>
          <cell r="R334" t="str">
            <v>No</v>
          </cell>
          <cell r="S334" t="str">
            <v>Yes</v>
          </cell>
          <cell r="T334" t="str">
            <v>No</v>
          </cell>
        </row>
        <row r="335">
          <cell r="M335" t="str">
            <v>Round CassetteRevealTBS Remote Motor</v>
          </cell>
          <cell r="N335">
            <v>10</v>
          </cell>
          <cell r="O335">
            <v>14</v>
          </cell>
          <cell r="P335">
            <v>14</v>
          </cell>
          <cell r="Q335" t="str">
            <v>N/A</v>
          </cell>
          <cell r="R335" t="str">
            <v>No</v>
          </cell>
          <cell r="S335" t="str">
            <v>No</v>
          </cell>
          <cell r="T335" t="str">
            <v>No</v>
          </cell>
        </row>
        <row r="336">
          <cell r="M336" t="str">
            <v>Round Cassette with Side ChannelsRevealTBS Remote Motor</v>
          </cell>
          <cell r="N336">
            <v>10</v>
          </cell>
          <cell r="O336">
            <v>14</v>
          </cell>
          <cell r="P336">
            <v>14</v>
          </cell>
          <cell r="Q336">
            <v>88</v>
          </cell>
          <cell r="R336" t="str">
            <v>No</v>
          </cell>
          <cell r="S336" t="str">
            <v>Yes</v>
          </cell>
          <cell r="T336" t="str">
            <v>No</v>
          </cell>
        </row>
        <row r="337">
          <cell r="M337" t="str">
            <v>Aluminium ValanceRevealTBS Remote Motor</v>
          </cell>
          <cell r="N337">
            <v>0</v>
          </cell>
          <cell r="O337" t="str">
            <v>N/A</v>
          </cell>
          <cell r="P337">
            <v>0</v>
          </cell>
          <cell r="Q337" t="str">
            <v>N/A</v>
          </cell>
          <cell r="R337" t="str">
            <v>No</v>
          </cell>
          <cell r="S337" t="str">
            <v>No</v>
          </cell>
          <cell r="T337" t="str">
            <v>Yes</v>
          </cell>
        </row>
        <row r="338">
          <cell r="M338" t="str">
            <v>Aluminium Valance - Fabric CoveredRevealTBS Remote Motor</v>
          </cell>
          <cell r="N338">
            <v>0</v>
          </cell>
          <cell r="O338" t="str">
            <v>N/A</v>
          </cell>
          <cell r="P338">
            <v>0</v>
          </cell>
          <cell r="Q338" t="str">
            <v>N/A</v>
          </cell>
          <cell r="R338" t="str">
            <v>No</v>
          </cell>
          <cell r="S338" t="str">
            <v>No</v>
          </cell>
          <cell r="T338" t="str">
            <v>Yes</v>
          </cell>
        </row>
        <row r="339">
          <cell r="M339" t="str">
            <v>Side ChannelsRevealTBS Remote Motor</v>
          </cell>
          <cell r="N339">
            <v>10</v>
          </cell>
          <cell r="O339" t="str">
            <v>N/A</v>
          </cell>
          <cell r="P339" t="str">
            <v>N/A</v>
          </cell>
          <cell r="Q339">
            <v>60</v>
          </cell>
          <cell r="R339" t="str">
            <v>N/A</v>
          </cell>
          <cell r="S339" t="str">
            <v>No</v>
          </cell>
          <cell r="T339" t="str">
            <v>N/A</v>
          </cell>
        </row>
        <row r="340">
          <cell r="M340" t="str">
            <v>Zipscreen HoodingRevealTBS Remote Motor</v>
          </cell>
          <cell r="N340">
            <v>17</v>
          </cell>
          <cell r="O340">
            <v>66</v>
          </cell>
          <cell r="P340">
            <v>66</v>
          </cell>
          <cell r="Q340" t="str">
            <v>N/A</v>
          </cell>
          <cell r="R340" t="str">
            <v>N/A</v>
          </cell>
          <cell r="S340" t="str">
            <v>No</v>
          </cell>
          <cell r="T340" t="str">
            <v>N/A</v>
          </cell>
        </row>
        <row r="341">
          <cell r="M341" t="str">
            <v>NoneRevealTBS Cbus Motor</v>
          </cell>
          <cell r="N341">
            <v>0</v>
          </cell>
          <cell r="O341" t="str">
            <v>N/A</v>
          </cell>
          <cell r="P341" t="str">
            <v>N/A</v>
          </cell>
          <cell r="Q341" t="str">
            <v>N/A</v>
          </cell>
          <cell r="R341" t="str">
            <v>N/A</v>
          </cell>
          <cell r="S341" t="str">
            <v>No</v>
          </cell>
          <cell r="T341" t="str">
            <v>N/A</v>
          </cell>
        </row>
        <row r="342">
          <cell r="M342" t="str">
            <v>Straight Upholstered PelmetRevealTBS Cbus Motor</v>
          </cell>
          <cell r="N342">
            <v>0</v>
          </cell>
          <cell r="O342" t="str">
            <v>N/A</v>
          </cell>
          <cell r="P342" t="str">
            <v>N/A</v>
          </cell>
          <cell r="Q342" t="str">
            <v>N/A</v>
          </cell>
          <cell r="R342" t="str">
            <v>N/A</v>
          </cell>
          <cell r="S342" t="str">
            <v>No</v>
          </cell>
          <cell r="T342" t="str">
            <v>N/A</v>
          </cell>
        </row>
        <row r="343">
          <cell r="M343" t="str">
            <v>Shaped Upholstered PelmetRevealTBS Cbus Motor</v>
          </cell>
          <cell r="N343">
            <v>0</v>
          </cell>
          <cell r="O343" t="str">
            <v>N/A</v>
          </cell>
          <cell r="P343" t="str">
            <v>N/A</v>
          </cell>
          <cell r="Q343" t="str">
            <v>N/A</v>
          </cell>
          <cell r="R343" t="str">
            <v>N/A</v>
          </cell>
          <cell r="S343" t="str">
            <v>No</v>
          </cell>
          <cell r="T343" t="str">
            <v>N/A</v>
          </cell>
        </row>
        <row r="344">
          <cell r="M344" t="str">
            <v>Aluminium PelmetRevealTBS Cbus Motor</v>
          </cell>
          <cell r="N344">
            <v>0</v>
          </cell>
          <cell r="O344">
            <v>0</v>
          </cell>
          <cell r="P344" t="str">
            <v>N/A</v>
          </cell>
          <cell r="Q344" t="str">
            <v>N/A</v>
          </cell>
          <cell r="R344" t="str">
            <v>No</v>
          </cell>
          <cell r="S344" t="str">
            <v>No</v>
          </cell>
          <cell r="T344" t="str">
            <v>Yes</v>
          </cell>
        </row>
        <row r="345">
          <cell r="M345" t="str">
            <v>Square CassetteRevealTBS Cbus Motor</v>
          </cell>
          <cell r="N345">
            <v>10</v>
          </cell>
          <cell r="O345">
            <v>14</v>
          </cell>
          <cell r="P345">
            <v>14</v>
          </cell>
          <cell r="Q345" t="str">
            <v>N/A</v>
          </cell>
          <cell r="R345" t="str">
            <v>No</v>
          </cell>
          <cell r="S345" t="str">
            <v>No</v>
          </cell>
          <cell r="T345" t="str">
            <v>No</v>
          </cell>
        </row>
        <row r="346">
          <cell r="M346" t="str">
            <v>Square Cassette with Side ChannelsRevealTBS Cbus Motor</v>
          </cell>
          <cell r="N346">
            <v>10</v>
          </cell>
          <cell r="O346">
            <v>14</v>
          </cell>
          <cell r="P346">
            <v>14</v>
          </cell>
          <cell r="Q346">
            <v>88</v>
          </cell>
          <cell r="R346" t="str">
            <v>No</v>
          </cell>
          <cell r="S346" t="str">
            <v>Yes</v>
          </cell>
          <cell r="T346" t="str">
            <v>No</v>
          </cell>
        </row>
        <row r="347">
          <cell r="M347" t="str">
            <v>Round CassetteRevealTBS Cbus Motor</v>
          </cell>
          <cell r="N347">
            <v>10</v>
          </cell>
          <cell r="O347">
            <v>14</v>
          </cell>
          <cell r="P347">
            <v>14</v>
          </cell>
          <cell r="Q347" t="str">
            <v>N/A</v>
          </cell>
          <cell r="R347" t="str">
            <v>No</v>
          </cell>
          <cell r="S347" t="str">
            <v>No</v>
          </cell>
          <cell r="T347" t="str">
            <v>No</v>
          </cell>
        </row>
        <row r="348">
          <cell r="M348" t="str">
            <v>Round Cassette with Side ChannelsRevealTBS Cbus Motor</v>
          </cell>
          <cell r="N348">
            <v>10</v>
          </cell>
          <cell r="O348">
            <v>14</v>
          </cell>
          <cell r="P348">
            <v>14</v>
          </cell>
          <cell r="Q348">
            <v>88</v>
          </cell>
          <cell r="R348" t="str">
            <v>No</v>
          </cell>
          <cell r="S348" t="str">
            <v>Yes</v>
          </cell>
          <cell r="T348" t="str">
            <v>No</v>
          </cell>
        </row>
        <row r="349">
          <cell r="M349" t="str">
            <v>Aluminium ValanceRevealTBS Cbus Motor</v>
          </cell>
          <cell r="N349">
            <v>0</v>
          </cell>
          <cell r="O349" t="str">
            <v>N/A</v>
          </cell>
          <cell r="P349">
            <v>0</v>
          </cell>
          <cell r="Q349" t="str">
            <v>N/A</v>
          </cell>
          <cell r="R349" t="str">
            <v>No</v>
          </cell>
          <cell r="S349" t="str">
            <v>No</v>
          </cell>
          <cell r="T349" t="str">
            <v>Yes</v>
          </cell>
        </row>
        <row r="350">
          <cell r="M350" t="str">
            <v>Aluminium Valance - Fabric CoveredRevealTBS Cbus Motor</v>
          </cell>
          <cell r="N350">
            <v>0</v>
          </cell>
          <cell r="O350" t="str">
            <v>N/A</v>
          </cell>
          <cell r="P350">
            <v>0</v>
          </cell>
          <cell r="Q350" t="str">
            <v>N/A</v>
          </cell>
          <cell r="R350" t="str">
            <v>No</v>
          </cell>
          <cell r="S350" t="str">
            <v>No</v>
          </cell>
          <cell r="T350" t="str">
            <v>Yes</v>
          </cell>
        </row>
        <row r="351">
          <cell r="M351" t="str">
            <v>Side ChannelsRevealTBS Cbus Motor</v>
          </cell>
          <cell r="N351">
            <v>10</v>
          </cell>
          <cell r="O351" t="str">
            <v>N/A</v>
          </cell>
          <cell r="P351" t="str">
            <v>N/A</v>
          </cell>
          <cell r="Q351">
            <v>60</v>
          </cell>
          <cell r="R351" t="str">
            <v>N/A</v>
          </cell>
          <cell r="S351" t="str">
            <v>No</v>
          </cell>
          <cell r="T351" t="str">
            <v>N/A</v>
          </cell>
        </row>
        <row r="352">
          <cell r="M352" t="str">
            <v>Zipscreen HoodingRevealTBS Cbus Motor</v>
          </cell>
          <cell r="N352">
            <v>17</v>
          </cell>
          <cell r="O352">
            <v>66</v>
          </cell>
          <cell r="P352">
            <v>66</v>
          </cell>
          <cell r="Q352" t="str">
            <v>N/A</v>
          </cell>
          <cell r="R352" t="str">
            <v>N/A</v>
          </cell>
          <cell r="S352" t="str">
            <v>No</v>
          </cell>
          <cell r="T352" t="str">
            <v>N/A</v>
          </cell>
        </row>
        <row r="353">
          <cell r="M353" t="str">
            <v>NoneRevealAcmeda External Motor</v>
          </cell>
          <cell r="N353">
            <v>0</v>
          </cell>
          <cell r="O353" t="str">
            <v>N/A</v>
          </cell>
          <cell r="P353" t="str">
            <v>N/A</v>
          </cell>
          <cell r="Q353" t="str">
            <v>N/A</v>
          </cell>
          <cell r="R353" t="str">
            <v>N/A</v>
          </cell>
          <cell r="S353" t="str">
            <v>No</v>
          </cell>
          <cell r="T353" t="str">
            <v>N/A</v>
          </cell>
        </row>
        <row r="354">
          <cell r="M354" t="str">
            <v>Straight Upholstered PelmetRevealAcmeda External Motor</v>
          </cell>
          <cell r="N354">
            <v>0</v>
          </cell>
          <cell r="O354" t="str">
            <v>N/A</v>
          </cell>
          <cell r="P354" t="str">
            <v>N/A</v>
          </cell>
          <cell r="Q354" t="str">
            <v>N/A</v>
          </cell>
          <cell r="R354" t="str">
            <v>N/A</v>
          </cell>
          <cell r="S354" t="str">
            <v>No</v>
          </cell>
          <cell r="T354" t="str">
            <v>N/A</v>
          </cell>
        </row>
        <row r="355">
          <cell r="M355" t="str">
            <v>Shaped Upholstered PelmetRevealAcmeda External Motor</v>
          </cell>
          <cell r="N355">
            <v>0</v>
          </cell>
          <cell r="O355" t="str">
            <v>N/A</v>
          </cell>
          <cell r="P355" t="str">
            <v>N/A</v>
          </cell>
          <cell r="Q355" t="str">
            <v>N/A</v>
          </cell>
          <cell r="R355" t="str">
            <v>N/A</v>
          </cell>
          <cell r="S355" t="str">
            <v>No</v>
          </cell>
          <cell r="T355" t="str">
            <v>N/A</v>
          </cell>
        </row>
        <row r="356">
          <cell r="M356" t="str">
            <v>Aluminium PelmetRevealAcmeda External Motor</v>
          </cell>
          <cell r="N356">
            <v>0</v>
          </cell>
          <cell r="O356">
            <v>0</v>
          </cell>
          <cell r="P356" t="str">
            <v>N/A</v>
          </cell>
          <cell r="Q356" t="str">
            <v>N/A</v>
          </cell>
          <cell r="R356" t="str">
            <v>No</v>
          </cell>
          <cell r="S356" t="str">
            <v>No</v>
          </cell>
          <cell r="T356" t="str">
            <v>Yes</v>
          </cell>
        </row>
        <row r="357">
          <cell r="M357" t="str">
            <v>Square CassetteRevealAcmeda External Motor</v>
          </cell>
          <cell r="N357">
            <v>10</v>
          </cell>
          <cell r="O357">
            <v>14</v>
          </cell>
          <cell r="P357">
            <v>14</v>
          </cell>
          <cell r="Q357" t="str">
            <v>N/A</v>
          </cell>
          <cell r="R357" t="str">
            <v>No</v>
          </cell>
          <cell r="S357" t="str">
            <v>No</v>
          </cell>
          <cell r="T357" t="str">
            <v>No</v>
          </cell>
        </row>
        <row r="358">
          <cell r="M358" t="str">
            <v>Square Cassette with Side ChannelsRevealAcmeda External Motor</v>
          </cell>
          <cell r="N358">
            <v>10</v>
          </cell>
          <cell r="O358">
            <v>14</v>
          </cell>
          <cell r="P358">
            <v>14</v>
          </cell>
          <cell r="Q358">
            <v>88</v>
          </cell>
          <cell r="R358" t="str">
            <v>No</v>
          </cell>
          <cell r="S358" t="str">
            <v>Yes</v>
          </cell>
          <cell r="T358" t="str">
            <v>No</v>
          </cell>
        </row>
        <row r="359">
          <cell r="M359" t="str">
            <v>Round CassetteRevealAcmeda External Motor</v>
          </cell>
          <cell r="N359">
            <v>10</v>
          </cell>
          <cell r="O359">
            <v>14</v>
          </cell>
          <cell r="P359">
            <v>14</v>
          </cell>
          <cell r="Q359" t="str">
            <v>N/A</v>
          </cell>
          <cell r="R359" t="str">
            <v>No</v>
          </cell>
          <cell r="S359" t="str">
            <v>No</v>
          </cell>
          <cell r="T359" t="str">
            <v>No</v>
          </cell>
        </row>
        <row r="360">
          <cell r="M360" t="str">
            <v>Round Cassette with Side ChannelsRevealAcmeda External Motor</v>
          </cell>
          <cell r="N360">
            <v>10</v>
          </cell>
          <cell r="O360">
            <v>14</v>
          </cell>
          <cell r="P360">
            <v>14</v>
          </cell>
          <cell r="Q360">
            <v>88</v>
          </cell>
          <cell r="R360" t="str">
            <v>No</v>
          </cell>
          <cell r="S360" t="str">
            <v>Yes</v>
          </cell>
          <cell r="T360" t="str">
            <v>No</v>
          </cell>
        </row>
        <row r="361">
          <cell r="M361" t="str">
            <v>Aluminium ValanceRevealAcmeda External Motor</v>
          </cell>
          <cell r="N361">
            <v>0</v>
          </cell>
          <cell r="O361" t="str">
            <v>N/A</v>
          </cell>
          <cell r="P361">
            <v>0</v>
          </cell>
          <cell r="Q361" t="str">
            <v>N/A</v>
          </cell>
          <cell r="R361" t="str">
            <v>No</v>
          </cell>
          <cell r="S361" t="str">
            <v>No</v>
          </cell>
          <cell r="T361" t="str">
            <v>Yes</v>
          </cell>
        </row>
        <row r="362">
          <cell r="M362" t="str">
            <v>Aluminium Valance - Fabric CoveredRevealAcmeda External Motor</v>
          </cell>
          <cell r="N362">
            <v>0</v>
          </cell>
          <cell r="O362" t="str">
            <v>N/A</v>
          </cell>
          <cell r="P362">
            <v>0</v>
          </cell>
          <cell r="Q362" t="str">
            <v>N/A</v>
          </cell>
          <cell r="R362" t="str">
            <v>No</v>
          </cell>
          <cell r="S362" t="str">
            <v>No</v>
          </cell>
          <cell r="T362" t="str">
            <v>Yes</v>
          </cell>
        </row>
        <row r="363">
          <cell r="M363" t="str">
            <v>Side ChannelsRevealAcmeda External Motor</v>
          </cell>
          <cell r="N363">
            <v>0</v>
          </cell>
          <cell r="O363" t="str">
            <v>N/A</v>
          </cell>
          <cell r="P363" t="str">
            <v>N/A</v>
          </cell>
          <cell r="Q363">
            <v>60</v>
          </cell>
          <cell r="R363" t="str">
            <v>N/A</v>
          </cell>
          <cell r="S363" t="str">
            <v>No</v>
          </cell>
          <cell r="T363" t="str">
            <v>N/A</v>
          </cell>
        </row>
        <row r="364">
          <cell r="M364" t="str">
            <v>Zipscreen HoodingRevealAcmeda External Motor</v>
          </cell>
          <cell r="N364">
            <v>17</v>
          </cell>
          <cell r="O364">
            <v>66</v>
          </cell>
          <cell r="P364">
            <v>66</v>
          </cell>
          <cell r="Q364" t="str">
            <v>N/A</v>
          </cell>
          <cell r="R364" t="str">
            <v>N/A</v>
          </cell>
          <cell r="S364" t="str">
            <v>No</v>
          </cell>
          <cell r="T364" t="str">
            <v>N/A</v>
          </cell>
        </row>
        <row r="365">
          <cell r="M365" t="str">
            <v>NoneFaceChain Winder</v>
          </cell>
          <cell r="N365">
            <v>0</v>
          </cell>
          <cell r="O365" t="str">
            <v>N/A</v>
          </cell>
          <cell r="P365" t="str">
            <v>N/A</v>
          </cell>
          <cell r="Q365" t="str">
            <v>N/A</v>
          </cell>
          <cell r="R365" t="str">
            <v>N/A</v>
          </cell>
          <cell r="S365" t="str">
            <v>No</v>
          </cell>
          <cell r="T365" t="str">
            <v>N/A</v>
          </cell>
        </row>
        <row r="366">
          <cell r="M366" t="str">
            <v>Straight Upholstered PelmetFaceChain Winder</v>
          </cell>
          <cell r="N366">
            <v>0</v>
          </cell>
          <cell r="O366" t="str">
            <v>N/A</v>
          </cell>
          <cell r="P366" t="str">
            <v>N/A</v>
          </cell>
          <cell r="Q366" t="str">
            <v>N/A</v>
          </cell>
          <cell r="R366" t="str">
            <v>N/A</v>
          </cell>
          <cell r="S366" t="str">
            <v>No</v>
          </cell>
          <cell r="T366" t="str">
            <v>N/A</v>
          </cell>
        </row>
        <row r="367">
          <cell r="M367" t="str">
            <v>Shaped Upholstered PelmetFaceChain Winder</v>
          </cell>
          <cell r="N367">
            <v>0</v>
          </cell>
          <cell r="O367" t="str">
            <v>N/A</v>
          </cell>
          <cell r="P367" t="str">
            <v>N/A</v>
          </cell>
          <cell r="Q367" t="str">
            <v>N/A</v>
          </cell>
          <cell r="R367" t="str">
            <v>N/A</v>
          </cell>
          <cell r="S367" t="str">
            <v>No</v>
          </cell>
          <cell r="T367" t="str">
            <v>N/A</v>
          </cell>
        </row>
        <row r="368">
          <cell r="M368" t="str">
            <v>Aluminium PelmetFaceChain Winder</v>
          </cell>
          <cell r="N368">
            <v>6</v>
          </cell>
          <cell r="O368">
            <v>6</v>
          </cell>
          <cell r="P368" t="str">
            <v>N/A</v>
          </cell>
          <cell r="Q368" t="str">
            <v>N/A</v>
          </cell>
          <cell r="R368" t="str">
            <v>Yes</v>
          </cell>
          <cell r="S368" t="str">
            <v>No</v>
          </cell>
          <cell r="T368" t="str">
            <v>Yes</v>
          </cell>
        </row>
        <row r="369">
          <cell r="M369" t="str">
            <v>Square CassetteFaceChain Winder</v>
          </cell>
          <cell r="N369">
            <v>10</v>
          </cell>
          <cell r="O369">
            <v>14</v>
          </cell>
          <cell r="P369">
            <v>29</v>
          </cell>
          <cell r="Q369" t="str">
            <v>N/A</v>
          </cell>
          <cell r="R369" t="str">
            <v>No</v>
          </cell>
          <cell r="S369" t="str">
            <v>No</v>
          </cell>
          <cell r="T369" t="str">
            <v>No</v>
          </cell>
        </row>
        <row r="370">
          <cell r="M370" t="str">
            <v>Square Cassette with Side ChannelsFaceChain Winder</v>
          </cell>
          <cell r="N370">
            <v>10</v>
          </cell>
          <cell r="O370">
            <v>14</v>
          </cell>
          <cell r="P370">
            <v>29</v>
          </cell>
          <cell r="Q370">
            <v>88</v>
          </cell>
          <cell r="R370" t="str">
            <v>No</v>
          </cell>
          <cell r="S370" t="str">
            <v>Yes</v>
          </cell>
          <cell r="T370" t="str">
            <v>No</v>
          </cell>
        </row>
        <row r="371">
          <cell r="M371" t="str">
            <v>Round CassetteFaceChain Winder</v>
          </cell>
          <cell r="N371">
            <v>10</v>
          </cell>
          <cell r="O371">
            <v>14</v>
          </cell>
          <cell r="P371">
            <v>29</v>
          </cell>
          <cell r="Q371" t="str">
            <v>N/A</v>
          </cell>
          <cell r="R371" t="str">
            <v>No</v>
          </cell>
          <cell r="S371" t="str">
            <v>No</v>
          </cell>
          <cell r="T371" t="str">
            <v>No</v>
          </cell>
        </row>
        <row r="372">
          <cell r="M372" t="str">
            <v>Round Cassette with Side ChannelsFaceChain Winder</v>
          </cell>
          <cell r="N372">
            <v>10</v>
          </cell>
          <cell r="O372">
            <v>14</v>
          </cell>
          <cell r="P372">
            <v>29</v>
          </cell>
          <cell r="Q372">
            <v>88</v>
          </cell>
          <cell r="R372" t="str">
            <v>No</v>
          </cell>
          <cell r="S372" t="str">
            <v>Yes</v>
          </cell>
          <cell r="T372" t="str">
            <v>No</v>
          </cell>
        </row>
        <row r="373">
          <cell r="M373" t="str">
            <v>Aluminium ValanceFaceChain Winder</v>
          </cell>
          <cell r="N373">
            <v>6</v>
          </cell>
          <cell r="O373" t="str">
            <v>N/A</v>
          </cell>
          <cell r="P373">
            <v>0</v>
          </cell>
          <cell r="Q373" t="str">
            <v>N/A</v>
          </cell>
          <cell r="R373" t="str">
            <v>Yes</v>
          </cell>
          <cell r="S373" t="str">
            <v>No</v>
          </cell>
          <cell r="T373" t="str">
            <v>No</v>
          </cell>
        </row>
        <row r="374">
          <cell r="M374" t="str">
            <v>Aluminium Valance - Fabric CoveredFaceChain Winder</v>
          </cell>
          <cell r="N374">
            <v>6</v>
          </cell>
          <cell r="O374" t="str">
            <v>N/A</v>
          </cell>
          <cell r="P374">
            <v>0</v>
          </cell>
          <cell r="Q374" t="str">
            <v>N/A</v>
          </cell>
          <cell r="R374" t="str">
            <v>Yes</v>
          </cell>
          <cell r="S374" t="str">
            <v>No</v>
          </cell>
          <cell r="T374" t="str">
            <v>No</v>
          </cell>
        </row>
        <row r="375">
          <cell r="M375" t="str">
            <v>Side ChannelsFaceChain Winder</v>
          </cell>
          <cell r="N375">
            <v>10</v>
          </cell>
          <cell r="O375" t="str">
            <v>N/A</v>
          </cell>
          <cell r="P375" t="str">
            <v>N/A</v>
          </cell>
          <cell r="Q375">
            <v>60</v>
          </cell>
          <cell r="R375" t="str">
            <v>N/A</v>
          </cell>
          <cell r="S375" t="str">
            <v>No</v>
          </cell>
          <cell r="T375" t="str">
            <v>N/A</v>
          </cell>
        </row>
        <row r="376">
          <cell r="M376" t="str">
            <v>Zipscreen HoodingFaceChain Winder</v>
          </cell>
          <cell r="N376">
            <v>17</v>
          </cell>
          <cell r="O376">
            <v>66</v>
          </cell>
          <cell r="P376">
            <v>66</v>
          </cell>
          <cell r="Q376" t="str">
            <v>N/A</v>
          </cell>
          <cell r="R376" t="str">
            <v>N/A</v>
          </cell>
          <cell r="S376" t="str">
            <v>No</v>
          </cell>
          <cell r="T376" t="str">
            <v>N/A</v>
          </cell>
        </row>
        <row r="377">
          <cell r="M377" t="str">
            <v>NoneFaceChain Winder 60mm</v>
          </cell>
          <cell r="N377">
            <v>0</v>
          </cell>
          <cell r="O377" t="str">
            <v>N/A</v>
          </cell>
          <cell r="P377" t="str">
            <v>N/A</v>
          </cell>
          <cell r="Q377" t="str">
            <v>N/A</v>
          </cell>
          <cell r="R377" t="str">
            <v>N/A</v>
          </cell>
          <cell r="S377" t="str">
            <v>No</v>
          </cell>
          <cell r="T377" t="str">
            <v>N/A</v>
          </cell>
        </row>
        <row r="378">
          <cell r="M378" t="str">
            <v>Straight Upholstered PelmetFaceChain Winder 60mm</v>
          </cell>
          <cell r="N378">
            <v>0</v>
          </cell>
          <cell r="O378" t="str">
            <v>N/A</v>
          </cell>
          <cell r="P378" t="str">
            <v>N/A</v>
          </cell>
          <cell r="Q378" t="str">
            <v>N/A</v>
          </cell>
          <cell r="R378" t="str">
            <v>N/A</v>
          </cell>
          <cell r="S378" t="str">
            <v>No</v>
          </cell>
          <cell r="T378" t="str">
            <v>N/A</v>
          </cell>
        </row>
        <row r="379">
          <cell r="M379" t="str">
            <v>Shaped Upholstered PelmetFaceChain Winder 60mm</v>
          </cell>
          <cell r="N379">
            <v>0</v>
          </cell>
          <cell r="O379" t="str">
            <v>N/A</v>
          </cell>
          <cell r="P379" t="str">
            <v>N/A</v>
          </cell>
          <cell r="Q379" t="str">
            <v>N/A</v>
          </cell>
          <cell r="R379" t="str">
            <v>N/A</v>
          </cell>
          <cell r="S379" t="str">
            <v>No</v>
          </cell>
          <cell r="T379" t="str">
            <v>N/A</v>
          </cell>
        </row>
        <row r="380">
          <cell r="M380" t="str">
            <v>Aluminium PelmetFaceChain Winder 60mm</v>
          </cell>
          <cell r="N380">
            <v>6</v>
          </cell>
          <cell r="O380">
            <v>6</v>
          </cell>
          <cell r="P380" t="str">
            <v>N/A</v>
          </cell>
          <cell r="Q380" t="str">
            <v>N/A</v>
          </cell>
          <cell r="R380" t="str">
            <v>Yes</v>
          </cell>
          <cell r="S380" t="str">
            <v>No</v>
          </cell>
          <cell r="T380" t="str">
            <v>Yes</v>
          </cell>
        </row>
        <row r="381">
          <cell r="M381" t="str">
            <v>Square CassetteFaceChain Winder 60mm</v>
          </cell>
          <cell r="N381">
            <v>10</v>
          </cell>
          <cell r="O381">
            <v>14</v>
          </cell>
          <cell r="P381">
            <v>29</v>
          </cell>
          <cell r="Q381" t="str">
            <v>N/A</v>
          </cell>
          <cell r="R381" t="str">
            <v>No</v>
          </cell>
          <cell r="S381" t="str">
            <v>No</v>
          </cell>
          <cell r="T381" t="str">
            <v>No</v>
          </cell>
        </row>
        <row r="382">
          <cell r="M382" t="str">
            <v>Square Cassette with Side ChannelsFaceChain Winder 60mm</v>
          </cell>
          <cell r="N382">
            <v>10</v>
          </cell>
          <cell r="O382">
            <v>14</v>
          </cell>
          <cell r="P382">
            <v>29</v>
          </cell>
          <cell r="Q382">
            <v>88</v>
          </cell>
          <cell r="R382" t="str">
            <v>No</v>
          </cell>
          <cell r="S382" t="str">
            <v>Yes</v>
          </cell>
          <cell r="T382" t="str">
            <v>No</v>
          </cell>
        </row>
        <row r="383">
          <cell r="M383" t="str">
            <v>Round CassetteFaceChain Winder 60mm</v>
          </cell>
          <cell r="N383">
            <v>10</v>
          </cell>
          <cell r="O383">
            <v>14</v>
          </cell>
          <cell r="P383">
            <v>29</v>
          </cell>
          <cell r="Q383" t="str">
            <v>N/A</v>
          </cell>
          <cell r="R383" t="str">
            <v>No</v>
          </cell>
          <cell r="S383" t="str">
            <v>No</v>
          </cell>
          <cell r="T383" t="str">
            <v>No</v>
          </cell>
        </row>
        <row r="384">
          <cell r="M384" t="str">
            <v>Round Cassette with Side ChannelsFaceChain Winder 60mm</v>
          </cell>
          <cell r="N384">
            <v>10</v>
          </cell>
          <cell r="O384">
            <v>14</v>
          </cell>
          <cell r="P384">
            <v>29</v>
          </cell>
          <cell r="Q384">
            <v>88</v>
          </cell>
          <cell r="R384" t="str">
            <v>No</v>
          </cell>
          <cell r="S384" t="str">
            <v>Yes</v>
          </cell>
          <cell r="T384" t="str">
            <v>No</v>
          </cell>
        </row>
        <row r="385">
          <cell r="M385" t="str">
            <v>Aluminium ValanceFaceChain Winder 60mm</v>
          </cell>
          <cell r="N385">
            <v>6</v>
          </cell>
          <cell r="O385" t="str">
            <v>N/A</v>
          </cell>
          <cell r="P385">
            <v>0</v>
          </cell>
          <cell r="Q385" t="str">
            <v>N/A</v>
          </cell>
          <cell r="R385" t="str">
            <v>Yes</v>
          </cell>
          <cell r="S385" t="str">
            <v>No</v>
          </cell>
          <cell r="T385" t="str">
            <v>No</v>
          </cell>
        </row>
        <row r="386">
          <cell r="M386" t="str">
            <v>Aluminium Valance - Fabric CoveredFaceChain Winder 60mm</v>
          </cell>
          <cell r="N386">
            <v>6</v>
          </cell>
          <cell r="O386" t="str">
            <v>N/A</v>
          </cell>
          <cell r="P386">
            <v>0</v>
          </cell>
          <cell r="Q386" t="str">
            <v>N/A</v>
          </cell>
          <cell r="R386" t="str">
            <v>Yes</v>
          </cell>
          <cell r="S386" t="str">
            <v>No</v>
          </cell>
          <cell r="T386" t="str">
            <v>No</v>
          </cell>
        </row>
        <row r="387">
          <cell r="M387" t="str">
            <v>Side ChannelsFaceChain Winder 60mm</v>
          </cell>
          <cell r="N387">
            <v>10</v>
          </cell>
          <cell r="O387" t="str">
            <v>N/A</v>
          </cell>
          <cell r="P387" t="str">
            <v>N/A</v>
          </cell>
          <cell r="Q387">
            <v>60</v>
          </cell>
          <cell r="R387" t="str">
            <v>N/A</v>
          </cell>
          <cell r="S387" t="str">
            <v>No</v>
          </cell>
          <cell r="T387" t="str">
            <v>N/A</v>
          </cell>
        </row>
        <row r="388">
          <cell r="M388" t="str">
            <v>Zipscreen HoodingFaceChain Winder 60mm</v>
          </cell>
          <cell r="N388">
            <v>17</v>
          </cell>
          <cell r="O388">
            <v>66</v>
          </cell>
          <cell r="P388">
            <v>66</v>
          </cell>
          <cell r="Q388" t="str">
            <v>N/A</v>
          </cell>
          <cell r="R388" t="str">
            <v>N/A</v>
          </cell>
          <cell r="S388" t="str">
            <v>No</v>
          </cell>
          <cell r="T388" t="str">
            <v>N/A</v>
          </cell>
        </row>
        <row r="389">
          <cell r="M389" t="str">
            <v>NoneFaceChain Winder Fixed Guide</v>
          </cell>
          <cell r="N389">
            <v>0</v>
          </cell>
          <cell r="O389" t="str">
            <v>N/A</v>
          </cell>
          <cell r="P389" t="str">
            <v>N/A</v>
          </cell>
          <cell r="Q389" t="str">
            <v>N/A</v>
          </cell>
          <cell r="R389" t="str">
            <v>N/A</v>
          </cell>
          <cell r="S389" t="str">
            <v>No</v>
          </cell>
          <cell r="T389" t="str">
            <v>N/A</v>
          </cell>
        </row>
        <row r="390">
          <cell r="M390" t="str">
            <v>Straight Upholstered PelmetFaceChain Winder Fixed Guide</v>
          </cell>
          <cell r="N390">
            <v>0</v>
          </cell>
          <cell r="O390" t="str">
            <v>N/A</v>
          </cell>
          <cell r="P390" t="str">
            <v>N/A</v>
          </cell>
          <cell r="Q390" t="str">
            <v>N/A</v>
          </cell>
          <cell r="R390" t="str">
            <v>N/A</v>
          </cell>
          <cell r="S390" t="str">
            <v>No</v>
          </cell>
          <cell r="T390" t="str">
            <v>N/A</v>
          </cell>
        </row>
        <row r="391">
          <cell r="M391" t="str">
            <v>Shaped Upholstered PelmetFaceChain Winder Fixed Guide</v>
          </cell>
          <cell r="N391">
            <v>0</v>
          </cell>
          <cell r="O391" t="str">
            <v>N/A</v>
          </cell>
          <cell r="P391" t="str">
            <v>N/A</v>
          </cell>
          <cell r="Q391" t="str">
            <v>N/A</v>
          </cell>
          <cell r="R391" t="str">
            <v>N/A</v>
          </cell>
          <cell r="S391" t="str">
            <v>No</v>
          </cell>
          <cell r="T391" t="str">
            <v>N/A</v>
          </cell>
        </row>
        <row r="392">
          <cell r="M392" t="str">
            <v>Aluminium PelmetFaceChain Winder Fixed Guide</v>
          </cell>
          <cell r="N392">
            <v>6</v>
          </cell>
          <cell r="O392">
            <v>6</v>
          </cell>
          <cell r="P392" t="str">
            <v>N/A</v>
          </cell>
          <cell r="Q392" t="str">
            <v>N/A</v>
          </cell>
          <cell r="R392" t="str">
            <v>Yes</v>
          </cell>
          <cell r="S392" t="str">
            <v>No</v>
          </cell>
          <cell r="T392" t="str">
            <v>Yes</v>
          </cell>
        </row>
        <row r="393">
          <cell r="M393" t="str">
            <v>Square CassetteFaceChain Winder Fixed Guide</v>
          </cell>
          <cell r="N393">
            <v>10</v>
          </cell>
          <cell r="O393">
            <v>14</v>
          </cell>
          <cell r="P393">
            <v>29</v>
          </cell>
          <cell r="Q393" t="str">
            <v>N/A</v>
          </cell>
          <cell r="R393" t="str">
            <v>No</v>
          </cell>
          <cell r="S393" t="str">
            <v>No</v>
          </cell>
          <cell r="T393" t="str">
            <v>No</v>
          </cell>
        </row>
        <row r="394">
          <cell r="M394" t="str">
            <v>Square Cassette with Side ChannelsFaceChain Winder Fixed Guide</v>
          </cell>
          <cell r="N394">
            <v>10</v>
          </cell>
          <cell r="O394">
            <v>14</v>
          </cell>
          <cell r="P394">
            <v>29</v>
          </cell>
          <cell r="Q394">
            <v>88</v>
          </cell>
          <cell r="R394" t="str">
            <v>No</v>
          </cell>
          <cell r="S394" t="str">
            <v>Yes</v>
          </cell>
          <cell r="T394" t="str">
            <v>No</v>
          </cell>
        </row>
        <row r="395">
          <cell r="M395" t="str">
            <v>Round CassetteFaceChain Winder Fixed Guide</v>
          </cell>
          <cell r="N395">
            <v>10</v>
          </cell>
          <cell r="O395">
            <v>14</v>
          </cell>
          <cell r="P395">
            <v>29</v>
          </cell>
          <cell r="Q395" t="str">
            <v>N/A</v>
          </cell>
          <cell r="R395" t="str">
            <v>No</v>
          </cell>
          <cell r="S395" t="str">
            <v>No</v>
          </cell>
          <cell r="T395" t="str">
            <v>No</v>
          </cell>
        </row>
        <row r="396">
          <cell r="M396" t="str">
            <v>Round Cassette with Side ChannelsFaceChain Winder Fixed Guide</v>
          </cell>
          <cell r="N396">
            <v>10</v>
          </cell>
          <cell r="O396">
            <v>14</v>
          </cell>
          <cell r="P396">
            <v>29</v>
          </cell>
          <cell r="Q396">
            <v>88</v>
          </cell>
          <cell r="R396" t="str">
            <v>No</v>
          </cell>
          <cell r="S396" t="str">
            <v>Yes</v>
          </cell>
          <cell r="T396" t="str">
            <v>No</v>
          </cell>
        </row>
        <row r="397">
          <cell r="M397" t="str">
            <v>Aluminium ValanceFaceChain Winder Fixed Guide</v>
          </cell>
          <cell r="N397">
            <v>6</v>
          </cell>
          <cell r="O397" t="str">
            <v>N/A</v>
          </cell>
          <cell r="P397">
            <v>0</v>
          </cell>
          <cell r="Q397" t="str">
            <v>N/A</v>
          </cell>
          <cell r="R397" t="str">
            <v>Yes</v>
          </cell>
          <cell r="S397" t="str">
            <v>No</v>
          </cell>
          <cell r="T397" t="str">
            <v>No</v>
          </cell>
        </row>
        <row r="398">
          <cell r="M398" t="str">
            <v>Aluminium Valance - Fabric CoveredFaceChain Winder Fixed Guide</v>
          </cell>
          <cell r="N398">
            <v>6</v>
          </cell>
          <cell r="O398" t="str">
            <v>N/A</v>
          </cell>
          <cell r="P398">
            <v>0</v>
          </cell>
          <cell r="Q398" t="str">
            <v>N/A</v>
          </cell>
          <cell r="R398" t="str">
            <v>Yes</v>
          </cell>
          <cell r="S398" t="str">
            <v>No</v>
          </cell>
          <cell r="T398" t="str">
            <v>No</v>
          </cell>
        </row>
        <row r="399">
          <cell r="M399" t="str">
            <v>Side ChannelsFaceChain Winder Fixed Guide</v>
          </cell>
          <cell r="N399">
            <v>10</v>
          </cell>
          <cell r="O399" t="str">
            <v>N/A</v>
          </cell>
          <cell r="P399" t="str">
            <v>N/A</v>
          </cell>
          <cell r="Q399">
            <v>60</v>
          </cell>
          <cell r="R399" t="str">
            <v>N/A</v>
          </cell>
          <cell r="S399" t="str">
            <v>No</v>
          </cell>
          <cell r="T399" t="str">
            <v>N/A</v>
          </cell>
        </row>
        <row r="400">
          <cell r="M400" t="str">
            <v>Zipscreen HoodingFaceChain Winder Fixed Guide</v>
          </cell>
          <cell r="N400">
            <v>17</v>
          </cell>
          <cell r="O400">
            <v>66</v>
          </cell>
          <cell r="P400">
            <v>66</v>
          </cell>
          <cell r="Q400" t="str">
            <v>N/A</v>
          </cell>
          <cell r="R400" t="str">
            <v>N/A</v>
          </cell>
          <cell r="S400" t="str">
            <v>No</v>
          </cell>
          <cell r="T400" t="str">
            <v>N/A</v>
          </cell>
        </row>
        <row r="401">
          <cell r="M401" t="str">
            <v>NoneFaceLinked</v>
          </cell>
          <cell r="N401">
            <v>0</v>
          </cell>
          <cell r="O401" t="str">
            <v>N/A</v>
          </cell>
          <cell r="P401" t="str">
            <v>N/A</v>
          </cell>
          <cell r="Q401" t="str">
            <v>N/A</v>
          </cell>
          <cell r="R401" t="str">
            <v>N/A</v>
          </cell>
          <cell r="S401" t="str">
            <v>No</v>
          </cell>
          <cell r="T401" t="str">
            <v>N/A</v>
          </cell>
        </row>
        <row r="402">
          <cell r="M402" t="str">
            <v>Straight Upholstered PelmetFaceLinked</v>
          </cell>
          <cell r="N402">
            <v>0</v>
          </cell>
          <cell r="O402" t="str">
            <v>N/A</v>
          </cell>
          <cell r="P402" t="str">
            <v>N/A</v>
          </cell>
          <cell r="Q402" t="str">
            <v>N/A</v>
          </cell>
          <cell r="R402" t="str">
            <v>N/A</v>
          </cell>
          <cell r="S402" t="str">
            <v>No</v>
          </cell>
          <cell r="T402" t="str">
            <v>N/A</v>
          </cell>
        </row>
        <row r="403">
          <cell r="M403" t="str">
            <v>Shaped Upholstered PelmetFaceLinked</v>
          </cell>
          <cell r="N403">
            <v>0</v>
          </cell>
          <cell r="O403" t="str">
            <v>N/A</v>
          </cell>
          <cell r="P403" t="str">
            <v>N/A</v>
          </cell>
          <cell r="Q403" t="str">
            <v>N/A</v>
          </cell>
          <cell r="R403" t="str">
            <v>N/A</v>
          </cell>
          <cell r="S403" t="str">
            <v>No</v>
          </cell>
          <cell r="T403" t="str">
            <v>N/A</v>
          </cell>
        </row>
        <row r="404">
          <cell r="M404" t="str">
            <v>Aluminium PelmetFaceLinked</v>
          </cell>
          <cell r="N404">
            <v>6</v>
          </cell>
          <cell r="O404">
            <v>6</v>
          </cell>
          <cell r="P404" t="str">
            <v>N/A</v>
          </cell>
          <cell r="Q404" t="str">
            <v>N/A</v>
          </cell>
          <cell r="R404" t="str">
            <v>Yes</v>
          </cell>
          <cell r="S404" t="str">
            <v>No</v>
          </cell>
          <cell r="T404" t="str">
            <v>Yes</v>
          </cell>
        </row>
        <row r="405">
          <cell r="M405" t="str">
            <v>Square CassetteFaceLinked</v>
          </cell>
          <cell r="N405">
            <v>10</v>
          </cell>
          <cell r="O405">
            <v>14</v>
          </cell>
          <cell r="P405">
            <v>14</v>
          </cell>
          <cell r="Q405" t="str">
            <v>N/A</v>
          </cell>
          <cell r="R405" t="str">
            <v>No</v>
          </cell>
          <cell r="S405" t="str">
            <v>No</v>
          </cell>
          <cell r="T405" t="str">
            <v>No</v>
          </cell>
        </row>
        <row r="406">
          <cell r="M406" t="str">
            <v>Square Cassette with Side ChannelsFaceLinked</v>
          </cell>
          <cell r="N406">
            <v>10</v>
          </cell>
          <cell r="O406">
            <v>14</v>
          </cell>
          <cell r="P406">
            <v>14</v>
          </cell>
          <cell r="Q406">
            <v>88</v>
          </cell>
          <cell r="R406" t="str">
            <v>No</v>
          </cell>
          <cell r="S406" t="str">
            <v>Yes</v>
          </cell>
          <cell r="T406" t="str">
            <v>No</v>
          </cell>
        </row>
        <row r="407">
          <cell r="M407" t="str">
            <v>Round CassetteFaceLinked</v>
          </cell>
          <cell r="N407">
            <v>10</v>
          </cell>
          <cell r="O407">
            <v>14</v>
          </cell>
          <cell r="P407">
            <v>14</v>
          </cell>
          <cell r="Q407" t="str">
            <v>N/A</v>
          </cell>
          <cell r="R407" t="str">
            <v>No</v>
          </cell>
          <cell r="S407" t="str">
            <v>No</v>
          </cell>
          <cell r="T407" t="str">
            <v>No</v>
          </cell>
        </row>
        <row r="408">
          <cell r="M408" t="str">
            <v>Round Cassette with Side ChannelsFaceLinked</v>
          </cell>
          <cell r="N408">
            <v>10</v>
          </cell>
          <cell r="O408">
            <v>14</v>
          </cell>
          <cell r="P408">
            <v>14</v>
          </cell>
          <cell r="Q408">
            <v>88</v>
          </cell>
          <cell r="R408" t="str">
            <v>No</v>
          </cell>
          <cell r="S408" t="str">
            <v>Yes</v>
          </cell>
          <cell r="T408" t="str">
            <v>No</v>
          </cell>
        </row>
        <row r="409">
          <cell r="M409" t="str">
            <v>Aluminium ValanceFaceLinked</v>
          </cell>
          <cell r="N409">
            <v>6</v>
          </cell>
          <cell r="O409" t="str">
            <v>N/A</v>
          </cell>
          <cell r="P409">
            <v>0</v>
          </cell>
          <cell r="Q409" t="str">
            <v>N/A</v>
          </cell>
          <cell r="R409" t="str">
            <v>Yes</v>
          </cell>
          <cell r="S409" t="str">
            <v>No</v>
          </cell>
          <cell r="T409" t="str">
            <v>No</v>
          </cell>
        </row>
        <row r="410">
          <cell r="M410" t="str">
            <v>Aluminium Valance - Fabric CoveredFaceLinked</v>
          </cell>
          <cell r="N410">
            <v>6</v>
          </cell>
          <cell r="O410" t="str">
            <v>N/A</v>
          </cell>
          <cell r="P410">
            <v>0</v>
          </cell>
          <cell r="Q410" t="str">
            <v>N/A</v>
          </cell>
          <cell r="R410" t="str">
            <v>Yes</v>
          </cell>
          <cell r="S410" t="str">
            <v>No</v>
          </cell>
          <cell r="T410" t="str">
            <v>No</v>
          </cell>
        </row>
        <row r="411">
          <cell r="M411" t="str">
            <v>Side ChannelsFaceLinked</v>
          </cell>
          <cell r="N411">
            <v>10</v>
          </cell>
          <cell r="O411" t="str">
            <v>N/A</v>
          </cell>
          <cell r="P411" t="str">
            <v>N/A</v>
          </cell>
          <cell r="Q411">
            <v>60</v>
          </cell>
          <cell r="R411" t="str">
            <v>N/A</v>
          </cell>
          <cell r="S411" t="str">
            <v>No</v>
          </cell>
          <cell r="T411" t="str">
            <v>N/A</v>
          </cell>
        </row>
        <row r="412">
          <cell r="M412" t="str">
            <v>Zipscreen HoodingFaceLinked</v>
          </cell>
          <cell r="N412">
            <v>17</v>
          </cell>
          <cell r="O412">
            <v>66</v>
          </cell>
          <cell r="P412">
            <v>66</v>
          </cell>
          <cell r="Q412" t="str">
            <v>N/A</v>
          </cell>
          <cell r="R412" t="str">
            <v>N/A</v>
          </cell>
          <cell r="S412" t="str">
            <v>No</v>
          </cell>
          <cell r="T412" t="str">
            <v>N/A</v>
          </cell>
        </row>
        <row r="413">
          <cell r="M413" t="str">
            <v>NoneFaceStandard Spring</v>
          </cell>
          <cell r="N413">
            <v>0</v>
          </cell>
          <cell r="O413" t="str">
            <v>N/A</v>
          </cell>
          <cell r="P413" t="str">
            <v>N/A</v>
          </cell>
          <cell r="Q413" t="str">
            <v>N/A</v>
          </cell>
          <cell r="R413" t="str">
            <v>N/A</v>
          </cell>
          <cell r="S413" t="str">
            <v>No</v>
          </cell>
          <cell r="T413" t="str">
            <v>N/A</v>
          </cell>
        </row>
        <row r="414">
          <cell r="M414" t="str">
            <v>Straight Upholstered PelmetFaceStandard Spring</v>
          </cell>
          <cell r="N414">
            <v>0</v>
          </cell>
          <cell r="O414" t="str">
            <v>N/A</v>
          </cell>
          <cell r="P414" t="str">
            <v>N/A</v>
          </cell>
          <cell r="Q414" t="str">
            <v>N/A</v>
          </cell>
          <cell r="R414" t="str">
            <v>N/A</v>
          </cell>
          <cell r="S414" t="str">
            <v>No</v>
          </cell>
          <cell r="T414" t="str">
            <v>N/A</v>
          </cell>
        </row>
        <row r="415">
          <cell r="M415" t="str">
            <v>Shaped Upholstered PelmetFaceStandard Spring</v>
          </cell>
          <cell r="N415">
            <v>0</v>
          </cell>
          <cell r="O415" t="str">
            <v>N/A</v>
          </cell>
          <cell r="P415" t="str">
            <v>N/A</v>
          </cell>
          <cell r="Q415" t="str">
            <v>N/A</v>
          </cell>
          <cell r="R415" t="str">
            <v>N/A</v>
          </cell>
          <cell r="S415" t="str">
            <v>No</v>
          </cell>
          <cell r="T415" t="str">
            <v>N/A</v>
          </cell>
        </row>
        <row r="416">
          <cell r="M416" t="str">
            <v>Aluminium PelmetFaceStandard Spring</v>
          </cell>
          <cell r="N416">
            <v>6</v>
          </cell>
          <cell r="O416">
            <v>6</v>
          </cell>
          <cell r="P416" t="str">
            <v>N/A</v>
          </cell>
          <cell r="Q416" t="str">
            <v>N/A</v>
          </cell>
          <cell r="R416" t="str">
            <v>Yes</v>
          </cell>
          <cell r="S416" t="str">
            <v>No</v>
          </cell>
          <cell r="T416" t="str">
            <v>Yes</v>
          </cell>
        </row>
        <row r="417">
          <cell r="M417" t="str">
            <v>Square CassetteFaceStandard Spring</v>
          </cell>
          <cell r="N417">
            <v>10</v>
          </cell>
          <cell r="O417">
            <v>14</v>
          </cell>
          <cell r="P417">
            <v>14</v>
          </cell>
          <cell r="Q417" t="str">
            <v>N/A</v>
          </cell>
          <cell r="R417" t="str">
            <v>No</v>
          </cell>
          <cell r="S417" t="str">
            <v>No</v>
          </cell>
          <cell r="T417" t="str">
            <v>No</v>
          </cell>
        </row>
        <row r="418">
          <cell r="M418" t="str">
            <v>Square Cassette with Side ChannelsFaceStandard Spring</v>
          </cell>
          <cell r="N418">
            <v>10</v>
          </cell>
          <cell r="O418">
            <v>14</v>
          </cell>
          <cell r="P418">
            <v>14</v>
          </cell>
          <cell r="Q418">
            <v>88</v>
          </cell>
          <cell r="R418" t="str">
            <v>No</v>
          </cell>
          <cell r="S418" t="str">
            <v>Yes</v>
          </cell>
          <cell r="T418" t="str">
            <v>No</v>
          </cell>
        </row>
        <row r="419">
          <cell r="M419" t="str">
            <v>Round CassetteFaceStandard Spring</v>
          </cell>
          <cell r="N419">
            <v>10</v>
          </cell>
          <cell r="O419">
            <v>14</v>
          </cell>
          <cell r="P419">
            <v>14</v>
          </cell>
          <cell r="Q419" t="str">
            <v>N/A</v>
          </cell>
          <cell r="R419" t="str">
            <v>No</v>
          </cell>
          <cell r="S419" t="str">
            <v>No</v>
          </cell>
          <cell r="T419" t="str">
            <v>No</v>
          </cell>
        </row>
        <row r="420">
          <cell r="M420" t="str">
            <v>Round Cassette with Side ChannelsFaceStandard Spring</v>
          </cell>
          <cell r="N420">
            <v>10</v>
          </cell>
          <cell r="O420">
            <v>14</v>
          </cell>
          <cell r="P420">
            <v>14</v>
          </cell>
          <cell r="Q420">
            <v>88</v>
          </cell>
          <cell r="R420" t="str">
            <v>No</v>
          </cell>
          <cell r="S420" t="str">
            <v>Yes</v>
          </cell>
          <cell r="T420" t="str">
            <v>No</v>
          </cell>
        </row>
        <row r="421">
          <cell r="M421" t="str">
            <v>Aluminium ValanceFaceStandard Spring</v>
          </cell>
          <cell r="N421">
            <v>6</v>
          </cell>
          <cell r="O421" t="str">
            <v>N/A</v>
          </cell>
          <cell r="P421">
            <v>0</v>
          </cell>
          <cell r="Q421" t="str">
            <v>N/A</v>
          </cell>
          <cell r="R421" t="str">
            <v>Yes</v>
          </cell>
          <cell r="S421" t="str">
            <v>No</v>
          </cell>
          <cell r="T421" t="str">
            <v>No</v>
          </cell>
        </row>
        <row r="422">
          <cell r="M422" t="str">
            <v>Aluminium Valance - Fabric CoveredFaceStandard Spring</v>
          </cell>
          <cell r="N422">
            <v>6</v>
          </cell>
          <cell r="O422" t="str">
            <v>N/A</v>
          </cell>
          <cell r="P422">
            <v>0</v>
          </cell>
          <cell r="Q422" t="str">
            <v>N/A</v>
          </cell>
          <cell r="R422" t="str">
            <v>Yes</v>
          </cell>
          <cell r="S422" t="str">
            <v>No</v>
          </cell>
          <cell r="T422" t="str">
            <v>No</v>
          </cell>
        </row>
        <row r="423">
          <cell r="M423" t="str">
            <v>Side ChannelsFaceStandard Spring</v>
          </cell>
          <cell r="N423">
            <v>10</v>
          </cell>
          <cell r="O423" t="str">
            <v>N/A</v>
          </cell>
          <cell r="P423" t="str">
            <v>N/A</v>
          </cell>
          <cell r="Q423">
            <v>60</v>
          </cell>
          <cell r="R423" t="str">
            <v>N/A</v>
          </cell>
          <cell r="S423" t="str">
            <v>No</v>
          </cell>
          <cell r="T423" t="str">
            <v>N/A</v>
          </cell>
        </row>
        <row r="424">
          <cell r="M424" t="str">
            <v>Zipscreen HoodingFaceStandard Spring</v>
          </cell>
          <cell r="N424">
            <v>17</v>
          </cell>
          <cell r="O424">
            <v>66</v>
          </cell>
          <cell r="P424">
            <v>66</v>
          </cell>
          <cell r="Q424" t="str">
            <v>N/A</v>
          </cell>
          <cell r="R424" t="str">
            <v>N/A</v>
          </cell>
          <cell r="S424" t="str">
            <v>No</v>
          </cell>
          <cell r="T424" t="str">
            <v>N/A</v>
          </cell>
        </row>
        <row r="425">
          <cell r="M425" t="str">
            <v>NoneFaceSmall Spring</v>
          </cell>
          <cell r="N425">
            <v>0</v>
          </cell>
          <cell r="O425" t="str">
            <v>N/A</v>
          </cell>
          <cell r="P425" t="str">
            <v>N/A</v>
          </cell>
          <cell r="Q425" t="str">
            <v>N/A</v>
          </cell>
          <cell r="R425" t="str">
            <v>N/A</v>
          </cell>
          <cell r="S425" t="str">
            <v>No</v>
          </cell>
          <cell r="T425" t="str">
            <v>N/A</v>
          </cell>
        </row>
        <row r="426">
          <cell r="M426" t="str">
            <v>Straight Upholstered PelmetFaceSmall Spring</v>
          </cell>
          <cell r="N426">
            <v>0</v>
          </cell>
          <cell r="O426" t="str">
            <v>N/A</v>
          </cell>
          <cell r="P426" t="str">
            <v>N/A</v>
          </cell>
          <cell r="Q426" t="str">
            <v>N/A</v>
          </cell>
          <cell r="R426" t="str">
            <v>N/A</v>
          </cell>
          <cell r="S426" t="str">
            <v>No</v>
          </cell>
          <cell r="T426" t="str">
            <v>N/A</v>
          </cell>
        </row>
        <row r="427">
          <cell r="M427" t="str">
            <v>Shaped Upholstered PelmetFaceSmall Spring</v>
          </cell>
          <cell r="N427">
            <v>0</v>
          </cell>
          <cell r="O427" t="str">
            <v>N/A</v>
          </cell>
          <cell r="P427" t="str">
            <v>N/A</v>
          </cell>
          <cell r="Q427" t="str">
            <v>N/A</v>
          </cell>
          <cell r="R427" t="str">
            <v>N/A</v>
          </cell>
          <cell r="S427" t="str">
            <v>No</v>
          </cell>
          <cell r="T427" t="str">
            <v>N/A</v>
          </cell>
        </row>
        <row r="428">
          <cell r="M428" t="str">
            <v>Aluminium PelmetFaceSmall Spring</v>
          </cell>
          <cell r="N428">
            <v>6</v>
          </cell>
          <cell r="O428">
            <v>6</v>
          </cell>
          <cell r="P428" t="str">
            <v>N/A</v>
          </cell>
          <cell r="Q428" t="str">
            <v>N/A</v>
          </cell>
          <cell r="R428" t="str">
            <v>No</v>
          </cell>
          <cell r="S428" t="str">
            <v>No</v>
          </cell>
          <cell r="T428" t="str">
            <v>Yes</v>
          </cell>
        </row>
        <row r="429">
          <cell r="M429" t="str">
            <v>Square CassetteFaceSmall Spring</v>
          </cell>
          <cell r="N429">
            <v>10</v>
          </cell>
          <cell r="O429">
            <v>14</v>
          </cell>
          <cell r="P429">
            <v>14</v>
          </cell>
          <cell r="Q429" t="str">
            <v>N/A</v>
          </cell>
          <cell r="R429" t="str">
            <v>No</v>
          </cell>
          <cell r="S429" t="str">
            <v>No</v>
          </cell>
          <cell r="T429" t="str">
            <v>No</v>
          </cell>
        </row>
        <row r="430">
          <cell r="M430" t="str">
            <v>Square Cassette with Side ChannelsFaceSmall Spring</v>
          </cell>
          <cell r="N430">
            <v>10</v>
          </cell>
          <cell r="O430">
            <v>14</v>
          </cell>
          <cell r="P430">
            <v>14</v>
          </cell>
          <cell r="Q430">
            <v>88</v>
          </cell>
          <cell r="R430" t="str">
            <v>No</v>
          </cell>
          <cell r="S430" t="str">
            <v>Yes</v>
          </cell>
          <cell r="T430" t="str">
            <v>No</v>
          </cell>
        </row>
        <row r="431">
          <cell r="M431" t="str">
            <v>Round CassetteFaceSmall Spring</v>
          </cell>
          <cell r="N431">
            <v>10</v>
          </cell>
          <cell r="O431">
            <v>14</v>
          </cell>
          <cell r="P431">
            <v>14</v>
          </cell>
          <cell r="Q431" t="str">
            <v>N/A</v>
          </cell>
          <cell r="R431" t="str">
            <v>No</v>
          </cell>
          <cell r="S431" t="str">
            <v>No</v>
          </cell>
          <cell r="T431" t="str">
            <v>No</v>
          </cell>
        </row>
        <row r="432">
          <cell r="M432" t="str">
            <v>Round Cassette with Side ChannelsFaceSmall Spring</v>
          </cell>
          <cell r="N432">
            <v>10</v>
          </cell>
          <cell r="O432">
            <v>14</v>
          </cell>
          <cell r="P432">
            <v>14</v>
          </cell>
          <cell r="Q432">
            <v>88</v>
          </cell>
          <cell r="R432" t="str">
            <v>No</v>
          </cell>
          <cell r="S432" t="str">
            <v>Yes</v>
          </cell>
          <cell r="T432" t="str">
            <v>No</v>
          </cell>
        </row>
        <row r="433">
          <cell r="M433" t="str">
            <v>Aluminium ValanceFaceSmall Spring</v>
          </cell>
          <cell r="N433">
            <v>0</v>
          </cell>
          <cell r="O433" t="str">
            <v>N/A</v>
          </cell>
          <cell r="P433">
            <v>0</v>
          </cell>
          <cell r="Q433" t="str">
            <v>N/A</v>
          </cell>
          <cell r="R433" t="str">
            <v>No</v>
          </cell>
          <cell r="S433" t="str">
            <v>No</v>
          </cell>
          <cell r="T433" t="str">
            <v>Yes</v>
          </cell>
        </row>
        <row r="434">
          <cell r="M434" t="str">
            <v>Aluminium Valance - Fabric CoveredFaceSmall Spring</v>
          </cell>
          <cell r="N434">
            <v>0</v>
          </cell>
          <cell r="O434" t="str">
            <v>N/A</v>
          </cell>
          <cell r="P434">
            <v>0</v>
          </cell>
          <cell r="Q434" t="str">
            <v>N/A</v>
          </cell>
          <cell r="R434" t="str">
            <v>No</v>
          </cell>
          <cell r="S434" t="str">
            <v>No</v>
          </cell>
          <cell r="T434" t="str">
            <v>Yes</v>
          </cell>
        </row>
        <row r="435">
          <cell r="M435" t="str">
            <v>Side ChannelsFaceSmall Spring</v>
          </cell>
          <cell r="N435">
            <v>10</v>
          </cell>
          <cell r="O435" t="str">
            <v>N/A</v>
          </cell>
          <cell r="P435" t="str">
            <v>N/A</v>
          </cell>
          <cell r="Q435">
            <v>60</v>
          </cell>
          <cell r="R435" t="str">
            <v>N/A</v>
          </cell>
          <cell r="S435" t="str">
            <v>No</v>
          </cell>
          <cell r="T435" t="str">
            <v>N/A</v>
          </cell>
        </row>
        <row r="436">
          <cell r="M436" t="str">
            <v>Zipscreen HoodingFaceSmall Spring</v>
          </cell>
          <cell r="N436">
            <v>17</v>
          </cell>
          <cell r="O436">
            <v>66</v>
          </cell>
          <cell r="P436">
            <v>66</v>
          </cell>
          <cell r="Q436" t="str">
            <v>N/A</v>
          </cell>
          <cell r="R436" t="str">
            <v>N/A</v>
          </cell>
          <cell r="S436" t="str">
            <v>No</v>
          </cell>
          <cell r="T436" t="str">
            <v>N/A</v>
          </cell>
        </row>
        <row r="437">
          <cell r="M437" t="str">
            <v>NoneFaceUniline Spring (Old Style)</v>
          </cell>
          <cell r="N437">
            <v>0</v>
          </cell>
          <cell r="O437" t="str">
            <v>N/A</v>
          </cell>
          <cell r="P437" t="str">
            <v>N/A</v>
          </cell>
          <cell r="Q437" t="str">
            <v>N/A</v>
          </cell>
          <cell r="R437" t="str">
            <v>N/A</v>
          </cell>
          <cell r="S437" t="str">
            <v>No</v>
          </cell>
          <cell r="T437" t="str">
            <v>N/A</v>
          </cell>
        </row>
        <row r="438">
          <cell r="M438" t="str">
            <v>Straight Upholstered PelmetFaceUniline Spring (Old Style)</v>
          </cell>
          <cell r="N438">
            <v>0</v>
          </cell>
          <cell r="O438" t="str">
            <v>N/A</v>
          </cell>
          <cell r="P438" t="str">
            <v>N/A</v>
          </cell>
          <cell r="Q438" t="str">
            <v>N/A</v>
          </cell>
          <cell r="R438" t="str">
            <v>N/A</v>
          </cell>
          <cell r="S438" t="str">
            <v>No</v>
          </cell>
          <cell r="T438" t="str">
            <v>N/A</v>
          </cell>
        </row>
        <row r="439">
          <cell r="M439" t="str">
            <v>Shaped Upholstered PelmetFaceUniline Spring (Old Style)</v>
          </cell>
          <cell r="N439">
            <v>0</v>
          </cell>
          <cell r="O439" t="str">
            <v>N/A</v>
          </cell>
          <cell r="P439" t="str">
            <v>N/A</v>
          </cell>
          <cell r="Q439" t="str">
            <v>N/A</v>
          </cell>
          <cell r="R439" t="str">
            <v>N/A</v>
          </cell>
          <cell r="S439" t="str">
            <v>No</v>
          </cell>
          <cell r="T439" t="str">
            <v>N/A</v>
          </cell>
        </row>
        <row r="440">
          <cell r="M440" t="str">
            <v>Aluminium PelmetFaceUniline Spring (Old Style)</v>
          </cell>
          <cell r="N440">
            <v>6</v>
          </cell>
          <cell r="O440">
            <v>6</v>
          </cell>
          <cell r="P440" t="str">
            <v>N/A</v>
          </cell>
          <cell r="Q440" t="str">
            <v>N/A</v>
          </cell>
          <cell r="R440" t="str">
            <v>Yes</v>
          </cell>
          <cell r="S440" t="str">
            <v>No</v>
          </cell>
          <cell r="T440" t="str">
            <v>Yes</v>
          </cell>
        </row>
        <row r="441">
          <cell r="M441" t="str">
            <v>Square CassetteFaceUniline Spring (Old Style)</v>
          </cell>
          <cell r="N441">
            <v>10</v>
          </cell>
          <cell r="O441">
            <v>14</v>
          </cell>
          <cell r="P441">
            <v>14</v>
          </cell>
          <cell r="Q441" t="str">
            <v>N/A</v>
          </cell>
          <cell r="R441" t="str">
            <v>No</v>
          </cell>
          <cell r="S441" t="str">
            <v>No</v>
          </cell>
          <cell r="T441" t="str">
            <v>No</v>
          </cell>
        </row>
        <row r="442">
          <cell r="M442" t="str">
            <v>Square Cassette with Side ChannelsFaceUniline Spring (Old Style)</v>
          </cell>
          <cell r="N442">
            <v>10</v>
          </cell>
          <cell r="O442">
            <v>14</v>
          </cell>
          <cell r="P442">
            <v>14</v>
          </cell>
          <cell r="Q442">
            <v>88</v>
          </cell>
          <cell r="R442" t="str">
            <v>No</v>
          </cell>
          <cell r="S442" t="str">
            <v>Yes</v>
          </cell>
          <cell r="T442" t="str">
            <v>No</v>
          </cell>
        </row>
        <row r="443">
          <cell r="M443" t="str">
            <v>Round CassetteFaceUniline Spring (Old Style)</v>
          </cell>
          <cell r="N443">
            <v>10</v>
          </cell>
          <cell r="O443">
            <v>14</v>
          </cell>
          <cell r="P443">
            <v>14</v>
          </cell>
          <cell r="Q443" t="str">
            <v>N/A</v>
          </cell>
          <cell r="R443" t="str">
            <v>No</v>
          </cell>
          <cell r="S443" t="str">
            <v>No</v>
          </cell>
          <cell r="T443" t="str">
            <v>No</v>
          </cell>
        </row>
        <row r="444">
          <cell r="M444" t="str">
            <v>Round Cassette with Side ChannelsFaceUniline Spring (Old Style)</v>
          </cell>
          <cell r="N444">
            <v>10</v>
          </cell>
          <cell r="O444">
            <v>14</v>
          </cell>
          <cell r="P444">
            <v>14</v>
          </cell>
          <cell r="Q444">
            <v>88</v>
          </cell>
          <cell r="R444" t="str">
            <v>No</v>
          </cell>
          <cell r="S444" t="str">
            <v>Yes</v>
          </cell>
          <cell r="T444" t="str">
            <v>No</v>
          </cell>
        </row>
        <row r="445">
          <cell r="M445" t="str">
            <v>Aluminium ValanceFaceUniline Spring (Old Style)</v>
          </cell>
          <cell r="N445">
            <v>6</v>
          </cell>
          <cell r="O445" t="str">
            <v>N/A</v>
          </cell>
          <cell r="P445">
            <v>0</v>
          </cell>
          <cell r="Q445" t="str">
            <v>N/A</v>
          </cell>
          <cell r="R445" t="str">
            <v>Yes</v>
          </cell>
          <cell r="S445" t="str">
            <v>No</v>
          </cell>
          <cell r="T445" t="str">
            <v>No</v>
          </cell>
        </row>
        <row r="446">
          <cell r="M446" t="str">
            <v>Aluminium Valance - Fabric CoveredFaceUniline Spring (Old Style)</v>
          </cell>
          <cell r="N446">
            <v>6</v>
          </cell>
          <cell r="O446" t="str">
            <v>N/A</v>
          </cell>
          <cell r="P446">
            <v>0</v>
          </cell>
          <cell r="Q446" t="str">
            <v>N/A</v>
          </cell>
          <cell r="R446" t="str">
            <v>Yes</v>
          </cell>
          <cell r="S446" t="str">
            <v>No</v>
          </cell>
          <cell r="T446" t="str">
            <v>No</v>
          </cell>
        </row>
        <row r="447">
          <cell r="M447" t="str">
            <v>Side ChannelsFaceUniline Spring (Old Style)</v>
          </cell>
          <cell r="N447">
            <v>10</v>
          </cell>
          <cell r="O447" t="str">
            <v>N/A</v>
          </cell>
          <cell r="P447" t="str">
            <v>N/A</v>
          </cell>
          <cell r="Q447">
            <v>60</v>
          </cell>
          <cell r="R447" t="str">
            <v>N/A</v>
          </cell>
          <cell r="S447" t="str">
            <v>No</v>
          </cell>
          <cell r="T447" t="str">
            <v>N/A</v>
          </cell>
        </row>
        <row r="448">
          <cell r="M448" t="str">
            <v>Zipscreen HoodingFaceUniline Spring (Old Style)</v>
          </cell>
          <cell r="N448">
            <v>17</v>
          </cell>
          <cell r="O448">
            <v>66</v>
          </cell>
          <cell r="P448">
            <v>66</v>
          </cell>
          <cell r="Q448" t="str">
            <v>N/A</v>
          </cell>
          <cell r="R448" t="str">
            <v>N/A</v>
          </cell>
          <cell r="S448" t="str">
            <v>No</v>
          </cell>
          <cell r="T448" t="str">
            <v>N/A</v>
          </cell>
        </row>
        <row r="449">
          <cell r="M449" t="str">
            <v>NoneFaceBecker Remote Motor</v>
          </cell>
          <cell r="N449">
            <v>0</v>
          </cell>
          <cell r="O449" t="str">
            <v>N/A</v>
          </cell>
          <cell r="P449" t="str">
            <v>N/A</v>
          </cell>
          <cell r="Q449" t="str">
            <v>N/A</v>
          </cell>
          <cell r="R449" t="str">
            <v>N/A</v>
          </cell>
          <cell r="S449" t="str">
            <v>No</v>
          </cell>
          <cell r="T449" t="str">
            <v>N/A</v>
          </cell>
        </row>
        <row r="450">
          <cell r="M450" t="str">
            <v>Straight Upholstered PelmetFaceBecker Remote Motor</v>
          </cell>
          <cell r="N450">
            <v>0</v>
          </cell>
          <cell r="O450" t="str">
            <v>N/A</v>
          </cell>
          <cell r="P450" t="str">
            <v>N/A</v>
          </cell>
          <cell r="Q450" t="str">
            <v>N/A</v>
          </cell>
          <cell r="R450" t="str">
            <v>N/A</v>
          </cell>
          <cell r="S450" t="str">
            <v>No</v>
          </cell>
          <cell r="T450" t="str">
            <v>N/A</v>
          </cell>
        </row>
        <row r="451">
          <cell r="M451" t="str">
            <v>Shaped Upholstered PelmetFaceBecker Remote Motor</v>
          </cell>
          <cell r="N451">
            <v>0</v>
          </cell>
          <cell r="O451" t="str">
            <v>N/A</v>
          </cell>
          <cell r="P451" t="str">
            <v>N/A</v>
          </cell>
          <cell r="Q451" t="str">
            <v>N/A</v>
          </cell>
          <cell r="R451" t="str">
            <v>N/A</v>
          </cell>
          <cell r="S451" t="str">
            <v>No</v>
          </cell>
          <cell r="T451" t="str">
            <v>N/A</v>
          </cell>
        </row>
        <row r="452">
          <cell r="M452" t="str">
            <v>Aluminium PelmetFaceBecker Remote Motor</v>
          </cell>
          <cell r="N452">
            <v>6</v>
          </cell>
          <cell r="O452">
            <v>6</v>
          </cell>
          <cell r="P452" t="str">
            <v>N/A</v>
          </cell>
          <cell r="Q452" t="str">
            <v>N/A</v>
          </cell>
          <cell r="R452" t="str">
            <v>Yes</v>
          </cell>
          <cell r="S452" t="str">
            <v>No</v>
          </cell>
          <cell r="T452" t="str">
            <v>Yes</v>
          </cell>
        </row>
        <row r="453">
          <cell r="M453" t="str">
            <v>Square CassetteFaceBecker Remote Motor</v>
          </cell>
          <cell r="N453">
            <v>10</v>
          </cell>
          <cell r="O453">
            <v>14</v>
          </cell>
          <cell r="P453">
            <v>14</v>
          </cell>
          <cell r="Q453" t="str">
            <v>N/A</v>
          </cell>
          <cell r="R453" t="str">
            <v>No</v>
          </cell>
          <cell r="S453" t="str">
            <v>No</v>
          </cell>
          <cell r="T453" t="str">
            <v>No</v>
          </cell>
        </row>
        <row r="454">
          <cell r="M454" t="str">
            <v>Square Cassette with Side ChannelsFaceBecker Remote Motor</v>
          </cell>
          <cell r="N454">
            <v>10</v>
          </cell>
          <cell r="O454">
            <v>14</v>
          </cell>
          <cell r="P454">
            <v>14</v>
          </cell>
          <cell r="Q454">
            <v>88</v>
          </cell>
          <cell r="R454" t="str">
            <v>No</v>
          </cell>
          <cell r="S454" t="str">
            <v>Yes</v>
          </cell>
          <cell r="T454" t="str">
            <v>No</v>
          </cell>
        </row>
        <row r="455">
          <cell r="M455" t="str">
            <v>Round CassetteFaceBecker Remote Motor</v>
          </cell>
          <cell r="N455">
            <v>10</v>
          </cell>
          <cell r="O455">
            <v>14</v>
          </cell>
          <cell r="P455">
            <v>14</v>
          </cell>
          <cell r="Q455" t="str">
            <v>N/A</v>
          </cell>
          <cell r="R455" t="str">
            <v>No</v>
          </cell>
          <cell r="S455" t="str">
            <v>No</v>
          </cell>
          <cell r="T455" t="str">
            <v>No</v>
          </cell>
        </row>
        <row r="456">
          <cell r="M456" t="str">
            <v>Round Cassette with Side ChannelsFaceBecker Remote Motor</v>
          </cell>
          <cell r="N456">
            <v>10</v>
          </cell>
          <cell r="O456">
            <v>14</v>
          </cell>
          <cell r="P456">
            <v>14</v>
          </cell>
          <cell r="Q456">
            <v>88</v>
          </cell>
          <cell r="R456" t="str">
            <v>No</v>
          </cell>
          <cell r="S456" t="str">
            <v>Yes</v>
          </cell>
          <cell r="T456" t="str">
            <v>No</v>
          </cell>
        </row>
        <row r="457">
          <cell r="M457" t="str">
            <v>Aluminium ValanceFaceBecker Remote Motor</v>
          </cell>
          <cell r="N457">
            <v>6</v>
          </cell>
          <cell r="O457" t="str">
            <v>N/A</v>
          </cell>
          <cell r="P457">
            <v>0</v>
          </cell>
          <cell r="Q457" t="str">
            <v>N/A</v>
          </cell>
          <cell r="R457" t="str">
            <v>Yes</v>
          </cell>
          <cell r="S457" t="str">
            <v>No</v>
          </cell>
          <cell r="T457" t="str">
            <v>No</v>
          </cell>
        </row>
        <row r="458">
          <cell r="M458" t="str">
            <v>Aluminium Valance - Fabric CoveredFaceBecker Remote Motor</v>
          </cell>
          <cell r="N458">
            <v>6</v>
          </cell>
          <cell r="O458" t="str">
            <v>N/A</v>
          </cell>
          <cell r="P458">
            <v>0</v>
          </cell>
          <cell r="Q458" t="str">
            <v>N/A</v>
          </cell>
          <cell r="R458" t="str">
            <v>Yes</v>
          </cell>
          <cell r="S458" t="str">
            <v>No</v>
          </cell>
          <cell r="T458" t="str">
            <v>No</v>
          </cell>
        </row>
        <row r="459">
          <cell r="M459" t="str">
            <v>Side ChannelsFaceBecker Remote Motor</v>
          </cell>
          <cell r="N459">
            <v>10</v>
          </cell>
          <cell r="O459" t="str">
            <v>N/A</v>
          </cell>
          <cell r="P459" t="str">
            <v>N/A</v>
          </cell>
          <cell r="Q459">
            <v>60</v>
          </cell>
          <cell r="R459" t="str">
            <v>N/A</v>
          </cell>
          <cell r="S459" t="str">
            <v>No</v>
          </cell>
          <cell r="T459" t="str">
            <v>N/A</v>
          </cell>
        </row>
        <row r="460">
          <cell r="M460" t="str">
            <v>Zipscreen HoodingFaceBecker Remote Motor</v>
          </cell>
          <cell r="N460">
            <v>17</v>
          </cell>
          <cell r="O460">
            <v>66</v>
          </cell>
          <cell r="P460">
            <v>66</v>
          </cell>
          <cell r="Q460" t="str">
            <v>N/A</v>
          </cell>
          <cell r="R460" t="str">
            <v>N/A</v>
          </cell>
          <cell r="S460" t="str">
            <v>No</v>
          </cell>
          <cell r="T460" t="str">
            <v>N/A</v>
          </cell>
        </row>
        <row r="461">
          <cell r="M461" t="str">
            <v>NoneFaceBecker CBUS Motor</v>
          </cell>
          <cell r="N461">
            <v>0</v>
          </cell>
          <cell r="O461" t="str">
            <v>N/A</v>
          </cell>
          <cell r="P461" t="str">
            <v>N/A</v>
          </cell>
          <cell r="Q461" t="str">
            <v>N/A</v>
          </cell>
          <cell r="R461" t="str">
            <v>N/A</v>
          </cell>
          <cell r="S461" t="str">
            <v>No</v>
          </cell>
          <cell r="T461" t="str">
            <v>N/A</v>
          </cell>
        </row>
        <row r="462">
          <cell r="M462" t="str">
            <v>Straight Upholstered PelmetFaceBecker CBUS Motor</v>
          </cell>
          <cell r="N462">
            <v>0</v>
          </cell>
          <cell r="O462" t="str">
            <v>N/A</v>
          </cell>
          <cell r="P462" t="str">
            <v>N/A</v>
          </cell>
          <cell r="Q462" t="str">
            <v>N/A</v>
          </cell>
          <cell r="R462" t="str">
            <v>N/A</v>
          </cell>
          <cell r="S462" t="str">
            <v>No</v>
          </cell>
          <cell r="T462" t="str">
            <v>N/A</v>
          </cell>
        </row>
        <row r="463">
          <cell r="M463" t="str">
            <v>Shaped Upholstered PelmetFaceBecker CBUS Motor</v>
          </cell>
          <cell r="N463">
            <v>0</v>
          </cell>
          <cell r="O463" t="str">
            <v>N/A</v>
          </cell>
          <cell r="P463" t="str">
            <v>N/A</v>
          </cell>
          <cell r="Q463" t="str">
            <v>N/A</v>
          </cell>
          <cell r="R463" t="str">
            <v>N/A</v>
          </cell>
          <cell r="S463" t="str">
            <v>No</v>
          </cell>
          <cell r="T463" t="str">
            <v>N/A</v>
          </cell>
        </row>
        <row r="464">
          <cell r="M464" t="str">
            <v>Aluminium PelmetFaceBecker CBUS Motor</v>
          </cell>
          <cell r="N464">
            <v>6</v>
          </cell>
          <cell r="O464">
            <v>6</v>
          </cell>
          <cell r="P464" t="str">
            <v>N/A</v>
          </cell>
          <cell r="Q464" t="str">
            <v>N/A</v>
          </cell>
          <cell r="R464" t="str">
            <v>Yes</v>
          </cell>
          <cell r="S464" t="str">
            <v>No</v>
          </cell>
          <cell r="T464" t="str">
            <v>Yes</v>
          </cell>
        </row>
        <row r="465">
          <cell r="M465" t="str">
            <v>Square CassetteFaceBecker CBUS Motor</v>
          </cell>
          <cell r="N465">
            <v>10</v>
          </cell>
          <cell r="O465">
            <v>14</v>
          </cell>
          <cell r="P465">
            <v>14</v>
          </cell>
          <cell r="Q465" t="str">
            <v>N/A</v>
          </cell>
          <cell r="R465" t="str">
            <v>No</v>
          </cell>
          <cell r="S465" t="str">
            <v>No</v>
          </cell>
          <cell r="T465" t="str">
            <v>No</v>
          </cell>
        </row>
        <row r="466">
          <cell r="M466" t="str">
            <v>Square Cassette with Side ChannelsFaceBecker CBUS Motor</v>
          </cell>
          <cell r="N466">
            <v>10</v>
          </cell>
          <cell r="O466">
            <v>14</v>
          </cell>
          <cell r="P466">
            <v>14</v>
          </cell>
          <cell r="Q466">
            <v>88</v>
          </cell>
          <cell r="R466" t="str">
            <v>No</v>
          </cell>
          <cell r="S466" t="str">
            <v>Yes</v>
          </cell>
          <cell r="T466" t="str">
            <v>No</v>
          </cell>
        </row>
        <row r="467">
          <cell r="M467" t="str">
            <v>Round CassetteFaceBecker CBUS Motor</v>
          </cell>
          <cell r="N467">
            <v>10</v>
          </cell>
          <cell r="O467">
            <v>14</v>
          </cell>
          <cell r="P467">
            <v>14</v>
          </cell>
          <cell r="Q467" t="str">
            <v>N/A</v>
          </cell>
          <cell r="R467" t="str">
            <v>No</v>
          </cell>
          <cell r="S467" t="str">
            <v>No</v>
          </cell>
          <cell r="T467" t="str">
            <v>No</v>
          </cell>
        </row>
        <row r="468">
          <cell r="M468" t="str">
            <v>Round Cassette with Side ChannelsFaceBecker CBUS Motor</v>
          </cell>
          <cell r="N468">
            <v>10</v>
          </cell>
          <cell r="O468">
            <v>14</v>
          </cell>
          <cell r="P468">
            <v>14</v>
          </cell>
          <cell r="Q468">
            <v>88</v>
          </cell>
          <cell r="R468" t="str">
            <v>No</v>
          </cell>
          <cell r="S468" t="str">
            <v>Yes</v>
          </cell>
          <cell r="T468" t="str">
            <v>No</v>
          </cell>
        </row>
        <row r="469">
          <cell r="M469" t="str">
            <v>Aluminium ValanceFaceBecker CBUS Motor</v>
          </cell>
          <cell r="N469">
            <v>6</v>
          </cell>
          <cell r="O469" t="str">
            <v>N/A</v>
          </cell>
          <cell r="P469">
            <v>0</v>
          </cell>
          <cell r="Q469" t="str">
            <v>N/A</v>
          </cell>
          <cell r="R469" t="str">
            <v>Yes</v>
          </cell>
          <cell r="S469" t="str">
            <v>No</v>
          </cell>
          <cell r="T469" t="str">
            <v>No</v>
          </cell>
        </row>
        <row r="470">
          <cell r="M470" t="str">
            <v>Aluminium Valance - Fabric CoveredFaceBecker CBUS Motor</v>
          </cell>
          <cell r="N470">
            <v>6</v>
          </cell>
          <cell r="O470" t="str">
            <v>N/A</v>
          </cell>
          <cell r="P470">
            <v>0</v>
          </cell>
          <cell r="Q470" t="str">
            <v>N/A</v>
          </cell>
          <cell r="R470" t="str">
            <v>Yes</v>
          </cell>
          <cell r="S470" t="str">
            <v>No</v>
          </cell>
          <cell r="T470" t="str">
            <v>No</v>
          </cell>
        </row>
        <row r="471">
          <cell r="M471" t="str">
            <v>Side ChannelsFaceBecker CBUS Motor</v>
          </cell>
          <cell r="N471">
            <v>10</v>
          </cell>
          <cell r="O471" t="str">
            <v>N/A</v>
          </cell>
          <cell r="P471" t="str">
            <v>N/A</v>
          </cell>
          <cell r="Q471">
            <v>60</v>
          </cell>
          <cell r="R471" t="str">
            <v>N/A</v>
          </cell>
          <cell r="S471" t="str">
            <v>No</v>
          </cell>
          <cell r="T471" t="str">
            <v>N/A</v>
          </cell>
        </row>
        <row r="472">
          <cell r="M472" t="str">
            <v>Zipscreen HoodingFaceBecker CBUS Motor</v>
          </cell>
          <cell r="N472">
            <v>17</v>
          </cell>
          <cell r="O472">
            <v>66</v>
          </cell>
          <cell r="P472">
            <v>66</v>
          </cell>
          <cell r="Q472" t="str">
            <v>N/A</v>
          </cell>
          <cell r="R472" t="str">
            <v>N/A</v>
          </cell>
          <cell r="S472" t="str">
            <v>No</v>
          </cell>
          <cell r="T472" t="str">
            <v>N/A</v>
          </cell>
        </row>
        <row r="473">
          <cell r="M473" t="str">
            <v>NoneFace1.1nm 12v Acmeda Motor</v>
          </cell>
          <cell r="N473">
            <v>0</v>
          </cell>
          <cell r="O473" t="str">
            <v>N/A</v>
          </cell>
          <cell r="P473" t="str">
            <v>N/A</v>
          </cell>
          <cell r="Q473" t="str">
            <v>N/A</v>
          </cell>
          <cell r="R473" t="str">
            <v>N/A</v>
          </cell>
          <cell r="S473" t="str">
            <v>No</v>
          </cell>
          <cell r="T473" t="str">
            <v>N/A</v>
          </cell>
        </row>
        <row r="474">
          <cell r="M474" t="str">
            <v>Straight Upholstered PelmetFace1.1nm 12v Acmeda Motor</v>
          </cell>
          <cell r="N474">
            <v>0</v>
          </cell>
          <cell r="O474" t="str">
            <v>N/A</v>
          </cell>
          <cell r="P474" t="str">
            <v>N/A</v>
          </cell>
          <cell r="Q474" t="str">
            <v>N/A</v>
          </cell>
          <cell r="R474" t="str">
            <v>N/A</v>
          </cell>
          <cell r="S474" t="str">
            <v>No</v>
          </cell>
          <cell r="T474" t="str">
            <v>N/A</v>
          </cell>
        </row>
        <row r="475">
          <cell r="M475" t="str">
            <v>Shaped Upholstered PelmetFace1.1nm 12v Acmeda Motor</v>
          </cell>
          <cell r="N475">
            <v>0</v>
          </cell>
          <cell r="O475" t="str">
            <v>N/A</v>
          </cell>
          <cell r="P475" t="str">
            <v>N/A</v>
          </cell>
          <cell r="Q475" t="str">
            <v>N/A</v>
          </cell>
          <cell r="R475" t="str">
            <v>N/A</v>
          </cell>
          <cell r="S475" t="str">
            <v>No</v>
          </cell>
          <cell r="T475" t="str">
            <v>N/A</v>
          </cell>
        </row>
        <row r="476">
          <cell r="M476" t="str">
            <v>Aluminium PelmetFace1.1nm 12v Acmeda Motor</v>
          </cell>
          <cell r="N476">
            <v>6</v>
          </cell>
          <cell r="O476">
            <v>6</v>
          </cell>
          <cell r="P476" t="str">
            <v>N/A</v>
          </cell>
          <cell r="Q476" t="str">
            <v>N/A</v>
          </cell>
          <cell r="R476" t="str">
            <v>Yes</v>
          </cell>
          <cell r="S476" t="str">
            <v>No</v>
          </cell>
          <cell r="T476" t="str">
            <v>Yes</v>
          </cell>
        </row>
        <row r="477">
          <cell r="M477" t="str">
            <v>Square CassetteFace1.1nm 12v Acmeda Motor</v>
          </cell>
          <cell r="N477">
            <v>10</v>
          </cell>
          <cell r="O477">
            <v>14</v>
          </cell>
          <cell r="P477">
            <v>14</v>
          </cell>
          <cell r="Q477" t="str">
            <v>N/A</v>
          </cell>
          <cell r="R477" t="str">
            <v>No</v>
          </cell>
          <cell r="S477" t="str">
            <v>No</v>
          </cell>
          <cell r="T477" t="str">
            <v>No</v>
          </cell>
        </row>
        <row r="478">
          <cell r="M478" t="str">
            <v>Square Cassette with Side ChannelsFace1.1nm 12v Acmeda Motor</v>
          </cell>
          <cell r="N478">
            <v>10</v>
          </cell>
          <cell r="O478">
            <v>14</v>
          </cell>
          <cell r="P478">
            <v>14</v>
          </cell>
          <cell r="Q478">
            <v>88</v>
          </cell>
          <cell r="R478" t="str">
            <v>No</v>
          </cell>
          <cell r="S478" t="str">
            <v>Yes</v>
          </cell>
          <cell r="T478" t="str">
            <v>No</v>
          </cell>
        </row>
        <row r="479">
          <cell r="M479" t="str">
            <v>Round CassetteFace1.1nm 12v Acmeda Motor</v>
          </cell>
          <cell r="N479">
            <v>10</v>
          </cell>
          <cell r="O479">
            <v>14</v>
          </cell>
          <cell r="P479">
            <v>14</v>
          </cell>
          <cell r="Q479" t="str">
            <v>N/A</v>
          </cell>
          <cell r="R479" t="str">
            <v>No</v>
          </cell>
          <cell r="S479" t="str">
            <v>No</v>
          </cell>
          <cell r="T479" t="str">
            <v>No</v>
          </cell>
        </row>
        <row r="480">
          <cell r="M480" t="str">
            <v>Round Cassette with Side ChannelsFace1.1nm 12v Acmeda Motor</v>
          </cell>
          <cell r="N480">
            <v>10</v>
          </cell>
          <cell r="O480">
            <v>14</v>
          </cell>
          <cell r="P480">
            <v>14</v>
          </cell>
          <cell r="Q480">
            <v>88</v>
          </cell>
          <cell r="R480" t="str">
            <v>No</v>
          </cell>
          <cell r="S480" t="str">
            <v>Yes</v>
          </cell>
          <cell r="T480" t="str">
            <v>No</v>
          </cell>
        </row>
        <row r="481">
          <cell r="M481" t="str">
            <v>Aluminium ValanceFace1.1nm 12v Acmeda Motor</v>
          </cell>
          <cell r="N481">
            <v>6</v>
          </cell>
          <cell r="O481" t="str">
            <v>N/A</v>
          </cell>
          <cell r="P481">
            <v>0</v>
          </cell>
          <cell r="Q481" t="str">
            <v>N/A</v>
          </cell>
          <cell r="R481" t="str">
            <v>Yes</v>
          </cell>
          <cell r="S481" t="str">
            <v>No</v>
          </cell>
          <cell r="T481" t="str">
            <v>No</v>
          </cell>
        </row>
        <row r="482">
          <cell r="M482" t="str">
            <v>Aluminium Valance - Fabric CoveredFace1.1nm 12v Acmeda Motor</v>
          </cell>
          <cell r="N482">
            <v>6</v>
          </cell>
          <cell r="O482" t="str">
            <v>N/A</v>
          </cell>
          <cell r="P482">
            <v>0</v>
          </cell>
          <cell r="Q482" t="str">
            <v>N/A</v>
          </cell>
          <cell r="R482" t="str">
            <v>Yes</v>
          </cell>
          <cell r="S482" t="str">
            <v>No</v>
          </cell>
          <cell r="T482" t="str">
            <v>No</v>
          </cell>
        </row>
        <row r="483">
          <cell r="M483" t="str">
            <v>Side ChannelsFace1.1nm 12v Acmeda Motor</v>
          </cell>
          <cell r="N483">
            <v>10</v>
          </cell>
          <cell r="O483" t="str">
            <v>N/A</v>
          </cell>
          <cell r="P483" t="str">
            <v>N/A</v>
          </cell>
          <cell r="Q483">
            <v>60</v>
          </cell>
          <cell r="R483" t="str">
            <v>N/A</v>
          </cell>
          <cell r="S483" t="str">
            <v>No</v>
          </cell>
          <cell r="T483" t="str">
            <v>N/A</v>
          </cell>
        </row>
        <row r="484">
          <cell r="M484" t="str">
            <v>Zipscreen HoodingFace1.1nm 12v Acmeda Motor</v>
          </cell>
          <cell r="N484">
            <v>17</v>
          </cell>
          <cell r="O484">
            <v>66</v>
          </cell>
          <cell r="P484">
            <v>66</v>
          </cell>
          <cell r="Q484" t="str">
            <v>N/A</v>
          </cell>
          <cell r="R484" t="str">
            <v>N/A</v>
          </cell>
          <cell r="S484" t="str">
            <v>No</v>
          </cell>
          <cell r="T484" t="str">
            <v>N/A</v>
          </cell>
        </row>
        <row r="485">
          <cell r="M485" t="str">
            <v>NoneFace2nm 12v Acmeda Motor</v>
          </cell>
          <cell r="N485">
            <v>0</v>
          </cell>
          <cell r="O485" t="str">
            <v>N/A</v>
          </cell>
          <cell r="P485" t="str">
            <v>N/A</v>
          </cell>
          <cell r="Q485" t="str">
            <v>N/A</v>
          </cell>
          <cell r="R485" t="str">
            <v>N/A</v>
          </cell>
          <cell r="S485" t="str">
            <v>No</v>
          </cell>
          <cell r="T485" t="str">
            <v>N/A</v>
          </cell>
        </row>
        <row r="486">
          <cell r="M486" t="str">
            <v>Straight Upholstered PelmetFace2nm 12v Acmeda Motor</v>
          </cell>
          <cell r="N486">
            <v>0</v>
          </cell>
          <cell r="O486" t="str">
            <v>N/A</v>
          </cell>
          <cell r="P486" t="str">
            <v>N/A</v>
          </cell>
          <cell r="Q486" t="str">
            <v>N/A</v>
          </cell>
          <cell r="R486" t="str">
            <v>N/A</v>
          </cell>
          <cell r="S486" t="str">
            <v>No</v>
          </cell>
          <cell r="T486" t="str">
            <v>N/A</v>
          </cell>
        </row>
        <row r="487">
          <cell r="M487" t="str">
            <v>Shaped Upholstered PelmetFace2nm 12v Acmeda Motor</v>
          </cell>
          <cell r="N487">
            <v>0</v>
          </cell>
          <cell r="O487" t="str">
            <v>N/A</v>
          </cell>
          <cell r="P487" t="str">
            <v>N/A</v>
          </cell>
          <cell r="Q487" t="str">
            <v>N/A</v>
          </cell>
          <cell r="R487" t="str">
            <v>N/A</v>
          </cell>
          <cell r="S487" t="str">
            <v>No</v>
          </cell>
          <cell r="T487" t="str">
            <v>N/A</v>
          </cell>
        </row>
        <row r="488">
          <cell r="M488" t="str">
            <v>Aluminium PelmetFace2nm 12v Acmeda Motor</v>
          </cell>
          <cell r="N488">
            <v>6</v>
          </cell>
          <cell r="O488">
            <v>6</v>
          </cell>
          <cell r="P488" t="str">
            <v>N/A</v>
          </cell>
          <cell r="Q488" t="str">
            <v>N/A</v>
          </cell>
          <cell r="R488" t="str">
            <v>Yes</v>
          </cell>
          <cell r="S488" t="str">
            <v>No</v>
          </cell>
          <cell r="T488" t="str">
            <v>Yes</v>
          </cell>
        </row>
        <row r="489">
          <cell r="M489" t="str">
            <v>Square CassetteFace2nm 12v Acmeda Motor</v>
          </cell>
          <cell r="N489">
            <v>10</v>
          </cell>
          <cell r="O489">
            <v>14</v>
          </cell>
          <cell r="P489">
            <v>14</v>
          </cell>
          <cell r="Q489" t="str">
            <v>N/A</v>
          </cell>
          <cell r="R489" t="str">
            <v>No</v>
          </cell>
          <cell r="S489" t="str">
            <v>No</v>
          </cell>
          <cell r="T489" t="str">
            <v>No</v>
          </cell>
        </row>
        <row r="490">
          <cell r="M490" t="str">
            <v>Square Cassette with Side ChannelsFace2nm 12v Acmeda Motor</v>
          </cell>
          <cell r="N490">
            <v>10</v>
          </cell>
          <cell r="O490">
            <v>14</v>
          </cell>
          <cell r="P490">
            <v>14</v>
          </cell>
          <cell r="Q490">
            <v>88</v>
          </cell>
          <cell r="R490" t="str">
            <v>No</v>
          </cell>
          <cell r="S490" t="str">
            <v>Yes</v>
          </cell>
          <cell r="T490" t="str">
            <v>No</v>
          </cell>
        </row>
        <row r="491">
          <cell r="M491" t="str">
            <v>Round CassetteFace2nm 12v Acmeda Motor</v>
          </cell>
          <cell r="N491">
            <v>10</v>
          </cell>
          <cell r="O491">
            <v>14</v>
          </cell>
          <cell r="P491">
            <v>14</v>
          </cell>
          <cell r="Q491" t="str">
            <v>N/A</v>
          </cell>
          <cell r="R491" t="str">
            <v>No</v>
          </cell>
          <cell r="S491" t="str">
            <v>No</v>
          </cell>
          <cell r="T491" t="str">
            <v>No</v>
          </cell>
        </row>
        <row r="492">
          <cell r="M492" t="str">
            <v>Round Cassette with Side ChannelsFace2nm 12v Acmeda Motor</v>
          </cell>
          <cell r="N492">
            <v>10</v>
          </cell>
          <cell r="O492">
            <v>14</v>
          </cell>
          <cell r="P492">
            <v>14</v>
          </cell>
          <cell r="Q492">
            <v>88</v>
          </cell>
          <cell r="R492" t="str">
            <v>No</v>
          </cell>
          <cell r="S492" t="str">
            <v>Yes</v>
          </cell>
          <cell r="T492" t="str">
            <v>No</v>
          </cell>
        </row>
        <row r="493">
          <cell r="M493" t="str">
            <v>Aluminium ValanceFace2nm 12v Acmeda Motor</v>
          </cell>
          <cell r="N493">
            <v>6</v>
          </cell>
          <cell r="O493" t="str">
            <v>N/A</v>
          </cell>
          <cell r="P493">
            <v>0</v>
          </cell>
          <cell r="Q493" t="str">
            <v>N/A</v>
          </cell>
          <cell r="R493" t="str">
            <v>Yes</v>
          </cell>
          <cell r="S493" t="str">
            <v>No</v>
          </cell>
          <cell r="T493" t="str">
            <v>No</v>
          </cell>
        </row>
        <row r="494">
          <cell r="M494" t="str">
            <v>Aluminium Valance - Fabric CoveredFace2nm 12v Acmeda Motor</v>
          </cell>
          <cell r="N494">
            <v>6</v>
          </cell>
          <cell r="O494" t="str">
            <v>N/A</v>
          </cell>
          <cell r="P494">
            <v>0</v>
          </cell>
          <cell r="Q494" t="str">
            <v>N/A</v>
          </cell>
          <cell r="R494" t="str">
            <v>Yes</v>
          </cell>
          <cell r="S494" t="str">
            <v>No</v>
          </cell>
          <cell r="T494" t="str">
            <v>No</v>
          </cell>
        </row>
        <row r="495">
          <cell r="M495" t="str">
            <v>Side ChannelsFace2nm 12v Acmeda Motor</v>
          </cell>
          <cell r="N495">
            <v>10</v>
          </cell>
          <cell r="O495" t="str">
            <v>N/A</v>
          </cell>
          <cell r="P495" t="str">
            <v>N/A</v>
          </cell>
          <cell r="Q495">
            <v>60</v>
          </cell>
          <cell r="R495" t="str">
            <v>N/A</v>
          </cell>
          <cell r="S495" t="str">
            <v>No</v>
          </cell>
          <cell r="T495" t="str">
            <v>N/A</v>
          </cell>
        </row>
        <row r="496">
          <cell r="M496" t="str">
            <v>Zipscreen HoodingFace2nm 12v Acmeda Motor</v>
          </cell>
          <cell r="N496">
            <v>17</v>
          </cell>
          <cell r="O496">
            <v>66</v>
          </cell>
          <cell r="P496">
            <v>66</v>
          </cell>
          <cell r="Q496" t="str">
            <v>N/A</v>
          </cell>
          <cell r="R496" t="str">
            <v>N/A</v>
          </cell>
          <cell r="S496" t="str">
            <v>No</v>
          </cell>
          <cell r="T496" t="str">
            <v>N/A</v>
          </cell>
        </row>
        <row r="497">
          <cell r="M497" t="str">
            <v>NoneFace3nm 12v Acmeda Motor</v>
          </cell>
          <cell r="N497">
            <v>0</v>
          </cell>
          <cell r="O497" t="str">
            <v>N/A</v>
          </cell>
          <cell r="P497" t="str">
            <v>N/A</v>
          </cell>
          <cell r="Q497" t="str">
            <v>N/A</v>
          </cell>
          <cell r="R497" t="str">
            <v>N/A</v>
          </cell>
          <cell r="S497" t="str">
            <v>No</v>
          </cell>
          <cell r="T497" t="str">
            <v>N/A</v>
          </cell>
        </row>
        <row r="498">
          <cell r="M498" t="str">
            <v>Straight Upholstered PelmetFace3nm 12v Acmeda Motor</v>
          </cell>
          <cell r="N498">
            <v>0</v>
          </cell>
          <cell r="O498" t="str">
            <v>N/A</v>
          </cell>
          <cell r="P498" t="str">
            <v>N/A</v>
          </cell>
          <cell r="Q498" t="str">
            <v>N/A</v>
          </cell>
          <cell r="R498" t="str">
            <v>N/A</v>
          </cell>
          <cell r="S498" t="str">
            <v>No</v>
          </cell>
          <cell r="T498" t="str">
            <v>N/A</v>
          </cell>
        </row>
        <row r="499">
          <cell r="M499" t="str">
            <v>Shaped Upholstered PelmetFace3nm 12v Acmeda Motor</v>
          </cell>
          <cell r="N499">
            <v>0</v>
          </cell>
          <cell r="O499" t="str">
            <v>N/A</v>
          </cell>
          <cell r="P499" t="str">
            <v>N/A</v>
          </cell>
          <cell r="Q499" t="str">
            <v>N/A</v>
          </cell>
          <cell r="R499" t="str">
            <v>N/A</v>
          </cell>
          <cell r="S499" t="str">
            <v>No</v>
          </cell>
          <cell r="T499" t="str">
            <v>N/A</v>
          </cell>
        </row>
        <row r="500">
          <cell r="M500" t="str">
            <v>Aluminium PelmetFace3nm 12v Acmeda Motor</v>
          </cell>
          <cell r="N500">
            <v>6</v>
          </cell>
          <cell r="O500">
            <v>6</v>
          </cell>
          <cell r="P500" t="str">
            <v>N/A</v>
          </cell>
          <cell r="Q500" t="str">
            <v>N/A</v>
          </cell>
          <cell r="R500" t="str">
            <v>Yes</v>
          </cell>
          <cell r="S500" t="str">
            <v>No</v>
          </cell>
          <cell r="T500" t="str">
            <v>Yes</v>
          </cell>
        </row>
        <row r="501">
          <cell r="M501" t="str">
            <v>Square CassetteFace3nm 12v Acmeda Motor</v>
          </cell>
          <cell r="N501">
            <v>10</v>
          </cell>
          <cell r="O501">
            <v>14</v>
          </cell>
          <cell r="P501">
            <v>14</v>
          </cell>
          <cell r="Q501" t="str">
            <v>N/A</v>
          </cell>
          <cell r="R501" t="str">
            <v>No</v>
          </cell>
          <cell r="S501" t="str">
            <v>No</v>
          </cell>
          <cell r="T501" t="str">
            <v>No</v>
          </cell>
        </row>
        <row r="502">
          <cell r="M502" t="str">
            <v>Square Cassette with Side ChannelsFace3nm 12v Acmeda Motor</v>
          </cell>
          <cell r="N502">
            <v>10</v>
          </cell>
          <cell r="O502">
            <v>14</v>
          </cell>
          <cell r="P502">
            <v>14</v>
          </cell>
          <cell r="Q502">
            <v>88</v>
          </cell>
          <cell r="R502" t="str">
            <v>No</v>
          </cell>
          <cell r="S502" t="str">
            <v>Yes</v>
          </cell>
          <cell r="T502" t="str">
            <v>No</v>
          </cell>
        </row>
        <row r="503">
          <cell r="M503" t="str">
            <v>Round CassetteFace3nm 12v Acmeda Motor</v>
          </cell>
          <cell r="N503">
            <v>10</v>
          </cell>
          <cell r="O503">
            <v>14</v>
          </cell>
          <cell r="P503">
            <v>14</v>
          </cell>
          <cell r="Q503" t="str">
            <v>N/A</v>
          </cell>
          <cell r="R503" t="str">
            <v>No</v>
          </cell>
          <cell r="S503" t="str">
            <v>No</v>
          </cell>
          <cell r="T503" t="str">
            <v>No</v>
          </cell>
        </row>
        <row r="504">
          <cell r="M504" t="str">
            <v>Round Cassette with Side ChannelsFace3nm 12v Acmeda Motor</v>
          </cell>
          <cell r="N504">
            <v>10</v>
          </cell>
          <cell r="O504">
            <v>14</v>
          </cell>
          <cell r="P504">
            <v>14</v>
          </cell>
          <cell r="Q504">
            <v>88</v>
          </cell>
          <cell r="R504" t="str">
            <v>No</v>
          </cell>
          <cell r="S504" t="str">
            <v>Yes</v>
          </cell>
          <cell r="T504" t="str">
            <v>No</v>
          </cell>
        </row>
        <row r="505">
          <cell r="M505" t="str">
            <v>Aluminium ValanceFace3nm 12v Acmeda Motor</v>
          </cell>
          <cell r="N505">
            <v>6</v>
          </cell>
          <cell r="O505" t="str">
            <v>N/A</v>
          </cell>
          <cell r="P505">
            <v>0</v>
          </cell>
          <cell r="Q505" t="str">
            <v>N/A</v>
          </cell>
          <cell r="R505" t="str">
            <v>Yes</v>
          </cell>
          <cell r="S505" t="str">
            <v>No</v>
          </cell>
          <cell r="T505" t="str">
            <v>No</v>
          </cell>
        </row>
        <row r="506">
          <cell r="M506" t="str">
            <v>Aluminium Valance - Fabric CoveredFace3nm 12v Acmeda Motor</v>
          </cell>
          <cell r="N506">
            <v>6</v>
          </cell>
          <cell r="O506" t="str">
            <v>N/A</v>
          </cell>
          <cell r="P506">
            <v>0</v>
          </cell>
          <cell r="Q506" t="str">
            <v>N/A</v>
          </cell>
          <cell r="R506" t="str">
            <v>Yes</v>
          </cell>
          <cell r="S506" t="str">
            <v>No</v>
          </cell>
          <cell r="T506" t="str">
            <v>No</v>
          </cell>
        </row>
        <row r="507">
          <cell r="M507" t="str">
            <v>Side ChannelsFace3nm 12v Acmeda Motor</v>
          </cell>
          <cell r="N507">
            <v>10</v>
          </cell>
          <cell r="O507" t="str">
            <v>N/A</v>
          </cell>
          <cell r="P507" t="str">
            <v>N/A</v>
          </cell>
          <cell r="Q507">
            <v>60</v>
          </cell>
          <cell r="R507" t="str">
            <v>N/A</v>
          </cell>
          <cell r="S507" t="str">
            <v>No</v>
          </cell>
          <cell r="T507" t="str">
            <v>N/A</v>
          </cell>
        </row>
        <row r="508">
          <cell r="M508" t="str">
            <v>Zipscreen HoodingFace3nm 12v Acmeda Motor</v>
          </cell>
          <cell r="N508">
            <v>17</v>
          </cell>
          <cell r="O508">
            <v>66</v>
          </cell>
          <cell r="P508">
            <v>66</v>
          </cell>
          <cell r="Q508" t="str">
            <v>N/A</v>
          </cell>
          <cell r="R508" t="str">
            <v>N/A</v>
          </cell>
          <cell r="S508" t="str">
            <v>No</v>
          </cell>
          <cell r="T508" t="str">
            <v>N/A</v>
          </cell>
        </row>
        <row r="509">
          <cell r="M509" t="str">
            <v>NoneFace1.1nm 12v Acmeda Short Motor</v>
          </cell>
          <cell r="N509">
            <v>0</v>
          </cell>
          <cell r="O509" t="str">
            <v>N/A</v>
          </cell>
          <cell r="P509" t="str">
            <v>N/A</v>
          </cell>
          <cell r="Q509" t="str">
            <v>N/A</v>
          </cell>
          <cell r="R509" t="str">
            <v>N/A</v>
          </cell>
          <cell r="S509" t="str">
            <v>No</v>
          </cell>
          <cell r="T509" t="str">
            <v>N/A</v>
          </cell>
        </row>
        <row r="510">
          <cell r="M510" t="str">
            <v>Straight Upholstered PelmetFace1.1nm 12v Acmeda Short Motor</v>
          </cell>
          <cell r="N510">
            <v>0</v>
          </cell>
          <cell r="O510" t="str">
            <v>N/A</v>
          </cell>
          <cell r="P510" t="str">
            <v>N/A</v>
          </cell>
          <cell r="Q510" t="str">
            <v>N/A</v>
          </cell>
          <cell r="R510" t="str">
            <v>N/A</v>
          </cell>
          <cell r="S510" t="str">
            <v>No</v>
          </cell>
          <cell r="T510" t="str">
            <v>N/A</v>
          </cell>
        </row>
        <row r="511">
          <cell r="M511" t="str">
            <v>Shaped Upholstered PelmetFace1.1nm 12v Acmeda Short Motor</v>
          </cell>
          <cell r="N511">
            <v>0</v>
          </cell>
          <cell r="O511" t="str">
            <v>N/A</v>
          </cell>
          <cell r="P511" t="str">
            <v>N/A</v>
          </cell>
          <cell r="Q511" t="str">
            <v>N/A</v>
          </cell>
          <cell r="R511" t="str">
            <v>N/A</v>
          </cell>
          <cell r="S511" t="str">
            <v>No</v>
          </cell>
          <cell r="T511" t="str">
            <v>N/A</v>
          </cell>
        </row>
        <row r="512">
          <cell r="M512" t="str">
            <v>Aluminium PelmetFace1.1nm 12v Acmeda Short Motor</v>
          </cell>
          <cell r="N512">
            <v>6</v>
          </cell>
          <cell r="O512">
            <v>6</v>
          </cell>
          <cell r="P512" t="str">
            <v>N/A</v>
          </cell>
          <cell r="Q512" t="str">
            <v>N/A</v>
          </cell>
          <cell r="R512" t="str">
            <v>Yes</v>
          </cell>
          <cell r="S512" t="str">
            <v>No</v>
          </cell>
          <cell r="T512" t="str">
            <v>Yes</v>
          </cell>
        </row>
        <row r="513">
          <cell r="M513" t="str">
            <v>Square CassetteFace1.1nm 12v Acmeda Short Motor</v>
          </cell>
          <cell r="N513">
            <v>10</v>
          </cell>
          <cell r="O513">
            <v>14</v>
          </cell>
          <cell r="P513">
            <v>14</v>
          </cell>
          <cell r="Q513" t="str">
            <v>N/A</v>
          </cell>
          <cell r="R513" t="str">
            <v>No</v>
          </cell>
          <cell r="S513" t="str">
            <v>No</v>
          </cell>
          <cell r="T513" t="str">
            <v>No</v>
          </cell>
        </row>
        <row r="514">
          <cell r="M514" t="str">
            <v>Square Cassette with Side ChannelsFace1.1nm 12v Acmeda Short Motor</v>
          </cell>
          <cell r="N514">
            <v>10</v>
          </cell>
          <cell r="O514">
            <v>14</v>
          </cell>
          <cell r="P514">
            <v>14</v>
          </cell>
          <cell r="Q514">
            <v>88</v>
          </cell>
          <cell r="R514" t="str">
            <v>No</v>
          </cell>
          <cell r="S514" t="str">
            <v>Yes</v>
          </cell>
          <cell r="T514" t="str">
            <v>No</v>
          </cell>
        </row>
        <row r="515">
          <cell r="M515" t="str">
            <v>Round CassetteFace1.1nm 12v Acmeda Short Motor</v>
          </cell>
          <cell r="N515">
            <v>10</v>
          </cell>
          <cell r="O515">
            <v>14</v>
          </cell>
          <cell r="P515">
            <v>14</v>
          </cell>
          <cell r="Q515" t="str">
            <v>N/A</v>
          </cell>
          <cell r="R515" t="str">
            <v>No</v>
          </cell>
          <cell r="S515" t="str">
            <v>No</v>
          </cell>
          <cell r="T515" t="str">
            <v>No</v>
          </cell>
        </row>
        <row r="516">
          <cell r="M516" t="str">
            <v>Round Cassette with Side ChannelsFace1.1nm 12v Acmeda Short Motor</v>
          </cell>
          <cell r="N516">
            <v>10</v>
          </cell>
          <cell r="O516">
            <v>14</v>
          </cell>
          <cell r="P516">
            <v>14</v>
          </cell>
          <cell r="Q516">
            <v>88</v>
          </cell>
          <cell r="R516" t="str">
            <v>No</v>
          </cell>
          <cell r="S516" t="str">
            <v>Yes</v>
          </cell>
          <cell r="T516" t="str">
            <v>No</v>
          </cell>
        </row>
        <row r="517">
          <cell r="M517" t="str">
            <v>Aluminium ValanceFace1.1nm 12v Acmeda Short Motor</v>
          </cell>
          <cell r="N517">
            <v>6</v>
          </cell>
          <cell r="O517" t="str">
            <v>N/A</v>
          </cell>
          <cell r="P517">
            <v>0</v>
          </cell>
          <cell r="Q517" t="str">
            <v>N/A</v>
          </cell>
          <cell r="R517" t="str">
            <v>Yes</v>
          </cell>
          <cell r="S517" t="str">
            <v>No</v>
          </cell>
          <cell r="T517" t="str">
            <v>No</v>
          </cell>
        </row>
        <row r="518">
          <cell r="M518" t="str">
            <v>Aluminium Valance - Fabric CoveredFace1.1nm 12v Acmeda Short Motor</v>
          </cell>
          <cell r="N518">
            <v>6</v>
          </cell>
          <cell r="O518" t="str">
            <v>N/A</v>
          </cell>
          <cell r="P518">
            <v>0</v>
          </cell>
          <cell r="Q518" t="str">
            <v>N/A</v>
          </cell>
          <cell r="R518" t="str">
            <v>Yes</v>
          </cell>
          <cell r="S518" t="str">
            <v>No</v>
          </cell>
          <cell r="T518" t="str">
            <v>No</v>
          </cell>
        </row>
        <row r="519">
          <cell r="M519" t="str">
            <v>Side ChannelsFace1.1nm 12v Acmeda Short Motor</v>
          </cell>
          <cell r="N519">
            <v>10</v>
          </cell>
          <cell r="O519" t="str">
            <v>N/A</v>
          </cell>
          <cell r="P519" t="str">
            <v>N/A</v>
          </cell>
          <cell r="Q519">
            <v>60</v>
          </cell>
          <cell r="R519" t="str">
            <v>N/A</v>
          </cell>
          <cell r="S519" t="str">
            <v>No</v>
          </cell>
          <cell r="T519" t="str">
            <v>N/A</v>
          </cell>
        </row>
        <row r="520">
          <cell r="M520" t="str">
            <v>Zipscreen HoodingFace1.1nm 12v Acmeda Short Motor</v>
          </cell>
          <cell r="N520">
            <v>17</v>
          </cell>
          <cell r="O520">
            <v>66</v>
          </cell>
          <cell r="P520">
            <v>66</v>
          </cell>
          <cell r="Q520" t="str">
            <v>N/A</v>
          </cell>
          <cell r="R520" t="str">
            <v>N/A</v>
          </cell>
          <cell r="S520" t="str">
            <v>No</v>
          </cell>
          <cell r="T520" t="str">
            <v>N/A</v>
          </cell>
        </row>
        <row r="521">
          <cell r="M521" t="str">
            <v>NoneFace1.1nm 12v Acmeda DCRF Motor with External Battery</v>
          </cell>
          <cell r="N521">
            <v>0</v>
          </cell>
          <cell r="O521" t="str">
            <v>N/A</v>
          </cell>
          <cell r="P521" t="str">
            <v>N/A</v>
          </cell>
          <cell r="Q521" t="str">
            <v>N/A</v>
          </cell>
          <cell r="R521" t="str">
            <v>N/A</v>
          </cell>
          <cell r="S521" t="str">
            <v>No</v>
          </cell>
          <cell r="T521" t="str">
            <v>N/A</v>
          </cell>
        </row>
        <row r="522">
          <cell r="M522" t="str">
            <v>Straight Upholstered PelmetFace1.1nm 12v Acmeda DCRF Motor with External Battery</v>
          </cell>
          <cell r="N522">
            <v>0</v>
          </cell>
          <cell r="O522" t="str">
            <v>N/A</v>
          </cell>
          <cell r="P522" t="str">
            <v>N/A</v>
          </cell>
          <cell r="Q522" t="str">
            <v>N/A</v>
          </cell>
          <cell r="R522" t="str">
            <v>N/A</v>
          </cell>
          <cell r="S522" t="str">
            <v>No</v>
          </cell>
          <cell r="T522" t="str">
            <v>N/A</v>
          </cell>
        </row>
        <row r="523">
          <cell r="M523" t="str">
            <v>Shaped Upholstered PelmetFace1.1nm 12v Acmeda DCRF Motor with External Battery</v>
          </cell>
          <cell r="N523">
            <v>0</v>
          </cell>
          <cell r="O523" t="str">
            <v>N/A</v>
          </cell>
          <cell r="P523" t="str">
            <v>N/A</v>
          </cell>
          <cell r="Q523" t="str">
            <v>N/A</v>
          </cell>
          <cell r="R523" t="str">
            <v>N/A</v>
          </cell>
          <cell r="S523" t="str">
            <v>No</v>
          </cell>
          <cell r="T523" t="str">
            <v>N/A</v>
          </cell>
        </row>
        <row r="524">
          <cell r="M524" t="str">
            <v>Aluminium PelmetFace1.1nm 12v Acmeda DCRF Motor with External Battery</v>
          </cell>
          <cell r="N524">
            <v>6</v>
          </cell>
          <cell r="O524">
            <v>6</v>
          </cell>
          <cell r="P524" t="str">
            <v>N/A</v>
          </cell>
          <cell r="Q524" t="str">
            <v>N/A</v>
          </cell>
          <cell r="R524" t="str">
            <v>Yes</v>
          </cell>
          <cell r="S524" t="str">
            <v>No</v>
          </cell>
          <cell r="T524" t="str">
            <v>Yes</v>
          </cell>
        </row>
        <row r="525">
          <cell r="M525" t="str">
            <v>Square CassetteFace1.1nm 12v Acmeda DCRF Motor with External Battery</v>
          </cell>
          <cell r="N525">
            <v>10</v>
          </cell>
          <cell r="O525">
            <v>14</v>
          </cell>
          <cell r="P525">
            <v>14</v>
          </cell>
          <cell r="Q525" t="str">
            <v>N/A</v>
          </cell>
          <cell r="R525" t="str">
            <v>No</v>
          </cell>
          <cell r="S525" t="str">
            <v>No</v>
          </cell>
          <cell r="T525" t="str">
            <v>No</v>
          </cell>
        </row>
        <row r="526">
          <cell r="M526" t="str">
            <v>Square Cassette with Side ChannelsFace1.1nm 12v Acmeda DCRF Motor with External Battery</v>
          </cell>
          <cell r="N526">
            <v>10</v>
          </cell>
          <cell r="O526">
            <v>14</v>
          </cell>
          <cell r="P526">
            <v>14</v>
          </cell>
          <cell r="Q526">
            <v>88</v>
          </cell>
          <cell r="R526" t="str">
            <v>No</v>
          </cell>
          <cell r="S526" t="str">
            <v>Yes</v>
          </cell>
          <cell r="T526" t="str">
            <v>No</v>
          </cell>
        </row>
        <row r="527">
          <cell r="M527" t="str">
            <v>Round CassetteFace1.1nm 12v Acmeda DCRF Motor with External Battery</v>
          </cell>
          <cell r="N527">
            <v>10</v>
          </cell>
          <cell r="O527">
            <v>14</v>
          </cell>
          <cell r="P527">
            <v>14</v>
          </cell>
          <cell r="Q527" t="str">
            <v>N/A</v>
          </cell>
          <cell r="R527" t="str">
            <v>No</v>
          </cell>
          <cell r="S527" t="str">
            <v>No</v>
          </cell>
          <cell r="T527" t="str">
            <v>No</v>
          </cell>
        </row>
        <row r="528">
          <cell r="M528" t="str">
            <v>Round Cassette with Side ChannelsFace1.1nm 12v Acmeda DCRF Motor with External Battery</v>
          </cell>
          <cell r="N528">
            <v>10</v>
          </cell>
          <cell r="O528">
            <v>14</v>
          </cell>
          <cell r="P528">
            <v>14</v>
          </cell>
          <cell r="Q528">
            <v>88</v>
          </cell>
          <cell r="R528" t="str">
            <v>No</v>
          </cell>
          <cell r="S528" t="str">
            <v>Yes</v>
          </cell>
          <cell r="T528" t="str">
            <v>No</v>
          </cell>
        </row>
        <row r="529">
          <cell r="M529" t="str">
            <v>Aluminium ValanceFace1.1nm 12v Acmeda DCRF Motor with External Battery</v>
          </cell>
          <cell r="N529">
            <v>6</v>
          </cell>
          <cell r="O529" t="str">
            <v>N/A</v>
          </cell>
          <cell r="P529">
            <v>0</v>
          </cell>
          <cell r="Q529" t="str">
            <v>N/A</v>
          </cell>
          <cell r="R529" t="str">
            <v>Yes</v>
          </cell>
          <cell r="S529" t="str">
            <v>No</v>
          </cell>
          <cell r="T529" t="str">
            <v>No</v>
          </cell>
        </row>
        <row r="530">
          <cell r="M530" t="str">
            <v>Aluminium Valance - Fabric CoveredFace1.1nm 12v Acmeda DCRF Motor with External Battery</v>
          </cell>
          <cell r="N530">
            <v>6</v>
          </cell>
          <cell r="O530" t="str">
            <v>N/A</v>
          </cell>
          <cell r="P530">
            <v>0</v>
          </cell>
          <cell r="Q530" t="str">
            <v>N/A</v>
          </cell>
          <cell r="R530" t="str">
            <v>Yes</v>
          </cell>
          <cell r="S530" t="str">
            <v>No</v>
          </cell>
          <cell r="T530" t="str">
            <v>No</v>
          </cell>
        </row>
        <row r="531">
          <cell r="M531" t="str">
            <v>Side ChannelsFace1.1nm 12v Acmeda DCRF Motor with External Battery</v>
          </cell>
          <cell r="N531">
            <v>10</v>
          </cell>
          <cell r="O531" t="str">
            <v>N/A</v>
          </cell>
          <cell r="P531" t="str">
            <v>N/A</v>
          </cell>
          <cell r="Q531">
            <v>60</v>
          </cell>
          <cell r="R531" t="str">
            <v>N/A</v>
          </cell>
          <cell r="S531" t="str">
            <v>No</v>
          </cell>
          <cell r="T531" t="str">
            <v>N/A</v>
          </cell>
        </row>
        <row r="532">
          <cell r="M532" t="str">
            <v>Zipscreen HoodingFace1.1nm 12v Acmeda DCRF Motor with External Battery</v>
          </cell>
          <cell r="N532">
            <v>17</v>
          </cell>
          <cell r="O532">
            <v>66</v>
          </cell>
          <cell r="P532">
            <v>66</v>
          </cell>
          <cell r="Q532" t="str">
            <v>N/A</v>
          </cell>
          <cell r="R532" t="str">
            <v>N/A</v>
          </cell>
          <cell r="S532" t="str">
            <v>No</v>
          </cell>
          <cell r="T532" t="str">
            <v>N/A</v>
          </cell>
        </row>
        <row r="533">
          <cell r="M533" t="str">
            <v>NoneFace1.1nm 12v Acmeda DCRF Motor</v>
          </cell>
          <cell r="N533">
            <v>0</v>
          </cell>
          <cell r="O533" t="str">
            <v>N/A</v>
          </cell>
          <cell r="P533" t="str">
            <v>N/A</v>
          </cell>
          <cell r="Q533" t="str">
            <v>N/A</v>
          </cell>
          <cell r="R533" t="str">
            <v>N/A</v>
          </cell>
          <cell r="S533" t="str">
            <v>No</v>
          </cell>
          <cell r="T533" t="str">
            <v>N/A</v>
          </cell>
        </row>
        <row r="534">
          <cell r="M534" t="str">
            <v>Straight Upholstered PelmetFace1.1nm 12v Acmeda DCRF Motor</v>
          </cell>
          <cell r="N534">
            <v>0</v>
          </cell>
          <cell r="O534" t="str">
            <v>N/A</v>
          </cell>
          <cell r="P534" t="str">
            <v>N/A</v>
          </cell>
          <cell r="Q534" t="str">
            <v>N/A</v>
          </cell>
          <cell r="R534" t="str">
            <v>N/A</v>
          </cell>
          <cell r="S534" t="str">
            <v>No</v>
          </cell>
          <cell r="T534" t="str">
            <v>N/A</v>
          </cell>
        </row>
        <row r="535">
          <cell r="M535" t="str">
            <v>Shaped Upholstered PelmetFace1.1nm 12v Acmeda DCRF Motor</v>
          </cell>
          <cell r="N535">
            <v>0</v>
          </cell>
          <cell r="O535" t="str">
            <v>N/A</v>
          </cell>
          <cell r="P535" t="str">
            <v>N/A</v>
          </cell>
          <cell r="Q535" t="str">
            <v>N/A</v>
          </cell>
          <cell r="R535" t="str">
            <v>N/A</v>
          </cell>
          <cell r="S535" t="str">
            <v>No</v>
          </cell>
          <cell r="T535" t="str">
            <v>N/A</v>
          </cell>
        </row>
        <row r="536">
          <cell r="M536" t="str">
            <v>Aluminium PelmetFace1.1nm 12v Acmeda DCRF Motor</v>
          </cell>
          <cell r="N536">
            <v>6</v>
          </cell>
          <cell r="O536">
            <v>6</v>
          </cell>
          <cell r="P536" t="str">
            <v>N/A</v>
          </cell>
          <cell r="Q536" t="str">
            <v>N/A</v>
          </cell>
          <cell r="R536" t="str">
            <v>Yes</v>
          </cell>
          <cell r="S536" t="str">
            <v>No</v>
          </cell>
          <cell r="T536" t="str">
            <v>Yes</v>
          </cell>
        </row>
        <row r="537">
          <cell r="M537" t="str">
            <v>Square CassetteFace1.1nm 12v Acmeda DCRF Motor</v>
          </cell>
          <cell r="N537">
            <v>10</v>
          </cell>
          <cell r="O537">
            <v>14</v>
          </cell>
          <cell r="P537">
            <v>14</v>
          </cell>
          <cell r="Q537" t="str">
            <v>N/A</v>
          </cell>
          <cell r="R537" t="str">
            <v>No</v>
          </cell>
          <cell r="S537" t="str">
            <v>No</v>
          </cell>
          <cell r="T537" t="str">
            <v>No</v>
          </cell>
        </row>
        <row r="538">
          <cell r="M538" t="str">
            <v>Square Cassette with Side ChannelsFace1.1nm 12v Acmeda DCRF Motor</v>
          </cell>
          <cell r="N538">
            <v>10</v>
          </cell>
          <cell r="O538">
            <v>14</v>
          </cell>
          <cell r="P538">
            <v>14</v>
          </cell>
          <cell r="Q538">
            <v>88</v>
          </cell>
          <cell r="R538" t="str">
            <v>No</v>
          </cell>
          <cell r="S538" t="str">
            <v>Yes</v>
          </cell>
          <cell r="T538" t="str">
            <v>No</v>
          </cell>
        </row>
        <row r="539">
          <cell r="M539" t="str">
            <v>Round CassetteFace1.1nm 12v Acmeda DCRF Motor</v>
          </cell>
          <cell r="N539">
            <v>10</v>
          </cell>
          <cell r="O539">
            <v>14</v>
          </cell>
          <cell r="P539">
            <v>14</v>
          </cell>
          <cell r="Q539" t="str">
            <v>N/A</v>
          </cell>
          <cell r="R539" t="str">
            <v>No</v>
          </cell>
          <cell r="S539" t="str">
            <v>No</v>
          </cell>
          <cell r="T539" t="str">
            <v>No</v>
          </cell>
        </row>
        <row r="540">
          <cell r="M540" t="str">
            <v>Round Cassette with Side ChannelsFace1.1nm 12v Acmeda DCRF Motor</v>
          </cell>
          <cell r="N540">
            <v>10</v>
          </cell>
          <cell r="O540">
            <v>14</v>
          </cell>
          <cell r="P540">
            <v>14</v>
          </cell>
          <cell r="Q540">
            <v>88</v>
          </cell>
          <cell r="R540" t="str">
            <v>No</v>
          </cell>
          <cell r="S540" t="str">
            <v>Yes</v>
          </cell>
          <cell r="T540" t="str">
            <v>No</v>
          </cell>
        </row>
        <row r="541">
          <cell r="M541" t="str">
            <v>Aluminium ValanceFace1.1nm 12v Acmeda DCRF Motor</v>
          </cell>
          <cell r="N541">
            <v>6</v>
          </cell>
          <cell r="O541" t="str">
            <v>N/A</v>
          </cell>
          <cell r="P541">
            <v>0</v>
          </cell>
          <cell r="Q541" t="str">
            <v>N/A</v>
          </cell>
          <cell r="R541" t="str">
            <v>Yes</v>
          </cell>
          <cell r="S541" t="str">
            <v>No</v>
          </cell>
          <cell r="T541" t="str">
            <v>No</v>
          </cell>
        </row>
        <row r="542">
          <cell r="M542" t="str">
            <v>Aluminium Valance - Fabric CoveredFace1.1nm 12v Acmeda DCRF Motor</v>
          </cell>
          <cell r="N542">
            <v>6</v>
          </cell>
          <cell r="O542" t="str">
            <v>N/A</v>
          </cell>
          <cell r="P542">
            <v>0</v>
          </cell>
          <cell r="Q542" t="str">
            <v>N/A</v>
          </cell>
          <cell r="R542" t="str">
            <v>Yes</v>
          </cell>
          <cell r="S542" t="str">
            <v>No</v>
          </cell>
          <cell r="T542" t="str">
            <v>No</v>
          </cell>
        </row>
        <row r="543">
          <cell r="M543" t="str">
            <v>Side ChannelsFace1.1nm 12v Acmeda DCRF Motor</v>
          </cell>
          <cell r="N543">
            <v>10</v>
          </cell>
          <cell r="O543" t="str">
            <v>N/A</v>
          </cell>
          <cell r="P543" t="str">
            <v>N/A</v>
          </cell>
          <cell r="Q543">
            <v>60</v>
          </cell>
          <cell r="R543" t="str">
            <v>N/A</v>
          </cell>
          <cell r="S543" t="str">
            <v>No</v>
          </cell>
          <cell r="T543" t="str">
            <v>N/A</v>
          </cell>
        </row>
        <row r="544">
          <cell r="M544" t="str">
            <v>Zipscreen HoodingFace1.1nm 12v Acmeda DCRF Motor</v>
          </cell>
          <cell r="N544">
            <v>17</v>
          </cell>
          <cell r="O544">
            <v>66</v>
          </cell>
          <cell r="P544">
            <v>66</v>
          </cell>
          <cell r="Q544" t="str">
            <v>N/A</v>
          </cell>
          <cell r="R544" t="str">
            <v>N/A</v>
          </cell>
          <cell r="S544" t="str">
            <v>No</v>
          </cell>
          <cell r="T544" t="str">
            <v>N/A</v>
          </cell>
        </row>
        <row r="545">
          <cell r="M545" t="str">
            <v>NoneFace2nm 12v Acmeda DCRF Motor</v>
          </cell>
          <cell r="N545">
            <v>0</v>
          </cell>
          <cell r="O545" t="str">
            <v>N/A</v>
          </cell>
          <cell r="P545" t="str">
            <v>N/A</v>
          </cell>
          <cell r="Q545" t="str">
            <v>N/A</v>
          </cell>
          <cell r="R545" t="str">
            <v>N/A</v>
          </cell>
          <cell r="S545" t="str">
            <v>No</v>
          </cell>
          <cell r="T545" t="str">
            <v>N/A</v>
          </cell>
        </row>
        <row r="546">
          <cell r="M546" t="str">
            <v>Straight Upholstered PelmetFace2nm 12v Acmeda DCRF Motor</v>
          </cell>
          <cell r="N546">
            <v>0</v>
          </cell>
          <cell r="O546" t="str">
            <v>N/A</v>
          </cell>
          <cell r="P546" t="str">
            <v>N/A</v>
          </cell>
          <cell r="Q546" t="str">
            <v>N/A</v>
          </cell>
          <cell r="R546" t="str">
            <v>N/A</v>
          </cell>
          <cell r="S546" t="str">
            <v>No</v>
          </cell>
          <cell r="T546" t="str">
            <v>N/A</v>
          </cell>
        </row>
        <row r="547">
          <cell r="M547" t="str">
            <v>Shaped Upholstered PelmetFace2nm 12v Acmeda DCRF Motor</v>
          </cell>
          <cell r="N547">
            <v>0</v>
          </cell>
          <cell r="O547" t="str">
            <v>N/A</v>
          </cell>
          <cell r="P547" t="str">
            <v>N/A</v>
          </cell>
          <cell r="Q547" t="str">
            <v>N/A</v>
          </cell>
          <cell r="R547" t="str">
            <v>N/A</v>
          </cell>
          <cell r="S547" t="str">
            <v>No</v>
          </cell>
          <cell r="T547" t="str">
            <v>N/A</v>
          </cell>
        </row>
        <row r="548">
          <cell r="M548" t="str">
            <v>Aluminium PelmetFace2nm 12v Acmeda DCRF Motor</v>
          </cell>
          <cell r="N548">
            <v>6</v>
          </cell>
          <cell r="O548">
            <v>6</v>
          </cell>
          <cell r="P548" t="str">
            <v>N/A</v>
          </cell>
          <cell r="Q548" t="str">
            <v>N/A</v>
          </cell>
          <cell r="R548" t="str">
            <v>Yes</v>
          </cell>
          <cell r="S548" t="str">
            <v>No</v>
          </cell>
          <cell r="T548" t="str">
            <v>Yes</v>
          </cell>
        </row>
        <row r="549">
          <cell r="M549" t="str">
            <v>Square CassetteFace2nm 12v Acmeda DCRF Motor</v>
          </cell>
          <cell r="N549">
            <v>10</v>
          </cell>
          <cell r="O549">
            <v>14</v>
          </cell>
          <cell r="P549">
            <v>14</v>
          </cell>
          <cell r="Q549" t="str">
            <v>N/A</v>
          </cell>
          <cell r="R549" t="str">
            <v>No</v>
          </cell>
          <cell r="S549" t="str">
            <v>No</v>
          </cell>
          <cell r="T549" t="str">
            <v>No</v>
          </cell>
        </row>
        <row r="550">
          <cell r="M550" t="str">
            <v>Square Cassette with Side ChannelsFace2nm 12v Acmeda DCRF Motor</v>
          </cell>
          <cell r="N550">
            <v>10</v>
          </cell>
          <cell r="O550">
            <v>14</v>
          </cell>
          <cell r="P550">
            <v>14</v>
          </cell>
          <cell r="Q550">
            <v>88</v>
          </cell>
          <cell r="R550" t="str">
            <v>No</v>
          </cell>
          <cell r="S550" t="str">
            <v>Yes</v>
          </cell>
          <cell r="T550" t="str">
            <v>No</v>
          </cell>
        </row>
        <row r="551">
          <cell r="M551" t="str">
            <v>Round CassetteFace2nm 12v Acmeda DCRF Motor</v>
          </cell>
          <cell r="N551">
            <v>10</v>
          </cell>
          <cell r="O551">
            <v>14</v>
          </cell>
          <cell r="P551">
            <v>14</v>
          </cell>
          <cell r="Q551" t="str">
            <v>N/A</v>
          </cell>
          <cell r="R551" t="str">
            <v>No</v>
          </cell>
          <cell r="S551" t="str">
            <v>No</v>
          </cell>
          <cell r="T551" t="str">
            <v>No</v>
          </cell>
        </row>
        <row r="552">
          <cell r="M552" t="str">
            <v>Round Cassette with Side ChannelsFace2nm 12v Acmeda DCRF Motor</v>
          </cell>
          <cell r="N552">
            <v>10</v>
          </cell>
          <cell r="O552">
            <v>14</v>
          </cell>
          <cell r="P552">
            <v>14</v>
          </cell>
          <cell r="Q552">
            <v>88</v>
          </cell>
          <cell r="R552" t="str">
            <v>No</v>
          </cell>
          <cell r="S552" t="str">
            <v>Yes</v>
          </cell>
          <cell r="T552" t="str">
            <v>No</v>
          </cell>
        </row>
        <row r="553">
          <cell r="M553" t="str">
            <v>Aluminium ValanceFace2nm 12v Acmeda DCRF Motor</v>
          </cell>
          <cell r="N553">
            <v>6</v>
          </cell>
          <cell r="O553" t="str">
            <v>N/A</v>
          </cell>
          <cell r="P553">
            <v>0</v>
          </cell>
          <cell r="Q553" t="str">
            <v>N/A</v>
          </cell>
          <cell r="R553" t="str">
            <v>Yes</v>
          </cell>
          <cell r="S553" t="str">
            <v>No</v>
          </cell>
          <cell r="T553" t="str">
            <v>No</v>
          </cell>
        </row>
        <row r="554">
          <cell r="M554" t="str">
            <v>Aluminium Valance - Fabric CoveredFace2nm 12v Acmeda DCRF Motor</v>
          </cell>
          <cell r="N554">
            <v>6</v>
          </cell>
          <cell r="O554" t="str">
            <v>N/A</v>
          </cell>
          <cell r="P554">
            <v>0</v>
          </cell>
          <cell r="Q554" t="str">
            <v>N/A</v>
          </cell>
          <cell r="R554" t="str">
            <v>Yes</v>
          </cell>
          <cell r="S554" t="str">
            <v>No</v>
          </cell>
          <cell r="T554" t="str">
            <v>No</v>
          </cell>
        </row>
        <row r="555">
          <cell r="M555" t="str">
            <v>Side ChannelsFace2nm 12v Acmeda DCRF Motor</v>
          </cell>
          <cell r="N555">
            <v>10</v>
          </cell>
          <cell r="O555" t="str">
            <v>N/A</v>
          </cell>
          <cell r="P555" t="str">
            <v>N/A</v>
          </cell>
          <cell r="Q555">
            <v>60</v>
          </cell>
          <cell r="R555" t="str">
            <v>N/A</v>
          </cell>
          <cell r="S555" t="str">
            <v>No</v>
          </cell>
          <cell r="T555" t="str">
            <v>N/A</v>
          </cell>
        </row>
        <row r="556">
          <cell r="M556" t="str">
            <v>Zipscreen HoodingFace2nm 12v Acmeda DCRF Motor</v>
          </cell>
          <cell r="N556">
            <v>17</v>
          </cell>
          <cell r="O556">
            <v>66</v>
          </cell>
          <cell r="P556">
            <v>66</v>
          </cell>
          <cell r="Q556" t="str">
            <v>N/A</v>
          </cell>
          <cell r="R556" t="str">
            <v>N/A</v>
          </cell>
          <cell r="S556" t="str">
            <v>No</v>
          </cell>
          <cell r="T556" t="str">
            <v>N/A</v>
          </cell>
        </row>
        <row r="557">
          <cell r="M557" t="str">
            <v>NoneFaceSomfy Remote Sonesse Motor</v>
          </cell>
          <cell r="N557">
            <v>0</v>
          </cell>
          <cell r="O557" t="str">
            <v>N/A</v>
          </cell>
          <cell r="P557" t="str">
            <v>N/A</v>
          </cell>
          <cell r="Q557" t="str">
            <v>N/A</v>
          </cell>
          <cell r="R557" t="str">
            <v>N/A</v>
          </cell>
          <cell r="S557" t="str">
            <v>No</v>
          </cell>
          <cell r="T557" t="str">
            <v>N/A</v>
          </cell>
        </row>
        <row r="558">
          <cell r="M558" t="str">
            <v>Straight Upholstered PelmetFaceSomfy Remote Sonesse Motor</v>
          </cell>
          <cell r="N558">
            <v>0</v>
          </cell>
          <cell r="O558" t="str">
            <v>N/A</v>
          </cell>
          <cell r="P558" t="str">
            <v>N/A</v>
          </cell>
          <cell r="Q558" t="str">
            <v>N/A</v>
          </cell>
          <cell r="R558" t="str">
            <v>N/A</v>
          </cell>
          <cell r="S558" t="str">
            <v>No</v>
          </cell>
          <cell r="T558" t="str">
            <v>N/A</v>
          </cell>
        </row>
        <row r="559">
          <cell r="M559" t="str">
            <v>Shaped Upholstered PelmetFaceSomfy Remote Sonesse Motor</v>
          </cell>
          <cell r="N559">
            <v>0</v>
          </cell>
          <cell r="O559" t="str">
            <v>N/A</v>
          </cell>
          <cell r="P559" t="str">
            <v>N/A</v>
          </cell>
          <cell r="Q559" t="str">
            <v>N/A</v>
          </cell>
          <cell r="R559" t="str">
            <v>N/A</v>
          </cell>
          <cell r="S559" t="str">
            <v>No</v>
          </cell>
          <cell r="T559" t="str">
            <v>N/A</v>
          </cell>
        </row>
        <row r="560">
          <cell r="M560" t="str">
            <v>Aluminium PelmetFaceSomfy Remote Sonesse Motor</v>
          </cell>
          <cell r="N560">
            <v>6</v>
          </cell>
          <cell r="O560">
            <v>6</v>
          </cell>
          <cell r="P560" t="str">
            <v>N/A</v>
          </cell>
          <cell r="Q560" t="str">
            <v>N/A</v>
          </cell>
          <cell r="R560" t="str">
            <v>Yes</v>
          </cell>
          <cell r="S560" t="str">
            <v>No</v>
          </cell>
          <cell r="T560" t="str">
            <v>Yes</v>
          </cell>
        </row>
        <row r="561">
          <cell r="M561" t="str">
            <v>Square CassetteFaceSomfy Remote Sonesse Motor</v>
          </cell>
          <cell r="N561">
            <v>10</v>
          </cell>
          <cell r="O561">
            <v>14</v>
          </cell>
          <cell r="P561">
            <v>14</v>
          </cell>
          <cell r="Q561" t="str">
            <v>N/A</v>
          </cell>
          <cell r="R561" t="str">
            <v>No</v>
          </cell>
          <cell r="S561" t="str">
            <v>No</v>
          </cell>
          <cell r="T561" t="str">
            <v>No</v>
          </cell>
        </row>
        <row r="562">
          <cell r="M562" t="str">
            <v>Square Cassette with Side ChannelsFaceSomfy Remote Sonesse Motor</v>
          </cell>
          <cell r="N562">
            <v>10</v>
          </cell>
          <cell r="O562">
            <v>14</v>
          </cell>
          <cell r="P562">
            <v>14</v>
          </cell>
          <cell r="Q562">
            <v>88</v>
          </cell>
          <cell r="R562" t="str">
            <v>No</v>
          </cell>
          <cell r="S562" t="str">
            <v>Yes</v>
          </cell>
          <cell r="T562" t="str">
            <v>No</v>
          </cell>
        </row>
        <row r="563">
          <cell r="M563" t="str">
            <v>Round CassetteFaceSomfy Remote Sonesse Motor</v>
          </cell>
          <cell r="N563">
            <v>10</v>
          </cell>
          <cell r="O563">
            <v>14</v>
          </cell>
          <cell r="P563">
            <v>14</v>
          </cell>
          <cell r="Q563" t="str">
            <v>N/A</v>
          </cell>
          <cell r="R563" t="str">
            <v>No</v>
          </cell>
          <cell r="S563" t="str">
            <v>No</v>
          </cell>
          <cell r="T563" t="str">
            <v>No</v>
          </cell>
        </row>
        <row r="564">
          <cell r="M564" t="str">
            <v>Round Cassette with Side ChannelsFaceSomfy Remote Sonesse Motor</v>
          </cell>
          <cell r="N564">
            <v>10</v>
          </cell>
          <cell r="O564">
            <v>14</v>
          </cell>
          <cell r="P564">
            <v>14</v>
          </cell>
          <cell r="Q564">
            <v>88</v>
          </cell>
          <cell r="R564" t="str">
            <v>No</v>
          </cell>
          <cell r="S564" t="str">
            <v>Yes</v>
          </cell>
          <cell r="T564" t="str">
            <v>No</v>
          </cell>
        </row>
        <row r="565">
          <cell r="M565" t="str">
            <v>Aluminium ValanceFaceSomfy Remote Sonesse Motor</v>
          </cell>
          <cell r="N565">
            <v>6</v>
          </cell>
          <cell r="O565" t="str">
            <v>N/A</v>
          </cell>
          <cell r="P565">
            <v>0</v>
          </cell>
          <cell r="Q565" t="str">
            <v>N/A</v>
          </cell>
          <cell r="R565" t="str">
            <v>Yes</v>
          </cell>
          <cell r="S565" t="str">
            <v>No</v>
          </cell>
          <cell r="T565" t="str">
            <v>No</v>
          </cell>
        </row>
        <row r="566">
          <cell r="M566" t="str">
            <v>Aluminium Valance - Fabric CoveredFaceSomfy Remote Sonesse Motor</v>
          </cell>
          <cell r="N566">
            <v>6</v>
          </cell>
          <cell r="O566" t="str">
            <v>N/A</v>
          </cell>
          <cell r="P566">
            <v>0</v>
          </cell>
          <cell r="Q566" t="str">
            <v>N/A</v>
          </cell>
          <cell r="R566" t="str">
            <v>Yes</v>
          </cell>
          <cell r="S566" t="str">
            <v>No</v>
          </cell>
          <cell r="T566" t="str">
            <v>No</v>
          </cell>
        </row>
        <row r="567">
          <cell r="M567" t="str">
            <v>Side ChannelsFaceSomfy Remote Sonesse Motor</v>
          </cell>
          <cell r="N567">
            <v>10</v>
          </cell>
          <cell r="O567" t="str">
            <v>N/A</v>
          </cell>
          <cell r="P567" t="str">
            <v>N/A</v>
          </cell>
          <cell r="Q567">
            <v>60</v>
          </cell>
          <cell r="R567" t="str">
            <v>N/A</v>
          </cell>
          <cell r="S567" t="str">
            <v>No</v>
          </cell>
          <cell r="T567" t="str">
            <v>N/A</v>
          </cell>
        </row>
        <row r="568">
          <cell r="M568" t="str">
            <v>Zipscreen HoodingFaceSomfy Remote Sonesse Motor</v>
          </cell>
          <cell r="N568">
            <v>17</v>
          </cell>
          <cell r="O568">
            <v>66</v>
          </cell>
          <cell r="P568">
            <v>66</v>
          </cell>
          <cell r="Q568" t="str">
            <v>N/A</v>
          </cell>
          <cell r="R568" t="str">
            <v>N/A</v>
          </cell>
          <cell r="S568" t="str">
            <v>No</v>
          </cell>
          <cell r="T568" t="str">
            <v>N/A</v>
          </cell>
        </row>
        <row r="569">
          <cell r="M569" t="str">
            <v>NoneFaceSomfy 12v Remote Sonesse Motor</v>
          </cell>
          <cell r="N569">
            <v>0</v>
          </cell>
          <cell r="O569" t="str">
            <v>N/A</v>
          </cell>
          <cell r="P569" t="str">
            <v>N/A</v>
          </cell>
          <cell r="Q569" t="str">
            <v>N/A</v>
          </cell>
          <cell r="R569" t="str">
            <v>N/A</v>
          </cell>
          <cell r="S569" t="str">
            <v>No</v>
          </cell>
          <cell r="T569" t="str">
            <v>N/A</v>
          </cell>
        </row>
        <row r="570">
          <cell r="M570" t="str">
            <v>Straight Upholstered PelmetFaceSomfy 12v Remote Sonesse Motor</v>
          </cell>
          <cell r="N570">
            <v>0</v>
          </cell>
          <cell r="O570" t="str">
            <v>N/A</v>
          </cell>
          <cell r="P570" t="str">
            <v>N/A</v>
          </cell>
          <cell r="Q570" t="str">
            <v>N/A</v>
          </cell>
          <cell r="R570" t="str">
            <v>N/A</v>
          </cell>
          <cell r="S570" t="str">
            <v>No</v>
          </cell>
          <cell r="T570" t="str">
            <v>N/A</v>
          </cell>
        </row>
        <row r="571">
          <cell r="M571" t="str">
            <v>Shaped Upholstered PelmetFaceSomfy 12v Remote Sonesse Motor</v>
          </cell>
          <cell r="N571">
            <v>0</v>
          </cell>
          <cell r="O571" t="str">
            <v>N/A</v>
          </cell>
          <cell r="P571" t="str">
            <v>N/A</v>
          </cell>
          <cell r="Q571" t="str">
            <v>N/A</v>
          </cell>
          <cell r="R571" t="str">
            <v>N/A</v>
          </cell>
          <cell r="S571" t="str">
            <v>No</v>
          </cell>
          <cell r="T571" t="str">
            <v>N/A</v>
          </cell>
        </row>
        <row r="572">
          <cell r="M572" t="str">
            <v>Aluminium PelmetFaceSomfy 12v Remote Sonesse Motor</v>
          </cell>
          <cell r="N572">
            <v>0</v>
          </cell>
          <cell r="O572">
            <v>0</v>
          </cell>
          <cell r="P572" t="str">
            <v>N/A</v>
          </cell>
          <cell r="Q572" t="str">
            <v>N/A</v>
          </cell>
          <cell r="R572" t="str">
            <v>No</v>
          </cell>
          <cell r="S572" t="str">
            <v>No</v>
          </cell>
          <cell r="T572" t="str">
            <v>Yes</v>
          </cell>
        </row>
        <row r="573">
          <cell r="M573" t="str">
            <v>Square CassetteFaceSomfy 12v Remote Sonesse Motor</v>
          </cell>
          <cell r="N573">
            <v>10</v>
          </cell>
          <cell r="O573">
            <v>14</v>
          </cell>
          <cell r="P573">
            <v>14</v>
          </cell>
          <cell r="Q573" t="str">
            <v>N/A</v>
          </cell>
          <cell r="R573" t="str">
            <v>No</v>
          </cell>
          <cell r="S573" t="str">
            <v>No</v>
          </cell>
          <cell r="T573" t="str">
            <v>No</v>
          </cell>
        </row>
        <row r="574">
          <cell r="M574" t="str">
            <v>Square Cassette with Side ChannelsFaceSomfy 12v Remote Sonesse Motor</v>
          </cell>
          <cell r="N574">
            <v>10</v>
          </cell>
          <cell r="O574">
            <v>14</v>
          </cell>
          <cell r="P574">
            <v>14</v>
          </cell>
          <cell r="Q574">
            <v>88</v>
          </cell>
          <cell r="R574" t="str">
            <v>No</v>
          </cell>
          <cell r="S574" t="str">
            <v>Yes</v>
          </cell>
          <cell r="T574" t="str">
            <v>No</v>
          </cell>
        </row>
        <row r="575">
          <cell r="M575" t="str">
            <v>Round CassetteFaceSomfy 12v Remote Sonesse Motor</v>
          </cell>
          <cell r="N575">
            <v>10</v>
          </cell>
          <cell r="O575">
            <v>14</v>
          </cell>
          <cell r="P575">
            <v>14</v>
          </cell>
          <cell r="Q575" t="str">
            <v>N/A</v>
          </cell>
          <cell r="R575" t="str">
            <v>No</v>
          </cell>
          <cell r="S575" t="str">
            <v>No</v>
          </cell>
          <cell r="T575" t="str">
            <v>No</v>
          </cell>
        </row>
        <row r="576">
          <cell r="M576" t="str">
            <v>Round Cassette with Side ChannelsFaceSomfy 12v Remote Sonesse Motor</v>
          </cell>
          <cell r="N576">
            <v>10</v>
          </cell>
          <cell r="O576">
            <v>14</v>
          </cell>
          <cell r="P576">
            <v>14</v>
          </cell>
          <cell r="Q576">
            <v>88</v>
          </cell>
          <cell r="R576" t="str">
            <v>No</v>
          </cell>
          <cell r="S576" t="str">
            <v>Yes</v>
          </cell>
          <cell r="T576" t="str">
            <v>No</v>
          </cell>
        </row>
        <row r="577">
          <cell r="M577" t="str">
            <v>Aluminium ValanceFaceSomfy 12v Remote Sonesse Motor</v>
          </cell>
          <cell r="N577">
            <v>0</v>
          </cell>
          <cell r="O577" t="str">
            <v>N/A</v>
          </cell>
          <cell r="P577">
            <v>0</v>
          </cell>
          <cell r="Q577" t="str">
            <v>N/A</v>
          </cell>
          <cell r="R577" t="str">
            <v>No</v>
          </cell>
          <cell r="S577" t="str">
            <v>No</v>
          </cell>
          <cell r="T577" t="str">
            <v>Yes</v>
          </cell>
        </row>
        <row r="578">
          <cell r="M578" t="str">
            <v>Aluminium Valance - Fabric CoveredFaceSomfy 12v Remote Sonesse Motor</v>
          </cell>
          <cell r="N578">
            <v>0</v>
          </cell>
          <cell r="O578" t="str">
            <v>N/A</v>
          </cell>
          <cell r="P578">
            <v>0</v>
          </cell>
          <cell r="Q578" t="str">
            <v>N/A</v>
          </cell>
          <cell r="R578" t="str">
            <v>No</v>
          </cell>
          <cell r="S578" t="str">
            <v>No</v>
          </cell>
          <cell r="T578" t="str">
            <v>Yes</v>
          </cell>
        </row>
        <row r="579">
          <cell r="M579" t="str">
            <v>Side ChannelsFaceSomfy 12v Remote Sonesse Motor</v>
          </cell>
          <cell r="N579">
            <v>10</v>
          </cell>
          <cell r="O579" t="str">
            <v>N/A</v>
          </cell>
          <cell r="P579" t="str">
            <v>N/A</v>
          </cell>
          <cell r="Q579">
            <v>60</v>
          </cell>
          <cell r="R579" t="str">
            <v>N/A</v>
          </cell>
          <cell r="S579" t="str">
            <v>No</v>
          </cell>
          <cell r="T579" t="str">
            <v>N/A</v>
          </cell>
        </row>
        <row r="580">
          <cell r="M580" t="str">
            <v>Zipscreen HoodingFaceSomfy 12v Remote Sonesse Motor</v>
          </cell>
          <cell r="N580">
            <v>17</v>
          </cell>
          <cell r="O580">
            <v>66</v>
          </cell>
          <cell r="P580">
            <v>66</v>
          </cell>
          <cell r="Q580" t="str">
            <v>N/A</v>
          </cell>
          <cell r="R580" t="str">
            <v>N/A</v>
          </cell>
          <cell r="S580" t="str">
            <v>No</v>
          </cell>
          <cell r="T580" t="str">
            <v>N/A</v>
          </cell>
        </row>
        <row r="581">
          <cell r="M581" t="str">
            <v>NoneFaceSomfy CBUS Motor</v>
          </cell>
          <cell r="N581">
            <v>0</v>
          </cell>
          <cell r="O581" t="str">
            <v>N/A</v>
          </cell>
          <cell r="P581" t="str">
            <v>N/A</v>
          </cell>
          <cell r="Q581" t="str">
            <v>N/A</v>
          </cell>
          <cell r="R581" t="str">
            <v>N/A</v>
          </cell>
          <cell r="S581" t="str">
            <v>No</v>
          </cell>
          <cell r="T581" t="str">
            <v>N/A</v>
          </cell>
        </row>
        <row r="582">
          <cell r="M582" t="str">
            <v>Straight Upholstered PelmetFaceSomfy CBUS Motor</v>
          </cell>
          <cell r="N582">
            <v>0</v>
          </cell>
          <cell r="O582" t="str">
            <v>N/A</v>
          </cell>
          <cell r="P582" t="str">
            <v>N/A</v>
          </cell>
          <cell r="Q582" t="str">
            <v>N/A</v>
          </cell>
          <cell r="R582" t="str">
            <v>N/A</v>
          </cell>
          <cell r="S582" t="str">
            <v>No</v>
          </cell>
          <cell r="T582" t="str">
            <v>N/A</v>
          </cell>
        </row>
        <row r="583">
          <cell r="M583" t="str">
            <v>Shaped Upholstered PelmetFaceSomfy CBUS Motor</v>
          </cell>
          <cell r="N583">
            <v>0</v>
          </cell>
          <cell r="O583" t="str">
            <v>N/A</v>
          </cell>
          <cell r="P583" t="str">
            <v>N/A</v>
          </cell>
          <cell r="Q583" t="str">
            <v>N/A</v>
          </cell>
          <cell r="R583" t="str">
            <v>N/A</v>
          </cell>
          <cell r="S583" t="str">
            <v>No</v>
          </cell>
          <cell r="T583" t="str">
            <v>N/A</v>
          </cell>
        </row>
        <row r="584">
          <cell r="M584" t="str">
            <v>Aluminium PelmetFaceSomfy CBUS Motor</v>
          </cell>
          <cell r="N584">
            <v>6</v>
          </cell>
          <cell r="O584">
            <v>6</v>
          </cell>
          <cell r="P584" t="str">
            <v>N/A</v>
          </cell>
          <cell r="Q584" t="str">
            <v>N/A</v>
          </cell>
          <cell r="R584" t="str">
            <v>Yes</v>
          </cell>
          <cell r="S584" t="str">
            <v>No</v>
          </cell>
          <cell r="T584" t="str">
            <v>Yes</v>
          </cell>
        </row>
        <row r="585">
          <cell r="M585" t="str">
            <v>Square CassetteFaceSomfy CBUS Motor</v>
          </cell>
          <cell r="N585">
            <v>10</v>
          </cell>
          <cell r="O585">
            <v>14</v>
          </cell>
          <cell r="P585">
            <v>14</v>
          </cell>
          <cell r="Q585" t="str">
            <v>N/A</v>
          </cell>
          <cell r="R585" t="str">
            <v>No</v>
          </cell>
          <cell r="S585" t="str">
            <v>No</v>
          </cell>
          <cell r="T585" t="str">
            <v>No</v>
          </cell>
        </row>
        <row r="586">
          <cell r="M586" t="str">
            <v>Square Cassette with Side ChannelsFaceSomfy CBUS Motor</v>
          </cell>
          <cell r="N586">
            <v>10</v>
          </cell>
          <cell r="O586">
            <v>14</v>
          </cell>
          <cell r="P586">
            <v>14</v>
          </cell>
          <cell r="Q586">
            <v>88</v>
          </cell>
          <cell r="R586" t="str">
            <v>No</v>
          </cell>
          <cell r="S586" t="str">
            <v>Yes</v>
          </cell>
          <cell r="T586" t="str">
            <v>No</v>
          </cell>
        </row>
        <row r="587">
          <cell r="M587" t="str">
            <v>Round CassetteFaceSomfy CBUS Motor</v>
          </cell>
          <cell r="N587">
            <v>10</v>
          </cell>
          <cell r="O587">
            <v>14</v>
          </cell>
          <cell r="P587">
            <v>14</v>
          </cell>
          <cell r="Q587" t="str">
            <v>N/A</v>
          </cell>
          <cell r="R587" t="str">
            <v>No</v>
          </cell>
          <cell r="S587" t="str">
            <v>No</v>
          </cell>
          <cell r="T587" t="str">
            <v>No</v>
          </cell>
        </row>
        <row r="588">
          <cell r="M588" t="str">
            <v>Round Cassette with Side ChannelsFaceSomfy CBUS Motor</v>
          </cell>
          <cell r="N588">
            <v>10</v>
          </cell>
          <cell r="O588">
            <v>14</v>
          </cell>
          <cell r="P588">
            <v>14</v>
          </cell>
          <cell r="Q588">
            <v>88</v>
          </cell>
          <cell r="R588" t="str">
            <v>No</v>
          </cell>
          <cell r="S588" t="str">
            <v>Yes</v>
          </cell>
          <cell r="T588" t="str">
            <v>No</v>
          </cell>
        </row>
        <row r="589">
          <cell r="M589" t="str">
            <v>Aluminium ValanceFaceSomfy CBUS Motor</v>
          </cell>
          <cell r="N589">
            <v>6</v>
          </cell>
          <cell r="O589" t="str">
            <v>N/A</v>
          </cell>
          <cell r="P589">
            <v>0</v>
          </cell>
          <cell r="Q589" t="str">
            <v>N/A</v>
          </cell>
          <cell r="R589" t="str">
            <v>Yes</v>
          </cell>
          <cell r="S589" t="str">
            <v>No</v>
          </cell>
          <cell r="T589" t="str">
            <v>No</v>
          </cell>
        </row>
        <row r="590">
          <cell r="M590" t="str">
            <v>Aluminium Valance - Fabric CoveredFaceSomfy CBUS Motor</v>
          </cell>
          <cell r="N590">
            <v>6</v>
          </cell>
          <cell r="O590" t="str">
            <v>N/A</v>
          </cell>
          <cell r="P590">
            <v>0</v>
          </cell>
          <cell r="Q590" t="str">
            <v>N/A</v>
          </cell>
          <cell r="R590" t="str">
            <v>Yes</v>
          </cell>
          <cell r="S590" t="str">
            <v>No</v>
          </cell>
          <cell r="T590" t="str">
            <v>No</v>
          </cell>
        </row>
        <row r="591">
          <cell r="M591" t="str">
            <v>Side ChannelsFaceSomfy CBUS Motor</v>
          </cell>
          <cell r="N591">
            <v>10</v>
          </cell>
          <cell r="O591" t="str">
            <v>N/A</v>
          </cell>
          <cell r="P591" t="str">
            <v>N/A</v>
          </cell>
          <cell r="Q591">
            <v>60</v>
          </cell>
          <cell r="R591" t="str">
            <v>N/A</v>
          </cell>
          <cell r="S591" t="str">
            <v>No</v>
          </cell>
          <cell r="T591" t="str">
            <v>N/A</v>
          </cell>
        </row>
        <row r="592">
          <cell r="M592" t="str">
            <v>Zipscreen HoodingFaceSomfy CBUS Motor</v>
          </cell>
          <cell r="N592">
            <v>17</v>
          </cell>
          <cell r="O592">
            <v>66</v>
          </cell>
          <cell r="P592">
            <v>66</v>
          </cell>
          <cell r="Q592" t="str">
            <v>N/A</v>
          </cell>
          <cell r="R592" t="str">
            <v>N/A</v>
          </cell>
          <cell r="S592" t="str">
            <v>No</v>
          </cell>
          <cell r="T592" t="str">
            <v>N/A</v>
          </cell>
        </row>
        <row r="593">
          <cell r="M593" t="str">
            <v>NoneFaceAcmeda E6 Motor</v>
          </cell>
          <cell r="N593">
            <v>0</v>
          </cell>
          <cell r="O593" t="str">
            <v>N/A</v>
          </cell>
          <cell r="P593" t="str">
            <v>N/A</v>
          </cell>
          <cell r="Q593" t="str">
            <v>N/A</v>
          </cell>
          <cell r="R593" t="str">
            <v>N/A</v>
          </cell>
          <cell r="S593" t="str">
            <v>No</v>
          </cell>
          <cell r="T593" t="str">
            <v>N/A</v>
          </cell>
        </row>
        <row r="594">
          <cell r="M594" t="str">
            <v>Straight Upholstered PelmetFaceAcmeda E6 Motor</v>
          </cell>
          <cell r="N594">
            <v>0</v>
          </cell>
          <cell r="O594" t="str">
            <v>N/A</v>
          </cell>
          <cell r="P594" t="str">
            <v>N/A</v>
          </cell>
          <cell r="Q594" t="str">
            <v>N/A</v>
          </cell>
          <cell r="R594" t="str">
            <v>N/A</v>
          </cell>
          <cell r="S594" t="str">
            <v>No</v>
          </cell>
          <cell r="T594" t="str">
            <v>N/A</v>
          </cell>
        </row>
        <row r="595">
          <cell r="M595" t="str">
            <v>Shaped Upholstered PelmetFaceAcmeda E6 Motor</v>
          </cell>
          <cell r="N595">
            <v>0</v>
          </cell>
          <cell r="O595" t="str">
            <v>N/A</v>
          </cell>
          <cell r="P595" t="str">
            <v>N/A</v>
          </cell>
          <cell r="Q595" t="str">
            <v>N/A</v>
          </cell>
          <cell r="R595" t="str">
            <v>N/A</v>
          </cell>
          <cell r="S595" t="str">
            <v>No</v>
          </cell>
          <cell r="T595" t="str">
            <v>N/A</v>
          </cell>
        </row>
        <row r="596">
          <cell r="M596" t="str">
            <v>Aluminium PelmetFaceAcmeda E6 Motor</v>
          </cell>
          <cell r="N596">
            <v>6</v>
          </cell>
          <cell r="O596">
            <v>6</v>
          </cell>
          <cell r="P596" t="str">
            <v>N/A</v>
          </cell>
          <cell r="Q596" t="str">
            <v>N/A</v>
          </cell>
          <cell r="R596" t="str">
            <v>Yes</v>
          </cell>
          <cell r="S596" t="str">
            <v>No</v>
          </cell>
          <cell r="T596" t="str">
            <v>Yes</v>
          </cell>
        </row>
        <row r="597">
          <cell r="M597" t="str">
            <v>Square CassetteFaceAcmeda E6 Motor</v>
          </cell>
          <cell r="N597">
            <v>10</v>
          </cell>
          <cell r="O597">
            <v>14</v>
          </cell>
          <cell r="P597">
            <v>14</v>
          </cell>
          <cell r="Q597" t="str">
            <v>N/A</v>
          </cell>
          <cell r="R597" t="str">
            <v>No</v>
          </cell>
          <cell r="S597" t="str">
            <v>No</v>
          </cell>
          <cell r="T597" t="str">
            <v>No</v>
          </cell>
        </row>
        <row r="598">
          <cell r="M598" t="str">
            <v>Square Cassette with Side ChannelsFaceAcmeda E6 Motor</v>
          </cell>
          <cell r="N598">
            <v>10</v>
          </cell>
          <cell r="O598">
            <v>14</v>
          </cell>
          <cell r="P598">
            <v>14</v>
          </cell>
          <cell r="Q598">
            <v>88</v>
          </cell>
          <cell r="R598" t="str">
            <v>No</v>
          </cell>
          <cell r="S598" t="str">
            <v>Yes</v>
          </cell>
          <cell r="T598" t="str">
            <v>No</v>
          </cell>
        </row>
        <row r="599">
          <cell r="M599" t="str">
            <v>Round CassetteFaceAcmeda E6 Motor</v>
          </cell>
          <cell r="N599">
            <v>10</v>
          </cell>
          <cell r="O599">
            <v>14</v>
          </cell>
          <cell r="P599">
            <v>14</v>
          </cell>
          <cell r="Q599" t="str">
            <v>N/A</v>
          </cell>
          <cell r="R599" t="str">
            <v>No</v>
          </cell>
          <cell r="S599" t="str">
            <v>No</v>
          </cell>
          <cell r="T599" t="str">
            <v>No</v>
          </cell>
        </row>
        <row r="600">
          <cell r="M600" t="str">
            <v>Round Cassette with Side ChannelsFaceAcmeda E6 Motor</v>
          </cell>
          <cell r="N600">
            <v>10</v>
          </cell>
          <cell r="O600">
            <v>14</v>
          </cell>
          <cell r="P600">
            <v>14</v>
          </cell>
          <cell r="Q600">
            <v>88</v>
          </cell>
          <cell r="R600" t="str">
            <v>No</v>
          </cell>
          <cell r="S600" t="str">
            <v>Yes</v>
          </cell>
          <cell r="T600" t="str">
            <v>No</v>
          </cell>
        </row>
        <row r="601">
          <cell r="M601" t="str">
            <v>Aluminium ValanceFaceAcmeda E6 Motor</v>
          </cell>
          <cell r="N601">
            <v>6</v>
          </cell>
          <cell r="O601" t="str">
            <v>N/A</v>
          </cell>
          <cell r="P601">
            <v>0</v>
          </cell>
          <cell r="Q601" t="str">
            <v>N/A</v>
          </cell>
          <cell r="R601" t="str">
            <v>Yes</v>
          </cell>
          <cell r="S601" t="str">
            <v>No</v>
          </cell>
          <cell r="T601" t="str">
            <v>No</v>
          </cell>
        </row>
        <row r="602">
          <cell r="M602" t="str">
            <v>Aluminium Valance - Fabric CoveredFaceAcmeda E6 Motor</v>
          </cell>
          <cell r="N602">
            <v>6</v>
          </cell>
          <cell r="O602" t="str">
            <v>N/A</v>
          </cell>
          <cell r="P602">
            <v>0</v>
          </cell>
          <cell r="Q602" t="str">
            <v>N/A</v>
          </cell>
          <cell r="R602" t="str">
            <v>Yes</v>
          </cell>
          <cell r="S602" t="str">
            <v>No</v>
          </cell>
          <cell r="T602" t="str">
            <v>No</v>
          </cell>
        </row>
        <row r="603">
          <cell r="M603" t="str">
            <v>Side ChannelsFaceAcmeda E6 Motor</v>
          </cell>
          <cell r="N603">
            <v>10</v>
          </cell>
          <cell r="O603" t="str">
            <v>N/A</v>
          </cell>
          <cell r="P603" t="str">
            <v>N/A</v>
          </cell>
          <cell r="Q603">
            <v>60</v>
          </cell>
          <cell r="R603" t="str">
            <v>N/A</v>
          </cell>
          <cell r="S603" t="str">
            <v>No</v>
          </cell>
          <cell r="T603" t="str">
            <v>N/A</v>
          </cell>
        </row>
        <row r="604">
          <cell r="M604" t="str">
            <v>Zipscreen HoodingFaceAcmeda E6 Motor</v>
          </cell>
          <cell r="N604">
            <v>17</v>
          </cell>
          <cell r="O604">
            <v>66</v>
          </cell>
          <cell r="P604">
            <v>66</v>
          </cell>
          <cell r="Q604" t="str">
            <v>N/A</v>
          </cell>
          <cell r="R604" t="str">
            <v>N/A</v>
          </cell>
          <cell r="S604" t="str">
            <v>No</v>
          </cell>
          <cell r="T604" t="str">
            <v>N/A</v>
          </cell>
        </row>
        <row r="605">
          <cell r="M605" t="str">
            <v>NoneFaceAcmeda M6 Motor</v>
          </cell>
          <cell r="N605">
            <v>0</v>
          </cell>
          <cell r="O605" t="str">
            <v>N/A</v>
          </cell>
          <cell r="P605" t="str">
            <v>N/A</v>
          </cell>
          <cell r="Q605" t="str">
            <v>N/A</v>
          </cell>
          <cell r="R605" t="str">
            <v>N/A</v>
          </cell>
          <cell r="S605" t="str">
            <v>No</v>
          </cell>
          <cell r="T605" t="str">
            <v>N/A</v>
          </cell>
        </row>
        <row r="606">
          <cell r="M606" t="str">
            <v>Straight Upholstered PelmetFaceAcmeda M6 Motor</v>
          </cell>
          <cell r="N606">
            <v>0</v>
          </cell>
          <cell r="O606" t="str">
            <v>N/A</v>
          </cell>
          <cell r="P606" t="str">
            <v>N/A</v>
          </cell>
          <cell r="Q606" t="str">
            <v>N/A</v>
          </cell>
          <cell r="R606" t="str">
            <v>N/A</v>
          </cell>
          <cell r="S606" t="str">
            <v>No</v>
          </cell>
          <cell r="T606" t="str">
            <v>N/A</v>
          </cell>
        </row>
        <row r="607">
          <cell r="M607" t="str">
            <v>Shaped Upholstered PelmetFaceAcmeda M6 Motor</v>
          </cell>
          <cell r="N607">
            <v>0</v>
          </cell>
          <cell r="O607" t="str">
            <v>N/A</v>
          </cell>
          <cell r="P607" t="str">
            <v>N/A</v>
          </cell>
          <cell r="Q607" t="str">
            <v>N/A</v>
          </cell>
          <cell r="R607" t="str">
            <v>N/A</v>
          </cell>
          <cell r="S607" t="str">
            <v>No</v>
          </cell>
          <cell r="T607" t="str">
            <v>N/A</v>
          </cell>
        </row>
        <row r="608">
          <cell r="M608" t="str">
            <v>Aluminium PelmetFaceAcmeda M6 Motor</v>
          </cell>
          <cell r="N608">
            <v>6</v>
          </cell>
          <cell r="O608">
            <v>6</v>
          </cell>
          <cell r="P608" t="str">
            <v>N/A</v>
          </cell>
          <cell r="Q608" t="str">
            <v>N/A</v>
          </cell>
          <cell r="R608" t="str">
            <v>Yes</v>
          </cell>
          <cell r="S608" t="str">
            <v>No</v>
          </cell>
          <cell r="T608" t="str">
            <v>Yes</v>
          </cell>
        </row>
        <row r="609">
          <cell r="M609" t="str">
            <v>Square CassetteFaceAcmeda M6 Motor</v>
          </cell>
          <cell r="N609">
            <v>10</v>
          </cell>
          <cell r="O609">
            <v>14</v>
          </cell>
          <cell r="P609">
            <v>14</v>
          </cell>
          <cell r="Q609" t="str">
            <v>N/A</v>
          </cell>
          <cell r="R609" t="str">
            <v>No</v>
          </cell>
          <cell r="S609" t="str">
            <v>No</v>
          </cell>
          <cell r="T609" t="str">
            <v>No</v>
          </cell>
        </row>
        <row r="610">
          <cell r="M610" t="str">
            <v>Square Cassette with Side ChannelsFaceAcmeda M6 Motor</v>
          </cell>
          <cell r="N610">
            <v>10</v>
          </cell>
          <cell r="O610">
            <v>14</v>
          </cell>
          <cell r="P610">
            <v>14</v>
          </cell>
          <cell r="Q610">
            <v>88</v>
          </cell>
          <cell r="R610" t="str">
            <v>No</v>
          </cell>
          <cell r="S610" t="str">
            <v>Yes</v>
          </cell>
          <cell r="T610" t="str">
            <v>No</v>
          </cell>
        </row>
        <row r="611">
          <cell r="M611" t="str">
            <v>Round CassetteFaceAcmeda M6 Motor</v>
          </cell>
          <cell r="N611">
            <v>10</v>
          </cell>
          <cell r="O611">
            <v>14</v>
          </cell>
          <cell r="P611">
            <v>14</v>
          </cell>
          <cell r="Q611" t="str">
            <v>N/A</v>
          </cell>
          <cell r="R611" t="str">
            <v>No</v>
          </cell>
          <cell r="S611" t="str">
            <v>No</v>
          </cell>
          <cell r="T611" t="str">
            <v>No</v>
          </cell>
        </row>
        <row r="612">
          <cell r="M612" t="str">
            <v>Round Cassette with Side ChannelsFaceAcmeda M6 Motor</v>
          </cell>
          <cell r="N612">
            <v>10</v>
          </cell>
          <cell r="O612">
            <v>14</v>
          </cell>
          <cell r="P612">
            <v>14</v>
          </cell>
          <cell r="Q612">
            <v>88</v>
          </cell>
          <cell r="R612" t="str">
            <v>No</v>
          </cell>
          <cell r="S612" t="str">
            <v>Yes</v>
          </cell>
          <cell r="T612" t="str">
            <v>No</v>
          </cell>
        </row>
        <row r="613">
          <cell r="M613" t="str">
            <v>Aluminium ValanceFaceAcmeda M6 Motor</v>
          </cell>
          <cell r="N613">
            <v>6</v>
          </cell>
          <cell r="O613" t="str">
            <v>N/A</v>
          </cell>
          <cell r="P613">
            <v>0</v>
          </cell>
          <cell r="Q613" t="str">
            <v>N/A</v>
          </cell>
          <cell r="R613" t="str">
            <v>Yes</v>
          </cell>
          <cell r="S613" t="str">
            <v>No</v>
          </cell>
          <cell r="T613" t="str">
            <v>No</v>
          </cell>
        </row>
        <row r="614">
          <cell r="M614" t="str">
            <v>Aluminium Valance - Fabric CoveredFaceAcmeda M6 Motor</v>
          </cell>
          <cell r="N614">
            <v>6</v>
          </cell>
          <cell r="O614" t="str">
            <v>N/A</v>
          </cell>
          <cell r="P614">
            <v>0</v>
          </cell>
          <cell r="Q614" t="str">
            <v>N/A</v>
          </cell>
          <cell r="R614" t="str">
            <v>Yes</v>
          </cell>
          <cell r="S614" t="str">
            <v>No</v>
          </cell>
          <cell r="T614" t="str">
            <v>No</v>
          </cell>
        </row>
        <row r="615">
          <cell r="M615" t="str">
            <v>Side ChannelsFaceAcmeda M6 Motor</v>
          </cell>
          <cell r="N615">
            <v>10</v>
          </cell>
          <cell r="O615" t="str">
            <v>N/A</v>
          </cell>
          <cell r="P615" t="str">
            <v>N/A</v>
          </cell>
          <cell r="Q615">
            <v>60</v>
          </cell>
          <cell r="R615" t="str">
            <v>N/A</v>
          </cell>
          <cell r="S615" t="str">
            <v>No</v>
          </cell>
          <cell r="T615" t="str">
            <v>N/A</v>
          </cell>
        </row>
        <row r="616">
          <cell r="M616" t="str">
            <v>Zipscreen HoodingFaceAcmeda M6 Motor</v>
          </cell>
          <cell r="N616">
            <v>17</v>
          </cell>
          <cell r="O616">
            <v>66</v>
          </cell>
          <cell r="P616">
            <v>66</v>
          </cell>
          <cell r="Q616" t="str">
            <v>N/A</v>
          </cell>
          <cell r="R616" t="str">
            <v>N/A</v>
          </cell>
          <cell r="S616" t="str">
            <v>No</v>
          </cell>
          <cell r="T616" t="str">
            <v>N/A</v>
          </cell>
        </row>
        <row r="617">
          <cell r="M617" t="str">
            <v>NoneFaceUniline Remote Motor</v>
          </cell>
          <cell r="N617">
            <v>0</v>
          </cell>
          <cell r="O617" t="str">
            <v>N/A</v>
          </cell>
          <cell r="P617" t="str">
            <v>N/A</v>
          </cell>
          <cell r="Q617" t="str">
            <v>N/A</v>
          </cell>
          <cell r="R617" t="str">
            <v>N/A</v>
          </cell>
          <cell r="S617" t="str">
            <v>No</v>
          </cell>
          <cell r="T617" t="str">
            <v>N/A</v>
          </cell>
        </row>
        <row r="618">
          <cell r="M618" t="str">
            <v>Straight Upholstered PelmetFaceUniline Remote Motor</v>
          </cell>
          <cell r="N618">
            <v>0</v>
          </cell>
          <cell r="O618" t="str">
            <v>N/A</v>
          </cell>
          <cell r="P618" t="str">
            <v>N/A</v>
          </cell>
          <cell r="Q618" t="str">
            <v>N/A</v>
          </cell>
          <cell r="R618" t="str">
            <v>N/A</v>
          </cell>
          <cell r="S618" t="str">
            <v>No</v>
          </cell>
          <cell r="T618" t="str">
            <v>N/A</v>
          </cell>
        </row>
        <row r="619">
          <cell r="M619" t="str">
            <v>Shaped Upholstered PelmetFaceUniline Remote Motor</v>
          </cell>
          <cell r="N619">
            <v>0</v>
          </cell>
          <cell r="O619" t="str">
            <v>N/A</v>
          </cell>
          <cell r="P619" t="str">
            <v>N/A</v>
          </cell>
          <cell r="Q619" t="str">
            <v>N/A</v>
          </cell>
          <cell r="R619" t="str">
            <v>N/A</v>
          </cell>
          <cell r="S619" t="str">
            <v>No</v>
          </cell>
          <cell r="T619" t="str">
            <v>N/A</v>
          </cell>
        </row>
        <row r="620">
          <cell r="M620" t="str">
            <v>Aluminium PelmetFaceUniline Remote Motor</v>
          </cell>
          <cell r="N620">
            <v>6</v>
          </cell>
          <cell r="O620">
            <v>6</v>
          </cell>
          <cell r="P620" t="str">
            <v>N/A</v>
          </cell>
          <cell r="Q620" t="str">
            <v>N/A</v>
          </cell>
          <cell r="R620" t="str">
            <v>Yes</v>
          </cell>
          <cell r="S620" t="str">
            <v>No</v>
          </cell>
          <cell r="T620" t="str">
            <v>Yes</v>
          </cell>
        </row>
        <row r="621">
          <cell r="M621" t="str">
            <v>Square CassetteFaceUniline Remote Motor</v>
          </cell>
          <cell r="N621">
            <v>10</v>
          </cell>
          <cell r="O621">
            <v>14</v>
          </cell>
          <cell r="P621">
            <v>14</v>
          </cell>
          <cell r="Q621" t="str">
            <v>N/A</v>
          </cell>
          <cell r="R621" t="str">
            <v>No</v>
          </cell>
          <cell r="S621" t="str">
            <v>No</v>
          </cell>
          <cell r="T621" t="str">
            <v>No</v>
          </cell>
        </row>
        <row r="622">
          <cell r="M622" t="str">
            <v>Square Cassette with Side ChannelsFaceUniline Remote Motor</v>
          </cell>
          <cell r="N622">
            <v>10</v>
          </cell>
          <cell r="O622">
            <v>14</v>
          </cell>
          <cell r="P622">
            <v>14</v>
          </cell>
          <cell r="Q622">
            <v>88</v>
          </cell>
          <cell r="R622" t="str">
            <v>No</v>
          </cell>
          <cell r="S622" t="str">
            <v>Yes</v>
          </cell>
          <cell r="T622" t="str">
            <v>No</v>
          </cell>
        </row>
        <row r="623">
          <cell r="M623" t="str">
            <v>Round CassetteFaceUniline Remote Motor</v>
          </cell>
          <cell r="N623">
            <v>10</v>
          </cell>
          <cell r="O623">
            <v>14</v>
          </cell>
          <cell r="P623">
            <v>14</v>
          </cell>
          <cell r="Q623" t="str">
            <v>N/A</v>
          </cell>
          <cell r="R623" t="str">
            <v>No</v>
          </cell>
          <cell r="S623" t="str">
            <v>No</v>
          </cell>
          <cell r="T623" t="str">
            <v>No</v>
          </cell>
        </row>
        <row r="624">
          <cell r="M624" t="str">
            <v>Round Cassette with Side ChannelsFaceUniline Remote Motor</v>
          </cell>
          <cell r="N624">
            <v>10</v>
          </cell>
          <cell r="O624">
            <v>14</v>
          </cell>
          <cell r="P624">
            <v>14</v>
          </cell>
          <cell r="Q624">
            <v>88</v>
          </cell>
          <cell r="R624" t="str">
            <v>No</v>
          </cell>
          <cell r="S624" t="str">
            <v>Yes</v>
          </cell>
          <cell r="T624" t="str">
            <v>No</v>
          </cell>
        </row>
        <row r="625">
          <cell r="M625" t="str">
            <v>Aluminium ValanceFaceUniline Remote Motor</v>
          </cell>
          <cell r="N625">
            <v>6</v>
          </cell>
          <cell r="O625" t="str">
            <v>N/A</v>
          </cell>
          <cell r="P625">
            <v>0</v>
          </cell>
          <cell r="Q625" t="str">
            <v>N/A</v>
          </cell>
          <cell r="R625" t="str">
            <v>Yes</v>
          </cell>
          <cell r="S625" t="str">
            <v>No</v>
          </cell>
          <cell r="T625" t="str">
            <v>No</v>
          </cell>
        </row>
        <row r="626">
          <cell r="M626" t="str">
            <v>Aluminium Valance - Fabric CoveredFaceUniline Remote Motor</v>
          </cell>
          <cell r="N626">
            <v>6</v>
          </cell>
          <cell r="O626" t="str">
            <v>N/A</v>
          </cell>
          <cell r="P626">
            <v>0</v>
          </cell>
          <cell r="Q626" t="str">
            <v>N/A</v>
          </cell>
          <cell r="R626" t="str">
            <v>Yes</v>
          </cell>
          <cell r="S626" t="str">
            <v>No</v>
          </cell>
          <cell r="T626" t="str">
            <v>No</v>
          </cell>
        </row>
        <row r="627">
          <cell r="M627" t="str">
            <v>Side ChannelsFaceUniline Remote Motor</v>
          </cell>
          <cell r="N627">
            <v>10</v>
          </cell>
          <cell r="O627" t="str">
            <v>N/A</v>
          </cell>
          <cell r="P627" t="str">
            <v>N/A</v>
          </cell>
          <cell r="Q627">
            <v>60</v>
          </cell>
          <cell r="R627" t="str">
            <v>N/A</v>
          </cell>
          <cell r="S627" t="str">
            <v>No</v>
          </cell>
          <cell r="T627" t="str">
            <v>N/A</v>
          </cell>
        </row>
        <row r="628">
          <cell r="M628" t="str">
            <v>Zipscreen HoodingFaceUniline Remote Motor</v>
          </cell>
          <cell r="N628">
            <v>17</v>
          </cell>
          <cell r="O628">
            <v>66</v>
          </cell>
          <cell r="P628">
            <v>66</v>
          </cell>
          <cell r="Q628" t="str">
            <v>N/A</v>
          </cell>
          <cell r="R628" t="str">
            <v>N/A</v>
          </cell>
          <cell r="S628" t="str">
            <v>No</v>
          </cell>
          <cell r="T628" t="str">
            <v>N/A</v>
          </cell>
        </row>
        <row r="629">
          <cell r="M629" t="str">
            <v>NoneFaceUniline Cbus Motor</v>
          </cell>
          <cell r="N629">
            <v>0</v>
          </cell>
          <cell r="O629" t="str">
            <v>N/A</v>
          </cell>
          <cell r="P629" t="str">
            <v>N/A</v>
          </cell>
          <cell r="Q629" t="str">
            <v>N/A</v>
          </cell>
          <cell r="R629" t="str">
            <v>N/A</v>
          </cell>
          <cell r="S629" t="str">
            <v>No</v>
          </cell>
          <cell r="T629" t="str">
            <v>N/A</v>
          </cell>
        </row>
        <row r="630">
          <cell r="M630" t="str">
            <v>Straight Upholstered PelmetFaceUniline Cbus Motor</v>
          </cell>
          <cell r="N630">
            <v>0</v>
          </cell>
          <cell r="O630" t="str">
            <v>N/A</v>
          </cell>
          <cell r="P630" t="str">
            <v>N/A</v>
          </cell>
          <cell r="Q630" t="str">
            <v>N/A</v>
          </cell>
          <cell r="R630" t="str">
            <v>N/A</v>
          </cell>
          <cell r="S630" t="str">
            <v>No</v>
          </cell>
          <cell r="T630" t="str">
            <v>N/A</v>
          </cell>
        </row>
        <row r="631">
          <cell r="M631" t="str">
            <v>Shaped Upholstered PelmetFaceUniline Cbus Motor</v>
          </cell>
          <cell r="N631">
            <v>0</v>
          </cell>
          <cell r="O631" t="str">
            <v>N/A</v>
          </cell>
          <cell r="P631" t="str">
            <v>N/A</v>
          </cell>
          <cell r="Q631" t="str">
            <v>N/A</v>
          </cell>
          <cell r="R631" t="str">
            <v>N/A</v>
          </cell>
          <cell r="S631" t="str">
            <v>No</v>
          </cell>
          <cell r="T631" t="str">
            <v>N/A</v>
          </cell>
        </row>
        <row r="632">
          <cell r="M632" t="str">
            <v>Aluminium PelmetFaceUniline Cbus Motor</v>
          </cell>
          <cell r="N632">
            <v>6</v>
          </cell>
          <cell r="O632">
            <v>6</v>
          </cell>
          <cell r="P632" t="str">
            <v>N/A</v>
          </cell>
          <cell r="Q632" t="str">
            <v>N/A</v>
          </cell>
          <cell r="R632" t="str">
            <v>Yes</v>
          </cell>
          <cell r="S632" t="str">
            <v>No</v>
          </cell>
          <cell r="T632" t="str">
            <v>Yes</v>
          </cell>
        </row>
        <row r="633">
          <cell r="M633" t="str">
            <v>Square CassetteFaceUniline Cbus Motor</v>
          </cell>
          <cell r="N633">
            <v>10</v>
          </cell>
          <cell r="O633">
            <v>14</v>
          </cell>
          <cell r="P633">
            <v>14</v>
          </cell>
          <cell r="Q633" t="str">
            <v>N/A</v>
          </cell>
          <cell r="R633" t="str">
            <v>No</v>
          </cell>
          <cell r="S633" t="str">
            <v>No</v>
          </cell>
          <cell r="T633" t="str">
            <v>No</v>
          </cell>
        </row>
        <row r="634">
          <cell r="M634" t="str">
            <v>Square Cassette with Side ChannelsFaceUniline Cbus Motor</v>
          </cell>
          <cell r="N634">
            <v>10</v>
          </cell>
          <cell r="O634">
            <v>14</v>
          </cell>
          <cell r="P634">
            <v>14</v>
          </cell>
          <cell r="Q634">
            <v>88</v>
          </cell>
          <cell r="R634" t="str">
            <v>No</v>
          </cell>
          <cell r="S634" t="str">
            <v>Yes</v>
          </cell>
          <cell r="T634" t="str">
            <v>No</v>
          </cell>
        </row>
        <row r="635">
          <cell r="M635" t="str">
            <v>Round CassetteFaceUniline Cbus Motor</v>
          </cell>
          <cell r="N635">
            <v>10</v>
          </cell>
          <cell r="O635">
            <v>14</v>
          </cell>
          <cell r="P635">
            <v>14</v>
          </cell>
          <cell r="Q635" t="str">
            <v>N/A</v>
          </cell>
          <cell r="R635" t="str">
            <v>No</v>
          </cell>
          <cell r="S635" t="str">
            <v>No</v>
          </cell>
          <cell r="T635" t="str">
            <v>No</v>
          </cell>
        </row>
        <row r="636">
          <cell r="M636" t="str">
            <v>Round Cassette with Side ChannelsFaceUniline Cbus Motor</v>
          </cell>
          <cell r="N636">
            <v>10</v>
          </cell>
          <cell r="O636">
            <v>14</v>
          </cell>
          <cell r="P636">
            <v>14</v>
          </cell>
          <cell r="Q636">
            <v>88</v>
          </cell>
          <cell r="R636" t="str">
            <v>No</v>
          </cell>
          <cell r="S636" t="str">
            <v>Yes</v>
          </cell>
          <cell r="T636" t="str">
            <v>No</v>
          </cell>
        </row>
        <row r="637">
          <cell r="M637" t="str">
            <v>Aluminium ValanceFaceUniline Cbus Motor</v>
          </cell>
          <cell r="N637">
            <v>6</v>
          </cell>
          <cell r="O637" t="str">
            <v>N/A</v>
          </cell>
          <cell r="P637">
            <v>0</v>
          </cell>
          <cell r="Q637" t="str">
            <v>N/A</v>
          </cell>
          <cell r="R637" t="str">
            <v>Yes</v>
          </cell>
          <cell r="S637" t="str">
            <v>No</v>
          </cell>
          <cell r="T637" t="str">
            <v>No</v>
          </cell>
        </row>
        <row r="638">
          <cell r="M638" t="str">
            <v>Aluminium Valance - Fabric CoveredFaceUniline Cbus Motor</v>
          </cell>
          <cell r="N638">
            <v>6</v>
          </cell>
          <cell r="O638" t="str">
            <v>N/A</v>
          </cell>
          <cell r="P638">
            <v>0</v>
          </cell>
          <cell r="Q638" t="str">
            <v>N/A</v>
          </cell>
          <cell r="R638" t="str">
            <v>Yes</v>
          </cell>
          <cell r="S638" t="str">
            <v>No</v>
          </cell>
          <cell r="T638" t="str">
            <v>No</v>
          </cell>
        </row>
        <row r="639">
          <cell r="M639" t="str">
            <v>Side ChannelsFaceUniline Cbus Motor</v>
          </cell>
          <cell r="N639">
            <v>10</v>
          </cell>
          <cell r="O639" t="str">
            <v>N/A</v>
          </cell>
          <cell r="P639" t="str">
            <v>N/A</v>
          </cell>
          <cell r="Q639">
            <v>60</v>
          </cell>
          <cell r="R639" t="str">
            <v>N/A</v>
          </cell>
          <cell r="S639" t="str">
            <v>No</v>
          </cell>
          <cell r="T639" t="str">
            <v>N/A</v>
          </cell>
        </row>
        <row r="640">
          <cell r="M640" t="str">
            <v>Zipscreen HoodingFaceUniline Cbus Motor</v>
          </cell>
          <cell r="N640">
            <v>17</v>
          </cell>
          <cell r="O640">
            <v>66</v>
          </cell>
          <cell r="P640">
            <v>66</v>
          </cell>
          <cell r="Q640" t="str">
            <v>N/A</v>
          </cell>
          <cell r="R640" t="str">
            <v>N/A</v>
          </cell>
          <cell r="S640" t="str">
            <v>No</v>
          </cell>
          <cell r="T640" t="str">
            <v>N/A</v>
          </cell>
        </row>
        <row r="641">
          <cell r="M641" t="str">
            <v>NoneFaceNice Remote Motor</v>
          </cell>
          <cell r="N641">
            <v>0</v>
          </cell>
          <cell r="O641" t="str">
            <v>N/A</v>
          </cell>
          <cell r="P641" t="str">
            <v>N/A</v>
          </cell>
          <cell r="Q641" t="str">
            <v>N/A</v>
          </cell>
          <cell r="R641" t="str">
            <v>N/A</v>
          </cell>
          <cell r="S641" t="str">
            <v>No</v>
          </cell>
          <cell r="T641" t="str">
            <v>N/A</v>
          </cell>
        </row>
        <row r="642">
          <cell r="M642" t="str">
            <v>Straight Upholstered PelmetFaceNice Remote Motor</v>
          </cell>
          <cell r="N642">
            <v>0</v>
          </cell>
          <cell r="O642" t="str">
            <v>N/A</v>
          </cell>
          <cell r="P642" t="str">
            <v>N/A</v>
          </cell>
          <cell r="Q642" t="str">
            <v>N/A</v>
          </cell>
          <cell r="R642" t="str">
            <v>N/A</v>
          </cell>
          <cell r="S642" t="str">
            <v>No</v>
          </cell>
          <cell r="T642" t="str">
            <v>N/A</v>
          </cell>
        </row>
        <row r="643">
          <cell r="M643" t="str">
            <v>Shaped Upholstered PelmetFaceNice Remote Motor</v>
          </cell>
          <cell r="N643">
            <v>0</v>
          </cell>
          <cell r="O643" t="str">
            <v>N/A</v>
          </cell>
          <cell r="P643" t="str">
            <v>N/A</v>
          </cell>
          <cell r="Q643" t="str">
            <v>N/A</v>
          </cell>
          <cell r="R643" t="str">
            <v>N/A</v>
          </cell>
          <cell r="S643" t="str">
            <v>No</v>
          </cell>
          <cell r="T643" t="str">
            <v>N/A</v>
          </cell>
        </row>
        <row r="644">
          <cell r="M644" t="str">
            <v>Aluminium PelmetFaceNice Remote Motor</v>
          </cell>
          <cell r="N644">
            <v>6</v>
          </cell>
          <cell r="O644">
            <v>6</v>
          </cell>
          <cell r="P644" t="str">
            <v>N/A</v>
          </cell>
          <cell r="Q644" t="str">
            <v>N/A</v>
          </cell>
          <cell r="R644" t="str">
            <v>Yes</v>
          </cell>
          <cell r="S644" t="str">
            <v>No</v>
          </cell>
          <cell r="T644" t="str">
            <v>Yes</v>
          </cell>
        </row>
        <row r="645">
          <cell r="M645" t="str">
            <v>Square CassetteFaceNice Remote Motor</v>
          </cell>
          <cell r="N645">
            <v>10</v>
          </cell>
          <cell r="O645">
            <v>14</v>
          </cell>
          <cell r="P645">
            <v>14</v>
          </cell>
          <cell r="Q645" t="str">
            <v>N/A</v>
          </cell>
          <cell r="R645" t="str">
            <v>No</v>
          </cell>
          <cell r="S645" t="str">
            <v>No</v>
          </cell>
          <cell r="T645" t="str">
            <v>No</v>
          </cell>
        </row>
        <row r="646">
          <cell r="M646" t="str">
            <v>Square Cassette with Side ChannelsFaceNice Remote Motor</v>
          </cell>
          <cell r="N646">
            <v>10</v>
          </cell>
          <cell r="O646">
            <v>14</v>
          </cell>
          <cell r="P646">
            <v>14</v>
          </cell>
          <cell r="Q646">
            <v>88</v>
          </cell>
          <cell r="R646" t="str">
            <v>No</v>
          </cell>
          <cell r="S646" t="str">
            <v>Yes</v>
          </cell>
          <cell r="T646" t="str">
            <v>No</v>
          </cell>
        </row>
        <row r="647">
          <cell r="M647" t="str">
            <v>Round CassetteFaceNice Remote Motor</v>
          </cell>
          <cell r="N647">
            <v>10</v>
          </cell>
          <cell r="O647">
            <v>14</v>
          </cell>
          <cell r="P647">
            <v>14</v>
          </cell>
          <cell r="Q647" t="str">
            <v>N/A</v>
          </cell>
          <cell r="R647" t="str">
            <v>No</v>
          </cell>
          <cell r="S647" t="str">
            <v>No</v>
          </cell>
          <cell r="T647" t="str">
            <v>No</v>
          </cell>
        </row>
        <row r="648">
          <cell r="M648" t="str">
            <v>Round Cassette with Side ChannelsFaceNice Remote Motor</v>
          </cell>
          <cell r="N648">
            <v>10</v>
          </cell>
          <cell r="O648">
            <v>14</v>
          </cell>
          <cell r="P648">
            <v>14</v>
          </cell>
          <cell r="Q648">
            <v>88</v>
          </cell>
          <cell r="R648" t="str">
            <v>No</v>
          </cell>
          <cell r="S648" t="str">
            <v>Yes</v>
          </cell>
          <cell r="T648" t="str">
            <v>No</v>
          </cell>
        </row>
        <row r="649">
          <cell r="M649" t="str">
            <v>Aluminium ValanceFaceNice Remote Motor</v>
          </cell>
          <cell r="N649">
            <v>6</v>
          </cell>
          <cell r="O649" t="str">
            <v>N/A</v>
          </cell>
          <cell r="P649">
            <v>0</v>
          </cell>
          <cell r="Q649" t="str">
            <v>N/A</v>
          </cell>
          <cell r="R649" t="str">
            <v>Yes</v>
          </cell>
          <cell r="S649" t="str">
            <v>No</v>
          </cell>
          <cell r="T649" t="str">
            <v>No</v>
          </cell>
        </row>
        <row r="650">
          <cell r="M650" t="str">
            <v>Aluminium Valance - Fabric CoveredFaceNice Remote Motor</v>
          </cell>
          <cell r="N650">
            <v>6</v>
          </cell>
          <cell r="O650" t="str">
            <v>N/A</v>
          </cell>
          <cell r="P650">
            <v>0</v>
          </cell>
          <cell r="Q650" t="str">
            <v>N/A</v>
          </cell>
          <cell r="R650" t="str">
            <v>Yes</v>
          </cell>
          <cell r="S650" t="str">
            <v>No</v>
          </cell>
          <cell r="T650" t="str">
            <v>No</v>
          </cell>
        </row>
        <row r="651">
          <cell r="M651" t="str">
            <v>Side ChannelsFaceNice Remote Motor</v>
          </cell>
          <cell r="N651">
            <v>10</v>
          </cell>
          <cell r="O651" t="str">
            <v>N/A</v>
          </cell>
          <cell r="P651" t="str">
            <v>N/A</v>
          </cell>
          <cell r="Q651">
            <v>60</v>
          </cell>
          <cell r="R651" t="str">
            <v>N/A</v>
          </cell>
          <cell r="S651" t="str">
            <v>No</v>
          </cell>
          <cell r="T651" t="str">
            <v>N/A</v>
          </cell>
        </row>
        <row r="652">
          <cell r="M652" t="str">
            <v>Zipscreen HoodingFaceNice Remote Motor</v>
          </cell>
          <cell r="N652">
            <v>17</v>
          </cell>
          <cell r="O652">
            <v>66</v>
          </cell>
          <cell r="P652">
            <v>66</v>
          </cell>
          <cell r="Q652" t="str">
            <v>N/A</v>
          </cell>
          <cell r="R652" t="str">
            <v>N/A</v>
          </cell>
          <cell r="S652" t="str">
            <v>No</v>
          </cell>
          <cell r="T652" t="str">
            <v>N/A</v>
          </cell>
        </row>
        <row r="653">
          <cell r="M653" t="str">
            <v>NoneFaceNice CBus Motor</v>
          </cell>
          <cell r="N653">
            <v>0</v>
          </cell>
          <cell r="O653" t="str">
            <v>N/A</v>
          </cell>
          <cell r="P653" t="str">
            <v>N/A</v>
          </cell>
          <cell r="Q653" t="str">
            <v>N/A</v>
          </cell>
          <cell r="R653" t="str">
            <v>N/A</v>
          </cell>
          <cell r="S653" t="str">
            <v>No</v>
          </cell>
          <cell r="T653" t="str">
            <v>N/A</v>
          </cell>
        </row>
        <row r="654">
          <cell r="M654" t="str">
            <v>Straight Upholstered PelmetFaceNice CBus Motor</v>
          </cell>
          <cell r="N654">
            <v>0</v>
          </cell>
          <cell r="O654" t="str">
            <v>N/A</v>
          </cell>
          <cell r="P654" t="str">
            <v>N/A</v>
          </cell>
          <cell r="Q654" t="str">
            <v>N/A</v>
          </cell>
          <cell r="R654" t="str">
            <v>N/A</v>
          </cell>
          <cell r="S654" t="str">
            <v>No</v>
          </cell>
          <cell r="T654" t="str">
            <v>N/A</v>
          </cell>
        </row>
        <row r="655">
          <cell r="M655" t="str">
            <v>Shaped Upholstered PelmetFaceNice CBus Motor</v>
          </cell>
          <cell r="N655">
            <v>0</v>
          </cell>
          <cell r="O655" t="str">
            <v>N/A</v>
          </cell>
          <cell r="P655" t="str">
            <v>N/A</v>
          </cell>
          <cell r="Q655" t="str">
            <v>N/A</v>
          </cell>
          <cell r="R655" t="str">
            <v>N/A</v>
          </cell>
          <cell r="S655" t="str">
            <v>No</v>
          </cell>
          <cell r="T655" t="str">
            <v>N/A</v>
          </cell>
        </row>
        <row r="656">
          <cell r="M656" t="str">
            <v>Aluminium PelmetFaceNice CBus Motor</v>
          </cell>
          <cell r="N656">
            <v>6</v>
          </cell>
          <cell r="O656">
            <v>6</v>
          </cell>
          <cell r="P656" t="str">
            <v>N/A</v>
          </cell>
          <cell r="Q656" t="str">
            <v>N/A</v>
          </cell>
          <cell r="R656" t="str">
            <v>Yes</v>
          </cell>
          <cell r="S656" t="str">
            <v>No</v>
          </cell>
          <cell r="T656" t="str">
            <v>Yes</v>
          </cell>
        </row>
        <row r="657">
          <cell r="M657" t="str">
            <v>Square CassetteFaceNice CBus Motor</v>
          </cell>
          <cell r="N657">
            <v>10</v>
          </cell>
          <cell r="O657">
            <v>14</v>
          </cell>
          <cell r="P657">
            <v>14</v>
          </cell>
          <cell r="Q657" t="str">
            <v>N/A</v>
          </cell>
          <cell r="R657" t="str">
            <v>No</v>
          </cell>
          <cell r="S657" t="str">
            <v>No</v>
          </cell>
          <cell r="T657" t="str">
            <v>No</v>
          </cell>
        </row>
        <row r="658">
          <cell r="M658" t="str">
            <v>Square Cassette with Side ChannelsFaceNice CBus Motor</v>
          </cell>
          <cell r="N658">
            <v>10</v>
          </cell>
          <cell r="O658">
            <v>14</v>
          </cell>
          <cell r="P658">
            <v>14</v>
          </cell>
          <cell r="Q658">
            <v>88</v>
          </cell>
          <cell r="R658" t="str">
            <v>No</v>
          </cell>
          <cell r="S658" t="str">
            <v>Yes</v>
          </cell>
          <cell r="T658" t="str">
            <v>No</v>
          </cell>
        </row>
        <row r="659">
          <cell r="M659" t="str">
            <v>Round CassetteFaceNice CBus Motor</v>
          </cell>
          <cell r="N659">
            <v>10</v>
          </cell>
          <cell r="O659">
            <v>14</v>
          </cell>
          <cell r="P659">
            <v>14</v>
          </cell>
          <cell r="Q659" t="str">
            <v>N/A</v>
          </cell>
          <cell r="R659" t="str">
            <v>No</v>
          </cell>
          <cell r="S659" t="str">
            <v>No</v>
          </cell>
          <cell r="T659" t="str">
            <v>No</v>
          </cell>
        </row>
        <row r="660">
          <cell r="M660" t="str">
            <v>Round Cassette with Side ChannelsFaceNice CBus Motor</v>
          </cell>
          <cell r="N660">
            <v>10</v>
          </cell>
          <cell r="O660">
            <v>14</v>
          </cell>
          <cell r="P660">
            <v>14</v>
          </cell>
          <cell r="Q660">
            <v>88</v>
          </cell>
          <cell r="R660" t="str">
            <v>No</v>
          </cell>
          <cell r="S660" t="str">
            <v>Yes</v>
          </cell>
          <cell r="T660" t="str">
            <v>No</v>
          </cell>
        </row>
        <row r="661">
          <cell r="M661" t="str">
            <v>Aluminium ValanceFaceNice CBus Motor</v>
          </cell>
          <cell r="N661">
            <v>6</v>
          </cell>
          <cell r="O661" t="str">
            <v>N/A</v>
          </cell>
          <cell r="P661">
            <v>0</v>
          </cell>
          <cell r="Q661" t="str">
            <v>N/A</v>
          </cell>
          <cell r="R661" t="str">
            <v>Yes</v>
          </cell>
          <cell r="S661" t="str">
            <v>No</v>
          </cell>
          <cell r="T661" t="str">
            <v>No</v>
          </cell>
        </row>
        <row r="662">
          <cell r="M662" t="str">
            <v>Aluminium Valance - Fabric CoveredFaceNice CBus Motor</v>
          </cell>
          <cell r="N662">
            <v>6</v>
          </cell>
          <cell r="O662" t="str">
            <v>N/A</v>
          </cell>
          <cell r="P662">
            <v>0</v>
          </cell>
          <cell r="Q662" t="str">
            <v>N/A</v>
          </cell>
          <cell r="R662" t="str">
            <v>Yes</v>
          </cell>
          <cell r="S662" t="str">
            <v>No</v>
          </cell>
          <cell r="T662" t="str">
            <v>No</v>
          </cell>
        </row>
        <row r="663">
          <cell r="M663" t="str">
            <v>Side ChannelsFaceNice CBus Motor</v>
          </cell>
          <cell r="N663">
            <v>10</v>
          </cell>
          <cell r="O663" t="str">
            <v>N/A</v>
          </cell>
          <cell r="P663" t="str">
            <v>N/A</v>
          </cell>
          <cell r="Q663">
            <v>60</v>
          </cell>
          <cell r="R663" t="str">
            <v>N/A</v>
          </cell>
          <cell r="S663" t="str">
            <v>No</v>
          </cell>
          <cell r="T663" t="str">
            <v>N/A</v>
          </cell>
        </row>
        <row r="664">
          <cell r="M664" t="str">
            <v>Zipscreen HoodingFaceNice CBus Motor</v>
          </cell>
          <cell r="N664">
            <v>17</v>
          </cell>
          <cell r="O664">
            <v>66</v>
          </cell>
          <cell r="P664">
            <v>66</v>
          </cell>
          <cell r="Q664" t="str">
            <v>N/A</v>
          </cell>
          <cell r="R664" t="str">
            <v>N/A</v>
          </cell>
          <cell r="S664" t="str">
            <v>No</v>
          </cell>
          <cell r="T664" t="str">
            <v>N/A</v>
          </cell>
        </row>
        <row r="665">
          <cell r="M665" t="str">
            <v>NoneFaceSunboss Chain Winder 38mm Tube</v>
          </cell>
          <cell r="N665">
            <v>0</v>
          </cell>
          <cell r="O665" t="str">
            <v>N/A</v>
          </cell>
          <cell r="P665" t="str">
            <v>N/A</v>
          </cell>
          <cell r="Q665" t="str">
            <v>N/A</v>
          </cell>
          <cell r="R665" t="str">
            <v>N/A</v>
          </cell>
          <cell r="S665" t="str">
            <v>No</v>
          </cell>
          <cell r="T665" t="str">
            <v>N/A</v>
          </cell>
        </row>
        <row r="666">
          <cell r="M666" t="str">
            <v>Straight Upholstered PelmetFaceSunboss Chain Winder 38mm Tube</v>
          </cell>
          <cell r="N666">
            <v>0</v>
          </cell>
          <cell r="O666" t="str">
            <v>N/A</v>
          </cell>
          <cell r="P666" t="str">
            <v>N/A</v>
          </cell>
          <cell r="Q666" t="str">
            <v>N/A</v>
          </cell>
          <cell r="R666" t="str">
            <v>N/A</v>
          </cell>
          <cell r="S666" t="str">
            <v>No</v>
          </cell>
          <cell r="T666" t="str">
            <v>N/A</v>
          </cell>
        </row>
        <row r="667">
          <cell r="M667" t="str">
            <v>Shaped Upholstered PelmetFaceSunboss Chain Winder 38mm Tube</v>
          </cell>
          <cell r="N667">
            <v>0</v>
          </cell>
          <cell r="O667" t="str">
            <v>N/A</v>
          </cell>
          <cell r="P667" t="str">
            <v>N/A</v>
          </cell>
          <cell r="Q667" t="str">
            <v>N/A</v>
          </cell>
          <cell r="R667" t="str">
            <v>N/A</v>
          </cell>
          <cell r="S667" t="str">
            <v>No</v>
          </cell>
          <cell r="T667" t="str">
            <v>N/A</v>
          </cell>
        </row>
        <row r="668">
          <cell r="M668" t="str">
            <v>Aluminium PelmetFaceSunboss Chain Winder 38mm Tube</v>
          </cell>
          <cell r="N668">
            <v>6</v>
          </cell>
          <cell r="O668">
            <v>6</v>
          </cell>
          <cell r="P668" t="str">
            <v>N/A</v>
          </cell>
          <cell r="Q668" t="str">
            <v>N/A</v>
          </cell>
          <cell r="R668" t="str">
            <v>Yes</v>
          </cell>
          <cell r="S668" t="str">
            <v>No</v>
          </cell>
          <cell r="T668" t="str">
            <v>Yes</v>
          </cell>
        </row>
        <row r="669">
          <cell r="M669" t="str">
            <v>Square CassetteFaceSunboss Chain Winder 38mm Tube</v>
          </cell>
          <cell r="N669">
            <v>10</v>
          </cell>
          <cell r="O669">
            <v>14</v>
          </cell>
          <cell r="P669">
            <v>14</v>
          </cell>
          <cell r="Q669" t="str">
            <v>N/A</v>
          </cell>
          <cell r="R669" t="str">
            <v>No</v>
          </cell>
          <cell r="S669" t="str">
            <v>No</v>
          </cell>
          <cell r="T669" t="str">
            <v>No</v>
          </cell>
        </row>
        <row r="670">
          <cell r="M670" t="str">
            <v>Square Cassette with Side ChannelsFaceSunboss Chain Winder 38mm Tube</v>
          </cell>
          <cell r="N670">
            <v>10</v>
          </cell>
          <cell r="O670">
            <v>14</v>
          </cell>
          <cell r="P670">
            <v>14</v>
          </cell>
          <cell r="Q670">
            <v>88</v>
          </cell>
          <cell r="R670" t="str">
            <v>No</v>
          </cell>
          <cell r="S670" t="str">
            <v>Yes</v>
          </cell>
          <cell r="T670" t="str">
            <v>No</v>
          </cell>
        </row>
        <row r="671">
          <cell r="M671" t="str">
            <v>Round CassetteFaceSunboss Chain Winder 38mm Tube</v>
          </cell>
          <cell r="N671">
            <v>10</v>
          </cell>
          <cell r="O671">
            <v>14</v>
          </cell>
          <cell r="P671">
            <v>14</v>
          </cell>
          <cell r="Q671" t="str">
            <v>N/A</v>
          </cell>
          <cell r="R671" t="str">
            <v>No</v>
          </cell>
          <cell r="S671" t="str">
            <v>No</v>
          </cell>
          <cell r="T671" t="str">
            <v>No</v>
          </cell>
        </row>
        <row r="672">
          <cell r="M672" t="str">
            <v>Round Cassette with Side ChannelsFaceSunboss Chain Winder 38mm Tube</v>
          </cell>
          <cell r="N672">
            <v>10</v>
          </cell>
          <cell r="O672">
            <v>14</v>
          </cell>
          <cell r="P672">
            <v>14</v>
          </cell>
          <cell r="Q672">
            <v>88</v>
          </cell>
          <cell r="R672" t="str">
            <v>No</v>
          </cell>
          <cell r="S672" t="str">
            <v>Yes</v>
          </cell>
          <cell r="T672" t="str">
            <v>No</v>
          </cell>
        </row>
        <row r="673">
          <cell r="M673" t="str">
            <v>Aluminium ValanceFaceSunboss Chain Winder 38mm Tube</v>
          </cell>
          <cell r="N673">
            <v>6</v>
          </cell>
          <cell r="O673" t="str">
            <v>N/A</v>
          </cell>
          <cell r="P673">
            <v>0</v>
          </cell>
          <cell r="Q673" t="str">
            <v>N/A</v>
          </cell>
          <cell r="R673" t="str">
            <v>Yes</v>
          </cell>
          <cell r="S673" t="str">
            <v>No</v>
          </cell>
          <cell r="T673" t="str">
            <v>No</v>
          </cell>
        </row>
        <row r="674">
          <cell r="M674" t="str">
            <v>Aluminium Valance - Fabric CoveredFaceSunboss Chain Winder 38mm Tube</v>
          </cell>
          <cell r="N674">
            <v>6</v>
          </cell>
          <cell r="O674" t="str">
            <v>N/A</v>
          </cell>
          <cell r="P674">
            <v>0</v>
          </cell>
          <cell r="Q674" t="str">
            <v>N/A</v>
          </cell>
          <cell r="R674" t="str">
            <v>Yes</v>
          </cell>
          <cell r="S674" t="str">
            <v>No</v>
          </cell>
          <cell r="T674" t="str">
            <v>No</v>
          </cell>
        </row>
        <row r="675">
          <cell r="M675" t="str">
            <v>Side ChannelsFaceSunboss Chain Winder 38mm Tube</v>
          </cell>
          <cell r="N675">
            <v>10</v>
          </cell>
          <cell r="O675" t="str">
            <v>N/A</v>
          </cell>
          <cell r="P675" t="str">
            <v>N/A</v>
          </cell>
          <cell r="Q675">
            <v>60</v>
          </cell>
          <cell r="R675" t="str">
            <v>N/A</v>
          </cell>
          <cell r="S675" t="str">
            <v>No</v>
          </cell>
          <cell r="T675" t="str">
            <v>N/A</v>
          </cell>
        </row>
        <row r="676">
          <cell r="M676" t="str">
            <v>Zipscreen HoodingFaceSunboss Chain Winder 38mm Tube</v>
          </cell>
          <cell r="N676">
            <v>17</v>
          </cell>
          <cell r="O676">
            <v>66</v>
          </cell>
          <cell r="P676">
            <v>66</v>
          </cell>
          <cell r="Q676" t="str">
            <v>N/A</v>
          </cell>
          <cell r="R676" t="str">
            <v>N/A</v>
          </cell>
          <cell r="S676" t="str">
            <v>No</v>
          </cell>
          <cell r="T676" t="str">
            <v>N/A</v>
          </cell>
        </row>
        <row r="677">
          <cell r="M677" t="str">
            <v>NoneFaceSunboss Chain Winder 43mm Tube</v>
          </cell>
          <cell r="N677">
            <v>0</v>
          </cell>
          <cell r="O677" t="str">
            <v>N/A</v>
          </cell>
          <cell r="P677" t="str">
            <v>N/A</v>
          </cell>
          <cell r="Q677" t="str">
            <v>N/A</v>
          </cell>
          <cell r="R677" t="str">
            <v>N/A</v>
          </cell>
          <cell r="S677" t="str">
            <v>No</v>
          </cell>
          <cell r="T677" t="str">
            <v>N/A</v>
          </cell>
        </row>
        <row r="678">
          <cell r="M678" t="str">
            <v>Straight Upholstered PelmetFaceSunboss Chain Winder 43mm Tube</v>
          </cell>
          <cell r="N678">
            <v>0</v>
          </cell>
          <cell r="O678" t="str">
            <v>N/A</v>
          </cell>
          <cell r="P678" t="str">
            <v>N/A</v>
          </cell>
          <cell r="Q678" t="str">
            <v>N/A</v>
          </cell>
          <cell r="R678" t="str">
            <v>N/A</v>
          </cell>
          <cell r="S678" t="str">
            <v>No</v>
          </cell>
          <cell r="T678" t="str">
            <v>N/A</v>
          </cell>
        </row>
        <row r="679">
          <cell r="M679" t="str">
            <v>Shaped Upholstered PelmetFaceSunboss Chain Winder 43mm Tube</v>
          </cell>
          <cell r="N679">
            <v>0</v>
          </cell>
          <cell r="O679" t="str">
            <v>N/A</v>
          </cell>
          <cell r="P679" t="str">
            <v>N/A</v>
          </cell>
          <cell r="Q679" t="str">
            <v>N/A</v>
          </cell>
          <cell r="R679" t="str">
            <v>N/A</v>
          </cell>
          <cell r="S679" t="str">
            <v>No</v>
          </cell>
          <cell r="T679" t="str">
            <v>N/A</v>
          </cell>
        </row>
        <row r="680">
          <cell r="M680" t="str">
            <v>Aluminium PelmetFaceSunboss Chain Winder 43mm Tube</v>
          </cell>
          <cell r="N680">
            <v>6</v>
          </cell>
          <cell r="O680">
            <v>6</v>
          </cell>
          <cell r="P680" t="str">
            <v>N/A</v>
          </cell>
          <cell r="Q680" t="str">
            <v>N/A</v>
          </cell>
          <cell r="R680" t="str">
            <v>Yes</v>
          </cell>
          <cell r="S680" t="str">
            <v>No</v>
          </cell>
          <cell r="T680" t="str">
            <v>Yes</v>
          </cell>
        </row>
        <row r="681">
          <cell r="M681" t="str">
            <v>Square CassetteFaceSunboss Chain Winder 43mm Tube</v>
          </cell>
          <cell r="N681">
            <v>10</v>
          </cell>
          <cell r="O681">
            <v>14</v>
          </cell>
          <cell r="P681">
            <v>14</v>
          </cell>
          <cell r="Q681" t="str">
            <v>N/A</v>
          </cell>
          <cell r="R681" t="str">
            <v>No</v>
          </cell>
          <cell r="S681" t="str">
            <v>No</v>
          </cell>
          <cell r="T681" t="str">
            <v>No</v>
          </cell>
        </row>
        <row r="682">
          <cell r="M682" t="str">
            <v>Square Cassette with Side ChannelsFaceSunboss Chain Winder 43mm Tube</v>
          </cell>
          <cell r="N682">
            <v>10</v>
          </cell>
          <cell r="O682">
            <v>14</v>
          </cell>
          <cell r="P682">
            <v>14</v>
          </cell>
          <cell r="Q682">
            <v>88</v>
          </cell>
          <cell r="R682" t="str">
            <v>No</v>
          </cell>
          <cell r="S682" t="str">
            <v>Yes</v>
          </cell>
          <cell r="T682" t="str">
            <v>No</v>
          </cell>
        </row>
        <row r="683">
          <cell r="M683" t="str">
            <v>Round CassetteFaceSunboss Chain Winder 43mm Tube</v>
          </cell>
          <cell r="N683">
            <v>10</v>
          </cell>
          <cell r="O683">
            <v>14</v>
          </cell>
          <cell r="P683">
            <v>14</v>
          </cell>
          <cell r="Q683" t="str">
            <v>N/A</v>
          </cell>
          <cell r="R683" t="str">
            <v>No</v>
          </cell>
          <cell r="S683" t="str">
            <v>No</v>
          </cell>
          <cell r="T683" t="str">
            <v>No</v>
          </cell>
        </row>
        <row r="684">
          <cell r="M684" t="str">
            <v>Round Cassette with Side ChannelsFaceSunboss Chain Winder 43mm Tube</v>
          </cell>
          <cell r="N684">
            <v>10</v>
          </cell>
          <cell r="O684">
            <v>14</v>
          </cell>
          <cell r="P684">
            <v>14</v>
          </cell>
          <cell r="Q684">
            <v>88</v>
          </cell>
          <cell r="R684" t="str">
            <v>No</v>
          </cell>
          <cell r="S684" t="str">
            <v>Yes</v>
          </cell>
          <cell r="T684" t="str">
            <v>No</v>
          </cell>
        </row>
        <row r="685">
          <cell r="M685" t="str">
            <v>Aluminium ValanceFaceSunboss Chain Winder 43mm Tube</v>
          </cell>
          <cell r="N685">
            <v>6</v>
          </cell>
          <cell r="O685" t="str">
            <v>N/A</v>
          </cell>
          <cell r="P685">
            <v>0</v>
          </cell>
          <cell r="Q685" t="str">
            <v>N/A</v>
          </cell>
          <cell r="R685" t="str">
            <v>Yes</v>
          </cell>
          <cell r="S685" t="str">
            <v>No</v>
          </cell>
          <cell r="T685" t="str">
            <v>No</v>
          </cell>
        </row>
        <row r="686">
          <cell r="M686" t="str">
            <v>Aluminium Valance - Fabric CoveredFaceSunboss Chain Winder 43mm Tube</v>
          </cell>
          <cell r="N686">
            <v>6</v>
          </cell>
          <cell r="O686" t="str">
            <v>N/A</v>
          </cell>
          <cell r="P686">
            <v>0</v>
          </cell>
          <cell r="Q686" t="str">
            <v>N/A</v>
          </cell>
          <cell r="R686" t="str">
            <v>Yes</v>
          </cell>
          <cell r="S686" t="str">
            <v>No</v>
          </cell>
          <cell r="T686" t="str">
            <v>No</v>
          </cell>
        </row>
        <row r="687">
          <cell r="M687" t="str">
            <v>Side ChannelsFaceSunboss Chain Winder 43mm Tube</v>
          </cell>
          <cell r="N687">
            <v>10</v>
          </cell>
          <cell r="O687" t="str">
            <v>N/A</v>
          </cell>
          <cell r="P687" t="str">
            <v>N/A</v>
          </cell>
          <cell r="Q687">
            <v>60</v>
          </cell>
          <cell r="R687" t="str">
            <v>N/A</v>
          </cell>
          <cell r="S687" t="str">
            <v>No</v>
          </cell>
          <cell r="T687" t="str">
            <v>N/A</v>
          </cell>
        </row>
        <row r="688">
          <cell r="M688" t="str">
            <v>Zipscreen HoodingFaceSunboss Chain Winder 43mm Tube</v>
          </cell>
          <cell r="N688">
            <v>17</v>
          </cell>
          <cell r="O688">
            <v>66</v>
          </cell>
          <cell r="P688">
            <v>66</v>
          </cell>
          <cell r="Q688" t="str">
            <v>N/A</v>
          </cell>
          <cell r="R688" t="str">
            <v>N/A</v>
          </cell>
          <cell r="S688" t="str">
            <v>No</v>
          </cell>
          <cell r="T688" t="str">
            <v>N/A</v>
          </cell>
        </row>
        <row r="689">
          <cell r="M689" t="str">
            <v>NoneFaceTBS Remote Motor</v>
          </cell>
          <cell r="N689">
            <v>0</v>
          </cell>
          <cell r="O689" t="str">
            <v>N/A</v>
          </cell>
          <cell r="P689" t="str">
            <v>N/A</v>
          </cell>
          <cell r="Q689" t="str">
            <v>N/A</v>
          </cell>
          <cell r="R689" t="str">
            <v>N/A</v>
          </cell>
          <cell r="S689" t="str">
            <v>No</v>
          </cell>
          <cell r="T689" t="str">
            <v>N/A</v>
          </cell>
        </row>
        <row r="690">
          <cell r="M690" t="str">
            <v>Straight Upholstered PelmetFaceTBS Remote Motor</v>
          </cell>
          <cell r="N690">
            <v>0</v>
          </cell>
          <cell r="O690" t="str">
            <v>N/A</v>
          </cell>
          <cell r="P690" t="str">
            <v>N/A</v>
          </cell>
          <cell r="Q690" t="str">
            <v>N/A</v>
          </cell>
          <cell r="R690" t="str">
            <v>N/A</v>
          </cell>
          <cell r="S690" t="str">
            <v>No</v>
          </cell>
          <cell r="T690" t="str">
            <v>N/A</v>
          </cell>
        </row>
        <row r="691">
          <cell r="M691" t="str">
            <v>Shaped Upholstered PelmetFaceTBS Remote Motor</v>
          </cell>
          <cell r="N691">
            <v>0</v>
          </cell>
          <cell r="O691" t="str">
            <v>N/A</v>
          </cell>
          <cell r="P691" t="str">
            <v>N/A</v>
          </cell>
          <cell r="Q691" t="str">
            <v>N/A</v>
          </cell>
          <cell r="R691" t="str">
            <v>N/A</v>
          </cell>
          <cell r="S691" t="str">
            <v>No</v>
          </cell>
          <cell r="T691" t="str">
            <v>N/A</v>
          </cell>
        </row>
        <row r="692">
          <cell r="M692" t="str">
            <v>Aluminium PelmetFaceTBS Remote Motor</v>
          </cell>
          <cell r="N692">
            <v>6</v>
          </cell>
          <cell r="O692">
            <v>6</v>
          </cell>
          <cell r="P692" t="str">
            <v>N/A</v>
          </cell>
          <cell r="Q692" t="str">
            <v>N/A</v>
          </cell>
          <cell r="R692" t="str">
            <v>Yes</v>
          </cell>
          <cell r="S692" t="str">
            <v>No</v>
          </cell>
          <cell r="T692" t="str">
            <v>Yes</v>
          </cell>
        </row>
        <row r="693">
          <cell r="M693" t="str">
            <v>Square CassetteFaceTBS Remote Motor</v>
          </cell>
          <cell r="N693">
            <v>10</v>
          </cell>
          <cell r="O693">
            <v>14</v>
          </cell>
          <cell r="P693">
            <v>14</v>
          </cell>
          <cell r="Q693" t="str">
            <v>N/A</v>
          </cell>
          <cell r="R693" t="str">
            <v>No</v>
          </cell>
          <cell r="S693" t="str">
            <v>No</v>
          </cell>
          <cell r="T693" t="str">
            <v>No</v>
          </cell>
        </row>
        <row r="694">
          <cell r="M694" t="str">
            <v>Square Cassette with Side ChannelsFaceTBS Remote Motor</v>
          </cell>
          <cell r="N694">
            <v>10</v>
          </cell>
          <cell r="O694">
            <v>14</v>
          </cell>
          <cell r="P694">
            <v>14</v>
          </cell>
          <cell r="Q694">
            <v>88</v>
          </cell>
          <cell r="R694" t="str">
            <v>No</v>
          </cell>
          <cell r="S694" t="str">
            <v>Yes</v>
          </cell>
          <cell r="T694" t="str">
            <v>No</v>
          </cell>
        </row>
        <row r="695">
          <cell r="M695" t="str">
            <v>Round CassetteFaceTBS Remote Motor</v>
          </cell>
          <cell r="N695">
            <v>10</v>
          </cell>
          <cell r="O695">
            <v>14</v>
          </cell>
          <cell r="P695">
            <v>14</v>
          </cell>
          <cell r="Q695" t="str">
            <v>N/A</v>
          </cell>
          <cell r="R695" t="str">
            <v>No</v>
          </cell>
          <cell r="S695" t="str">
            <v>No</v>
          </cell>
          <cell r="T695" t="str">
            <v>No</v>
          </cell>
        </row>
        <row r="696">
          <cell r="M696" t="str">
            <v>Round Cassette with Side ChannelsFaceTBS Remote Motor</v>
          </cell>
          <cell r="N696">
            <v>10</v>
          </cell>
          <cell r="O696">
            <v>14</v>
          </cell>
          <cell r="P696">
            <v>14</v>
          </cell>
          <cell r="Q696">
            <v>88</v>
          </cell>
          <cell r="R696" t="str">
            <v>No</v>
          </cell>
          <cell r="S696" t="str">
            <v>Yes</v>
          </cell>
          <cell r="T696" t="str">
            <v>No</v>
          </cell>
        </row>
        <row r="697">
          <cell r="M697" t="str">
            <v>Aluminium ValanceFaceTBS Remote Motor</v>
          </cell>
          <cell r="N697">
            <v>6</v>
          </cell>
          <cell r="O697" t="str">
            <v>N/A</v>
          </cell>
          <cell r="P697">
            <v>0</v>
          </cell>
          <cell r="Q697" t="str">
            <v>N/A</v>
          </cell>
          <cell r="R697" t="str">
            <v>Yes</v>
          </cell>
          <cell r="S697" t="str">
            <v>No</v>
          </cell>
          <cell r="T697" t="str">
            <v>No</v>
          </cell>
        </row>
        <row r="698">
          <cell r="M698" t="str">
            <v>Aluminium Valance - Fabric CoveredFaceTBS Remote Motor</v>
          </cell>
          <cell r="N698">
            <v>6</v>
          </cell>
          <cell r="O698" t="str">
            <v>N/A</v>
          </cell>
          <cell r="P698">
            <v>0</v>
          </cell>
          <cell r="Q698" t="str">
            <v>N/A</v>
          </cell>
          <cell r="R698" t="str">
            <v>Yes</v>
          </cell>
          <cell r="S698" t="str">
            <v>No</v>
          </cell>
          <cell r="T698" t="str">
            <v>No</v>
          </cell>
        </row>
        <row r="699">
          <cell r="M699" t="str">
            <v>Side ChannelsFaceTBS Remote Motor</v>
          </cell>
          <cell r="N699">
            <v>10</v>
          </cell>
          <cell r="O699" t="str">
            <v>N/A</v>
          </cell>
          <cell r="P699" t="str">
            <v>N/A</v>
          </cell>
          <cell r="Q699">
            <v>60</v>
          </cell>
          <cell r="R699" t="str">
            <v>N/A</v>
          </cell>
          <cell r="S699" t="str">
            <v>No</v>
          </cell>
          <cell r="T699" t="str">
            <v>N/A</v>
          </cell>
        </row>
        <row r="700">
          <cell r="M700" t="str">
            <v>Zipscreen HoodingFaceTBS Remote Motor</v>
          </cell>
          <cell r="N700">
            <v>17</v>
          </cell>
          <cell r="O700">
            <v>66</v>
          </cell>
          <cell r="P700">
            <v>66</v>
          </cell>
          <cell r="Q700" t="str">
            <v>N/A</v>
          </cell>
          <cell r="R700" t="str">
            <v>N/A</v>
          </cell>
          <cell r="S700" t="str">
            <v>No</v>
          </cell>
          <cell r="T700" t="str">
            <v>N/A</v>
          </cell>
        </row>
        <row r="701">
          <cell r="M701" t="str">
            <v>NoneFaceTBS Cbus Motor</v>
          </cell>
          <cell r="N701">
            <v>0</v>
          </cell>
          <cell r="O701" t="str">
            <v>N/A</v>
          </cell>
          <cell r="P701" t="str">
            <v>N/A</v>
          </cell>
          <cell r="Q701" t="str">
            <v>N/A</v>
          </cell>
          <cell r="R701" t="str">
            <v>N/A</v>
          </cell>
          <cell r="S701" t="str">
            <v>No</v>
          </cell>
          <cell r="T701" t="str">
            <v>N/A</v>
          </cell>
        </row>
        <row r="702">
          <cell r="M702" t="str">
            <v>Straight Upholstered PelmetFaceTBS Cbus Motor</v>
          </cell>
          <cell r="N702">
            <v>0</v>
          </cell>
          <cell r="O702" t="str">
            <v>N/A</v>
          </cell>
          <cell r="P702" t="str">
            <v>N/A</v>
          </cell>
          <cell r="Q702" t="str">
            <v>N/A</v>
          </cell>
          <cell r="R702" t="str">
            <v>N/A</v>
          </cell>
          <cell r="S702" t="str">
            <v>No</v>
          </cell>
          <cell r="T702" t="str">
            <v>N/A</v>
          </cell>
        </row>
        <row r="703">
          <cell r="M703" t="str">
            <v>Shaped Upholstered PelmetFaceTBS Cbus Motor</v>
          </cell>
          <cell r="N703">
            <v>0</v>
          </cell>
          <cell r="O703" t="str">
            <v>N/A</v>
          </cell>
          <cell r="P703" t="str">
            <v>N/A</v>
          </cell>
          <cell r="Q703" t="str">
            <v>N/A</v>
          </cell>
          <cell r="R703" t="str">
            <v>N/A</v>
          </cell>
          <cell r="S703" t="str">
            <v>No</v>
          </cell>
          <cell r="T703" t="str">
            <v>N/A</v>
          </cell>
        </row>
        <row r="704">
          <cell r="M704" t="str">
            <v>Aluminium PelmetFaceTBS Cbus Motor</v>
          </cell>
          <cell r="N704">
            <v>6</v>
          </cell>
          <cell r="O704">
            <v>6</v>
          </cell>
          <cell r="P704" t="str">
            <v>N/A</v>
          </cell>
          <cell r="Q704" t="str">
            <v>N/A</v>
          </cell>
          <cell r="R704" t="str">
            <v>Yes</v>
          </cell>
          <cell r="S704" t="str">
            <v>No</v>
          </cell>
          <cell r="T704" t="str">
            <v>Yes</v>
          </cell>
        </row>
        <row r="705">
          <cell r="M705" t="str">
            <v>Square CassetteFaceTBS Cbus Motor</v>
          </cell>
          <cell r="N705">
            <v>10</v>
          </cell>
          <cell r="O705">
            <v>14</v>
          </cell>
          <cell r="P705">
            <v>14</v>
          </cell>
          <cell r="Q705" t="str">
            <v>N/A</v>
          </cell>
          <cell r="R705" t="str">
            <v>No</v>
          </cell>
          <cell r="S705" t="str">
            <v>No</v>
          </cell>
          <cell r="T705" t="str">
            <v>No</v>
          </cell>
        </row>
        <row r="706">
          <cell r="M706" t="str">
            <v>Square Cassette with Side ChannelsFaceTBS Cbus Motor</v>
          </cell>
          <cell r="N706">
            <v>10</v>
          </cell>
          <cell r="O706">
            <v>14</v>
          </cell>
          <cell r="P706">
            <v>14</v>
          </cell>
          <cell r="Q706">
            <v>88</v>
          </cell>
          <cell r="R706" t="str">
            <v>No</v>
          </cell>
          <cell r="S706" t="str">
            <v>Yes</v>
          </cell>
          <cell r="T706" t="str">
            <v>No</v>
          </cell>
        </row>
        <row r="707">
          <cell r="M707" t="str">
            <v>Round CassetteFaceTBS Cbus Motor</v>
          </cell>
          <cell r="N707">
            <v>10</v>
          </cell>
          <cell r="O707">
            <v>14</v>
          </cell>
          <cell r="P707">
            <v>14</v>
          </cell>
          <cell r="Q707" t="str">
            <v>N/A</v>
          </cell>
          <cell r="R707" t="str">
            <v>No</v>
          </cell>
          <cell r="S707" t="str">
            <v>No</v>
          </cell>
          <cell r="T707" t="str">
            <v>No</v>
          </cell>
        </row>
        <row r="708">
          <cell r="M708" t="str">
            <v>Round Cassette with Side ChannelsFaceTBS Cbus Motor</v>
          </cell>
          <cell r="N708">
            <v>10</v>
          </cell>
          <cell r="O708">
            <v>14</v>
          </cell>
          <cell r="P708">
            <v>14</v>
          </cell>
          <cell r="Q708">
            <v>88</v>
          </cell>
          <cell r="R708" t="str">
            <v>No</v>
          </cell>
          <cell r="S708" t="str">
            <v>Yes</v>
          </cell>
          <cell r="T708" t="str">
            <v>No</v>
          </cell>
        </row>
        <row r="709">
          <cell r="M709" t="str">
            <v>Aluminium ValanceFaceTBS Cbus Motor</v>
          </cell>
          <cell r="N709">
            <v>6</v>
          </cell>
          <cell r="O709" t="str">
            <v>N/A</v>
          </cell>
          <cell r="P709">
            <v>0</v>
          </cell>
          <cell r="Q709" t="str">
            <v>N/A</v>
          </cell>
          <cell r="R709" t="str">
            <v>Yes</v>
          </cell>
          <cell r="S709" t="str">
            <v>No</v>
          </cell>
          <cell r="T709" t="str">
            <v>No</v>
          </cell>
        </row>
        <row r="710">
          <cell r="M710" t="str">
            <v>Aluminium Valance - Fabric CoveredFaceTBS Cbus Motor</v>
          </cell>
          <cell r="N710">
            <v>6</v>
          </cell>
          <cell r="O710" t="str">
            <v>N/A</v>
          </cell>
          <cell r="P710">
            <v>0</v>
          </cell>
          <cell r="Q710" t="str">
            <v>N/A</v>
          </cell>
          <cell r="R710" t="str">
            <v>Yes</v>
          </cell>
          <cell r="S710" t="str">
            <v>No</v>
          </cell>
          <cell r="T710" t="str">
            <v>No</v>
          </cell>
        </row>
        <row r="711">
          <cell r="M711" t="str">
            <v>Side ChannelsFaceTBS Cbus Motor</v>
          </cell>
          <cell r="N711">
            <v>10</v>
          </cell>
          <cell r="O711" t="str">
            <v>N/A</v>
          </cell>
          <cell r="P711" t="str">
            <v>N/A</v>
          </cell>
          <cell r="Q711">
            <v>60</v>
          </cell>
          <cell r="R711" t="str">
            <v>N/A</v>
          </cell>
          <cell r="S711" t="str">
            <v>No</v>
          </cell>
          <cell r="T711" t="str">
            <v>N/A</v>
          </cell>
        </row>
        <row r="712">
          <cell r="M712" t="str">
            <v>Zipscreen HoodingFaceTBS Cbus Motor</v>
          </cell>
          <cell r="N712">
            <v>17</v>
          </cell>
          <cell r="O712">
            <v>66</v>
          </cell>
          <cell r="P712">
            <v>66</v>
          </cell>
          <cell r="Q712" t="str">
            <v>N/A</v>
          </cell>
          <cell r="R712" t="str">
            <v>N/A</v>
          </cell>
          <cell r="S712" t="str">
            <v>No</v>
          </cell>
          <cell r="T712" t="str">
            <v>N/A</v>
          </cell>
        </row>
        <row r="713">
          <cell r="M713" t="str">
            <v>NoneFaceAcmeda External Motor</v>
          </cell>
          <cell r="N713">
            <v>0</v>
          </cell>
          <cell r="O713" t="str">
            <v>N/A</v>
          </cell>
          <cell r="P713" t="str">
            <v>N/A</v>
          </cell>
          <cell r="Q713" t="str">
            <v>N/A</v>
          </cell>
          <cell r="R713" t="str">
            <v>N/A</v>
          </cell>
          <cell r="S713" t="str">
            <v>No</v>
          </cell>
          <cell r="T713" t="str">
            <v>N/A</v>
          </cell>
        </row>
        <row r="714">
          <cell r="M714" t="str">
            <v>Straight Upholstered PelmetFaceAcmeda External Motor</v>
          </cell>
          <cell r="N714">
            <v>0</v>
          </cell>
          <cell r="O714" t="str">
            <v>N/A</v>
          </cell>
          <cell r="P714" t="str">
            <v>N/A</v>
          </cell>
          <cell r="Q714" t="str">
            <v>N/A</v>
          </cell>
          <cell r="R714" t="str">
            <v>N/A</v>
          </cell>
          <cell r="S714" t="str">
            <v>No</v>
          </cell>
          <cell r="T714" t="str">
            <v>N/A</v>
          </cell>
        </row>
        <row r="715">
          <cell r="M715" t="str">
            <v>Shaped Upholstered PelmetFaceAcmeda External Motor</v>
          </cell>
          <cell r="N715">
            <v>0</v>
          </cell>
          <cell r="O715" t="str">
            <v>N/A</v>
          </cell>
          <cell r="P715" t="str">
            <v>N/A</v>
          </cell>
          <cell r="Q715" t="str">
            <v>N/A</v>
          </cell>
          <cell r="R715" t="str">
            <v>N/A</v>
          </cell>
          <cell r="S715" t="str">
            <v>No</v>
          </cell>
          <cell r="T715" t="str">
            <v>N/A</v>
          </cell>
        </row>
        <row r="716">
          <cell r="M716" t="str">
            <v>Aluminium PelmetFaceAcmeda External Motor</v>
          </cell>
          <cell r="N716">
            <v>6</v>
          </cell>
          <cell r="O716">
            <v>6</v>
          </cell>
          <cell r="P716" t="str">
            <v>N/A</v>
          </cell>
          <cell r="Q716" t="str">
            <v>N/A</v>
          </cell>
          <cell r="R716" t="str">
            <v>Yes</v>
          </cell>
          <cell r="S716" t="str">
            <v>No</v>
          </cell>
          <cell r="T716" t="str">
            <v>Yes</v>
          </cell>
        </row>
        <row r="717">
          <cell r="M717" t="str">
            <v>Square CassetteFaceAcmeda External Motor</v>
          </cell>
          <cell r="N717">
            <v>10</v>
          </cell>
          <cell r="O717">
            <v>14</v>
          </cell>
          <cell r="P717">
            <v>14</v>
          </cell>
          <cell r="Q717" t="str">
            <v>N/A</v>
          </cell>
          <cell r="R717" t="str">
            <v>No</v>
          </cell>
          <cell r="S717" t="str">
            <v>No</v>
          </cell>
          <cell r="T717" t="str">
            <v>No</v>
          </cell>
        </row>
        <row r="718">
          <cell r="M718" t="str">
            <v>Square Cassette with Side ChannelsFaceAcmeda External Motor</v>
          </cell>
          <cell r="N718">
            <v>10</v>
          </cell>
          <cell r="O718">
            <v>14</v>
          </cell>
          <cell r="P718">
            <v>14</v>
          </cell>
          <cell r="Q718">
            <v>88</v>
          </cell>
          <cell r="R718" t="str">
            <v>No</v>
          </cell>
          <cell r="S718" t="str">
            <v>Yes</v>
          </cell>
          <cell r="T718" t="str">
            <v>No</v>
          </cell>
        </row>
        <row r="719">
          <cell r="M719" t="str">
            <v>Round CassetteFaceAcmeda External Motor</v>
          </cell>
          <cell r="N719">
            <v>10</v>
          </cell>
          <cell r="O719">
            <v>14</v>
          </cell>
          <cell r="P719">
            <v>14</v>
          </cell>
          <cell r="Q719" t="str">
            <v>N/A</v>
          </cell>
          <cell r="R719" t="str">
            <v>No</v>
          </cell>
          <cell r="S719" t="str">
            <v>No</v>
          </cell>
          <cell r="T719" t="str">
            <v>No</v>
          </cell>
        </row>
        <row r="720">
          <cell r="M720" t="str">
            <v>Round Cassette with Side ChannelsFaceAcmeda External Motor</v>
          </cell>
          <cell r="N720">
            <v>10</v>
          </cell>
          <cell r="O720">
            <v>14</v>
          </cell>
          <cell r="P720">
            <v>14</v>
          </cell>
          <cell r="Q720">
            <v>88</v>
          </cell>
          <cell r="R720" t="str">
            <v>No</v>
          </cell>
          <cell r="S720" t="str">
            <v>Yes</v>
          </cell>
          <cell r="T720" t="str">
            <v>No</v>
          </cell>
        </row>
        <row r="721">
          <cell r="M721" t="str">
            <v>Aluminium ValanceFaceAcmeda External Motor</v>
          </cell>
          <cell r="N721">
            <v>6</v>
          </cell>
          <cell r="O721" t="str">
            <v>N/A</v>
          </cell>
          <cell r="P721">
            <v>0</v>
          </cell>
          <cell r="Q721" t="str">
            <v>N/A</v>
          </cell>
          <cell r="R721" t="str">
            <v>Yes</v>
          </cell>
          <cell r="S721" t="str">
            <v>No</v>
          </cell>
          <cell r="T721" t="str">
            <v>No</v>
          </cell>
        </row>
        <row r="722">
          <cell r="M722" t="str">
            <v>Aluminium Valance - Fabric CoveredFaceAcmeda External Motor</v>
          </cell>
          <cell r="N722">
            <v>6</v>
          </cell>
          <cell r="O722" t="str">
            <v>N/A</v>
          </cell>
          <cell r="P722">
            <v>0</v>
          </cell>
          <cell r="Q722" t="str">
            <v>N/A</v>
          </cell>
          <cell r="R722" t="str">
            <v>Yes</v>
          </cell>
          <cell r="S722" t="str">
            <v>No</v>
          </cell>
          <cell r="T722" t="str">
            <v>No</v>
          </cell>
        </row>
        <row r="723">
          <cell r="M723" t="str">
            <v>Side ChannelsFaceAcmeda External Motor</v>
          </cell>
          <cell r="N723">
            <v>0</v>
          </cell>
          <cell r="O723" t="str">
            <v>N/A</v>
          </cell>
          <cell r="P723" t="str">
            <v>N/A</v>
          </cell>
          <cell r="Q723">
            <v>60</v>
          </cell>
          <cell r="R723" t="str">
            <v>N/A</v>
          </cell>
          <cell r="S723" t="str">
            <v>No</v>
          </cell>
          <cell r="T723" t="str">
            <v>N/A</v>
          </cell>
        </row>
        <row r="724">
          <cell r="M724" t="str">
            <v>Zipscreen HoodingFaceAcmeda External Motor</v>
          </cell>
          <cell r="N724">
            <v>17</v>
          </cell>
          <cell r="O724">
            <v>66</v>
          </cell>
          <cell r="P724">
            <v>66</v>
          </cell>
          <cell r="Q724" t="str">
            <v>N/A</v>
          </cell>
          <cell r="R724" t="str">
            <v>N/A</v>
          </cell>
          <cell r="S724" t="str">
            <v>No</v>
          </cell>
          <cell r="T724" t="str">
            <v>N/A</v>
          </cell>
        </row>
        <row r="725">
          <cell r="M725" t="str">
            <v>NoneInside Window MountChain Winder</v>
          </cell>
          <cell r="N725">
            <v>0</v>
          </cell>
          <cell r="O725" t="str">
            <v>N/A</v>
          </cell>
          <cell r="P725" t="str">
            <v>N/A</v>
          </cell>
          <cell r="Q725" t="str">
            <v>N/A</v>
          </cell>
          <cell r="R725" t="str">
            <v>N/A</v>
          </cell>
          <cell r="S725" t="str">
            <v>No</v>
          </cell>
          <cell r="T725" t="str">
            <v>N/A</v>
          </cell>
        </row>
        <row r="726">
          <cell r="M726" t="str">
            <v>Straight Upholstered PelmetInside Window MountChain Winder</v>
          </cell>
          <cell r="N726">
            <v>0</v>
          </cell>
          <cell r="O726" t="str">
            <v>N/A</v>
          </cell>
          <cell r="P726" t="str">
            <v>N/A</v>
          </cell>
          <cell r="Q726" t="str">
            <v>N/A</v>
          </cell>
          <cell r="R726" t="str">
            <v>N/A</v>
          </cell>
          <cell r="S726" t="str">
            <v>No</v>
          </cell>
          <cell r="T726" t="str">
            <v>N/A</v>
          </cell>
        </row>
        <row r="727">
          <cell r="M727" t="str">
            <v>Shaped Upholstered PelmetInside Window MountChain Winder</v>
          </cell>
          <cell r="N727">
            <v>0</v>
          </cell>
          <cell r="O727" t="str">
            <v>N/A</v>
          </cell>
          <cell r="P727" t="str">
            <v>N/A</v>
          </cell>
          <cell r="Q727" t="str">
            <v>N/A</v>
          </cell>
          <cell r="R727" t="str">
            <v>N/A</v>
          </cell>
          <cell r="S727" t="str">
            <v>No</v>
          </cell>
          <cell r="T727" t="str">
            <v>N/A</v>
          </cell>
        </row>
        <row r="728">
          <cell r="M728" t="str">
            <v>Aluminium PelmetInside Window MountChain Winder</v>
          </cell>
          <cell r="N728">
            <v>0</v>
          </cell>
          <cell r="O728">
            <v>0</v>
          </cell>
          <cell r="P728" t="str">
            <v>N/A</v>
          </cell>
          <cell r="Q728" t="str">
            <v>N/A</v>
          </cell>
          <cell r="R728" t="str">
            <v>No</v>
          </cell>
          <cell r="S728" t="str">
            <v>No</v>
          </cell>
          <cell r="T728" t="str">
            <v>Yes</v>
          </cell>
        </row>
        <row r="729">
          <cell r="M729" t="str">
            <v>Square CassetteInside Window MountChain Winder</v>
          </cell>
          <cell r="N729">
            <v>10</v>
          </cell>
          <cell r="O729">
            <v>14</v>
          </cell>
          <cell r="P729">
            <v>29</v>
          </cell>
          <cell r="Q729" t="str">
            <v>N/A</v>
          </cell>
          <cell r="R729" t="str">
            <v>No</v>
          </cell>
          <cell r="S729" t="str">
            <v>No</v>
          </cell>
          <cell r="T729" t="str">
            <v>No</v>
          </cell>
        </row>
        <row r="730">
          <cell r="M730" t="str">
            <v>Square Cassette with Side ChannelsInside Window MountChain Winder</v>
          </cell>
          <cell r="N730">
            <v>10</v>
          </cell>
          <cell r="O730">
            <v>14</v>
          </cell>
          <cell r="P730">
            <v>29</v>
          </cell>
          <cell r="Q730">
            <v>88</v>
          </cell>
          <cell r="R730" t="str">
            <v>No</v>
          </cell>
          <cell r="S730" t="str">
            <v>Yes</v>
          </cell>
          <cell r="T730" t="str">
            <v>No</v>
          </cell>
        </row>
        <row r="731">
          <cell r="M731" t="str">
            <v>Round CassetteInside Window MountChain Winder</v>
          </cell>
          <cell r="N731">
            <v>10</v>
          </cell>
          <cell r="O731">
            <v>14</v>
          </cell>
          <cell r="P731">
            <v>29</v>
          </cell>
          <cell r="Q731" t="str">
            <v>N/A</v>
          </cell>
          <cell r="R731" t="str">
            <v>No</v>
          </cell>
          <cell r="S731" t="str">
            <v>No</v>
          </cell>
          <cell r="T731" t="str">
            <v>No</v>
          </cell>
        </row>
        <row r="732">
          <cell r="M732" t="str">
            <v>Round Cassette with Side ChannelsInside Window MountChain Winder</v>
          </cell>
          <cell r="N732">
            <v>10</v>
          </cell>
          <cell r="O732">
            <v>14</v>
          </cell>
          <cell r="P732">
            <v>29</v>
          </cell>
          <cell r="Q732">
            <v>88</v>
          </cell>
          <cell r="R732" t="str">
            <v>No</v>
          </cell>
          <cell r="S732" t="str">
            <v>Yes</v>
          </cell>
          <cell r="T732" t="str">
            <v>No</v>
          </cell>
        </row>
        <row r="733">
          <cell r="M733" t="str">
            <v>Aluminium ValanceInside Window MountChain Winder</v>
          </cell>
          <cell r="N733">
            <v>0</v>
          </cell>
          <cell r="O733" t="str">
            <v>N/A</v>
          </cell>
          <cell r="P733">
            <v>0</v>
          </cell>
          <cell r="Q733" t="str">
            <v>N/A</v>
          </cell>
          <cell r="R733" t="str">
            <v>No</v>
          </cell>
          <cell r="S733" t="str">
            <v>No</v>
          </cell>
          <cell r="T733" t="str">
            <v>Yes</v>
          </cell>
        </row>
        <row r="734">
          <cell r="M734" t="str">
            <v>Aluminium Valance - Fabric CoveredInside Window MountChain Winder</v>
          </cell>
          <cell r="N734">
            <v>0</v>
          </cell>
          <cell r="O734" t="str">
            <v>N/A</v>
          </cell>
          <cell r="P734">
            <v>0</v>
          </cell>
          <cell r="Q734" t="str">
            <v>N/A</v>
          </cell>
          <cell r="R734" t="str">
            <v>No</v>
          </cell>
          <cell r="S734" t="str">
            <v>No</v>
          </cell>
          <cell r="T734" t="str">
            <v>Yes</v>
          </cell>
        </row>
        <row r="735">
          <cell r="M735" t="str">
            <v>Side ChannelsInside Window MountChain Winder</v>
          </cell>
          <cell r="N735">
            <v>10</v>
          </cell>
          <cell r="O735" t="str">
            <v>N/A</v>
          </cell>
          <cell r="P735" t="str">
            <v>N/A</v>
          </cell>
          <cell r="Q735">
            <v>60</v>
          </cell>
          <cell r="R735" t="str">
            <v>N/A</v>
          </cell>
          <cell r="S735" t="str">
            <v>No</v>
          </cell>
          <cell r="T735" t="str">
            <v>N/A</v>
          </cell>
        </row>
        <row r="736">
          <cell r="M736" t="str">
            <v>Zipscreen HoodingInside Window MountChain Winder</v>
          </cell>
          <cell r="N736">
            <v>17</v>
          </cell>
          <cell r="O736">
            <v>66</v>
          </cell>
          <cell r="P736">
            <v>66</v>
          </cell>
          <cell r="Q736" t="str">
            <v>N/A</v>
          </cell>
          <cell r="R736" t="str">
            <v>N/A</v>
          </cell>
          <cell r="S736" t="str">
            <v>No</v>
          </cell>
          <cell r="T736" t="str">
            <v>N/A</v>
          </cell>
        </row>
        <row r="737">
          <cell r="M737" t="str">
            <v>NoneInside Window MountChain Winder 60mm</v>
          </cell>
          <cell r="N737">
            <v>0</v>
          </cell>
          <cell r="O737" t="str">
            <v>N/A</v>
          </cell>
          <cell r="P737" t="str">
            <v>N/A</v>
          </cell>
          <cell r="Q737" t="str">
            <v>N/A</v>
          </cell>
          <cell r="R737" t="str">
            <v>N/A</v>
          </cell>
          <cell r="S737" t="str">
            <v>No</v>
          </cell>
          <cell r="T737" t="str">
            <v>N/A</v>
          </cell>
        </row>
        <row r="738">
          <cell r="M738" t="str">
            <v>Straight Upholstered PelmetInside Window MountChain Winder 60mm</v>
          </cell>
          <cell r="N738">
            <v>0</v>
          </cell>
          <cell r="O738" t="str">
            <v>N/A</v>
          </cell>
          <cell r="P738" t="str">
            <v>N/A</v>
          </cell>
          <cell r="Q738" t="str">
            <v>N/A</v>
          </cell>
          <cell r="R738" t="str">
            <v>N/A</v>
          </cell>
          <cell r="S738" t="str">
            <v>No</v>
          </cell>
          <cell r="T738" t="str">
            <v>N/A</v>
          </cell>
        </row>
        <row r="739">
          <cell r="M739" t="str">
            <v>Shaped Upholstered PelmetInside Window MountChain Winder 60mm</v>
          </cell>
          <cell r="N739">
            <v>0</v>
          </cell>
          <cell r="O739" t="str">
            <v>N/A</v>
          </cell>
          <cell r="P739" t="str">
            <v>N/A</v>
          </cell>
          <cell r="Q739" t="str">
            <v>N/A</v>
          </cell>
          <cell r="R739" t="str">
            <v>N/A</v>
          </cell>
          <cell r="S739" t="str">
            <v>No</v>
          </cell>
          <cell r="T739" t="str">
            <v>N/A</v>
          </cell>
        </row>
        <row r="740">
          <cell r="M740" t="str">
            <v>Aluminium PelmetInside Window MountChain Winder 60mm</v>
          </cell>
          <cell r="N740">
            <v>0</v>
          </cell>
          <cell r="O740">
            <v>0</v>
          </cell>
          <cell r="P740" t="str">
            <v>N/A</v>
          </cell>
          <cell r="Q740" t="str">
            <v>N/A</v>
          </cell>
          <cell r="R740" t="str">
            <v>No</v>
          </cell>
          <cell r="S740" t="str">
            <v>No</v>
          </cell>
          <cell r="T740" t="str">
            <v>Yes</v>
          </cell>
        </row>
        <row r="741">
          <cell r="M741" t="str">
            <v>Square CassetteInside Window MountChain Winder 60mm</v>
          </cell>
          <cell r="N741">
            <v>10</v>
          </cell>
          <cell r="O741">
            <v>14</v>
          </cell>
          <cell r="P741">
            <v>29</v>
          </cell>
          <cell r="Q741" t="str">
            <v>N/A</v>
          </cell>
          <cell r="R741" t="str">
            <v>No</v>
          </cell>
          <cell r="S741" t="str">
            <v>No</v>
          </cell>
          <cell r="T741" t="str">
            <v>No</v>
          </cell>
        </row>
        <row r="742">
          <cell r="M742" t="str">
            <v>Square Cassette with Side ChannelsInside Window MountChain Winder 60mm</v>
          </cell>
          <cell r="N742">
            <v>10</v>
          </cell>
          <cell r="O742">
            <v>14</v>
          </cell>
          <cell r="P742">
            <v>29</v>
          </cell>
          <cell r="Q742">
            <v>88</v>
          </cell>
          <cell r="R742" t="str">
            <v>No</v>
          </cell>
          <cell r="S742" t="str">
            <v>Yes</v>
          </cell>
          <cell r="T742" t="str">
            <v>No</v>
          </cell>
        </row>
        <row r="743">
          <cell r="M743" t="str">
            <v>Round CassetteInside Window MountChain Winder 60mm</v>
          </cell>
          <cell r="N743">
            <v>10</v>
          </cell>
          <cell r="O743">
            <v>14</v>
          </cell>
          <cell r="P743">
            <v>29</v>
          </cell>
          <cell r="Q743" t="str">
            <v>N/A</v>
          </cell>
          <cell r="R743" t="str">
            <v>No</v>
          </cell>
          <cell r="S743" t="str">
            <v>No</v>
          </cell>
          <cell r="T743" t="str">
            <v>No</v>
          </cell>
        </row>
        <row r="744">
          <cell r="M744" t="str">
            <v>Round Cassette with Side ChannelsInside Window MountChain Winder 60mm</v>
          </cell>
          <cell r="N744">
            <v>10</v>
          </cell>
          <cell r="O744">
            <v>14</v>
          </cell>
          <cell r="P744">
            <v>29</v>
          </cell>
          <cell r="Q744">
            <v>88</v>
          </cell>
          <cell r="R744" t="str">
            <v>No</v>
          </cell>
          <cell r="S744" t="str">
            <v>Yes</v>
          </cell>
          <cell r="T744" t="str">
            <v>No</v>
          </cell>
        </row>
        <row r="745">
          <cell r="M745" t="str">
            <v>Aluminium ValanceInside Window MountChain Winder 60mm</v>
          </cell>
          <cell r="N745">
            <v>0</v>
          </cell>
          <cell r="O745" t="str">
            <v>N/A</v>
          </cell>
          <cell r="P745">
            <v>0</v>
          </cell>
          <cell r="Q745" t="str">
            <v>N/A</v>
          </cell>
          <cell r="R745" t="str">
            <v>No</v>
          </cell>
          <cell r="S745" t="str">
            <v>No</v>
          </cell>
          <cell r="T745" t="str">
            <v>Yes</v>
          </cell>
        </row>
        <row r="746">
          <cell r="M746" t="str">
            <v>Aluminium Valance - Fabric CoveredInside Window MountChain Winder 60mm</v>
          </cell>
          <cell r="N746">
            <v>0</v>
          </cell>
          <cell r="O746" t="str">
            <v>N/A</v>
          </cell>
          <cell r="P746">
            <v>0</v>
          </cell>
          <cell r="Q746" t="str">
            <v>N/A</v>
          </cell>
          <cell r="R746" t="str">
            <v>No</v>
          </cell>
          <cell r="S746" t="str">
            <v>No</v>
          </cell>
          <cell r="T746" t="str">
            <v>Yes</v>
          </cell>
        </row>
        <row r="747">
          <cell r="M747" t="str">
            <v>Side ChannelsInside Window MountChain Winder 60mm</v>
          </cell>
          <cell r="N747">
            <v>10</v>
          </cell>
          <cell r="O747" t="str">
            <v>N/A</v>
          </cell>
          <cell r="P747" t="str">
            <v>N/A</v>
          </cell>
          <cell r="Q747">
            <v>60</v>
          </cell>
          <cell r="R747" t="str">
            <v>N/A</v>
          </cell>
          <cell r="S747" t="str">
            <v>No</v>
          </cell>
          <cell r="T747" t="str">
            <v>N/A</v>
          </cell>
        </row>
        <row r="748">
          <cell r="M748" t="str">
            <v>Zipscreen HoodingInside Window MountChain Winder 60mm</v>
          </cell>
          <cell r="N748">
            <v>17</v>
          </cell>
          <cell r="O748">
            <v>66</v>
          </cell>
          <cell r="P748">
            <v>66</v>
          </cell>
          <cell r="Q748" t="str">
            <v>N/A</v>
          </cell>
          <cell r="R748" t="str">
            <v>N/A</v>
          </cell>
          <cell r="S748" t="str">
            <v>No</v>
          </cell>
          <cell r="T748" t="str">
            <v>N/A</v>
          </cell>
        </row>
        <row r="749">
          <cell r="M749" t="str">
            <v>NoneInside Window MountChain Winder Fixed Guide</v>
          </cell>
          <cell r="N749">
            <v>0</v>
          </cell>
          <cell r="O749" t="str">
            <v>N/A</v>
          </cell>
          <cell r="P749" t="str">
            <v>N/A</v>
          </cell>
          <cell r="Q749" t="str">
            <v>N/A</v>
          </cell>
          <cell r="R749" t="str">
            <v>N/A</v>
          </cell>
          <cell r="S749" t="str">
            <v>No</v>
          </cell>
          <cell r="T749" t="str">
            <v>N/A</v>
          </cell>
        </row>
        <row r="750">
          <cell r="M750" t="str">
            <v>Straight Upholstered PelmetInside Window MountChain Winder Fixed Guide</v>
          </cell>
          <cell r="N750">
            <v>0</v>
          </cell>
          <cell r="O750" t="str">
            <v>N/A</v>
          </cell>
          <cell r="P750" t="str">
            <v>N/A</v>
          </cell>
          <cell r="Q750" t="str">
            <v>N/A</v>
          </cell>
          <cell r="R750" t="str">
            <v>N/A</v>
          </cell>
          <cell r="S750" t="str">
            <v>No</v>
          </cell>
          <cell r="T750" t="str">
            <v>N/A</v>
          </cell>
        </row>
        <row r="751">
          <cell r="M751" t="str">
            <v>Shaped Upholstered PelmetInside Window MountChain Winder Fixed Guide</v>
          </cell>
          <cell r="N751">
            <v>0</v>
          </cell>
          <cell r="O751" t="str">
            <v>N/A</v>
          </cell>
          <cell r="P751" t="str">
            <v>N/A</v>
          </cell>
          <cell r="Q751" t="str">
            <v>N/A</v>
          </cell>
          <cell r="R751" t="str">
            <v>N/A</v>
          </cell>
          <cell r="S751" t="str">
            <v>No</v>
          </cell>
          <cell r="T751" t="str">
            <v>N/A</v>
          </cell>
        </row>
        <row r="752">
          <cell r="M752" t="str">
            <v>Aluminium PelmetInside Window MountChain Winder Fixed Guide</v>
          </cell>
          <cell r="N752">
            <v>0</v>
          </cell>
          <cell r="O752">
            <v>0</v>
          </cell>
          <cell r="P752" t="str">
            <v>N/A</v>
          </cell>
          <cell r="Q752" t="str">
            <v>N/A</v>
          </cell>
          <cell r="R752" t="str">
            <v>No</v>
          </cell>
          <cell r="S752" t="str">
            <v>No</v>
          </cell>
          <cell r="T752" t="str">
            <v>Yes</v>
          </cell>
        </row>
        <row r="753">
          <cell r="M753" t="str">
            <v>Square CassetteInside Window MountChain Winder Fixed Guide</v>
          </cell>
          <cell r="N753">
            <v>10</v>
          </cell>
          <cell r="O753">
            <v>14</v>
          </cell>
          <cell r="P753">
            <v>29</v>
          </cell>
          <cell r="Q753" t="str">
            <v>N/A</v>
          </cell>
          <cell r="R753" t="str">
            <v>No</v>
          </cell>
          <cell r="S753" t="str">
            <v>No</v>
          </cell>
          <cell r="T753" t="str">
            <v>No</v>
          </cell>
        </row>
        <row r="754">
          <cell r="M754" t="str">
            <v>Square Cassette with Side ChannelsInside Window MountChain Winder Fixed Guide</v>
          </cell>
          <cell r="N754">
            <v>10</v>
          </cell>
          <cell r="O754">
            <v>14</v>
          </cell>
          <cell r="P754">
            <v>29</v>
          </cell>
          <cell r="Q754">
            <v>88</v>
          </cell>
          <cell r="R754" t="str">
            <v>No</v>
          </cell>
          <cell r="S754" t="str">
            <v>Yes</v>
          </cell>
          <cell r="T754" t="str">
            <v>No</v>
          </cell>
        </row>
        <row r="755">
          <cell r="M755" t="str">
            <v>Round CassetteInside Window MountChain Winder Fixed Guide</v>
          </cell>
          <cell r="N755">
            <v>10</v>
          </cell>
          <cell r="O755">
            <v>14</v>
          </cell>
          <cell r="P755">
            <v>29</v>
          </cell>
          <cell r="Q755" t="str">
            <v>N/A</v>
          </cell>
          <cell r="R755" t="str">
            <v>No</v>
          </cell>
          <cell r="S755" t="str">
            <v>No</v>
          </cell>
          <cell r="T755" t="str">
            <v>No</v>
          </cell>
        </row>
        <row r="756">
          <cell r="M756" t="str">
            <v>Round Cassette with Side ChannelsInside Window MountChain Winder Fixed Guide</v>
          </cell>
          <cell r="N756">
            <v>10</v>
          </cell>
          <cell r="O756">
            <v>14</v>
          </cell>
          <cell r="P756">
            <v>29</v>
          </cell>
          <cell r="Q756">
            <v>88</v>
          </cell>
          <cell r="R756" t="str">
            <v>No</v>
          </cell>
          <cell r="S756" t="str">
            <v>Yes</v>
          </cell>
          <cell r="T756" t="str">
            <v>No</v>
          </cell>
        </row>
        <row r="757">
          <cell r="M757" t="str">
            <v>Aluminium ValanceInside Window MountChain Winder Fixed Guide</v>
          </cell>
          <cell r="N757">
            <v>0</v>
          </cell>
          <cell r="O757" t="str">
            <v>N/A</v>
          </cell>
          <cell r="P757">
            <v>0</v>
          </cell>
          <cell r="Q757" t="str">
            <v>N/A</v>
          </cell>
          <cell r="R757" t="str">
            <v>No</v>
          </cell>
          <cell r="S757" t="str">
            <v>No</v>
          </cell>
          <cell r="T757" t="str">
            <v>Yes</v>
          </cell>
        </row>
        <row r="758">
          <cell r="M758" t="str">
            <v>Aluminium Valance - Fabric CoveredInside Window MountChain Winder Fixed Guide</v>
          </cell>
          <cell r="N758">
            <v>0</v>
          </cell>
          <cell r="O758" t="str">
            <v>N/A</v>
          </cell>
          <cell r="P758">
            <v>0</v>
          </cell>
          <cell r="Q758" t="str">
            <v>N/A</v>
          </cell>
          <cell r="R758" t="str">
            <v>No</v>
          </cell>
          <cell r="S758" t="str">
            <v>No</v>
          </cell>
          <cell r="T758" t="str">
            <v>Yes</v>
          </cell>
        </row>
        <row r="759">
          <cell r="M759" t="str">
            <v>Side ChannelsInside Window MountChain Winder Fixed Guide</v>
          </cell>
          <cell r="N759">
            <v>10</v>
          </cell>
          <cell r="O759" t="str">
            <v>N/A</v>
          </cell>
          <cell r="P759" t="str">
            <v>N/A</v>
          </cell>
          <cell r="Q759">
            <v>60</v>
          </cell>
          <cell r="R759" t="str">
            <v>N/A</v>
          </cell>
          <cell r="S759" t="str">
            <v>No</v>
          </cell>
          <cell r="T759" t="str">
            <v>N/A</v>
          </cell>
        </row>
        <row r="760">
          <cell r="M760" t="str">
            <v>Zipscreen HoodingInside Window MountChain Winder Fixed Guide</v>
          </cell>
          <cell r="N760">
            <v>17</v>
          </cell>
          <cell r="O760">
            <v>66</v>
          </cell>
          <cell r="P760">
            <v>66</v>
          </cell>
          <cell r="Q760" t="str">
            <v>N/A</v>
          </cell>
          <cell r="R760" t="str">
            <v>N/A</v>
          </cell>
          <cell r="S760" t="str">
            <v>No</v>
          </cell>
          <cell r="T760" t="str">
            <v>N/A</v>
          </cell>
        </row>
        <row r="761">
          <cell r="M761" t="str">
            <v>NoneInside Window MountLinked</v>
          </cell>
          <cell r="N761">
            <v>0</v>
          </cell>
          <cell r="O761" t="str">
            <v>N/A</v>
          </cell>
          <cell r="P761" t="str">
            <v>N/A</v>
          </cell>
          <cell r="Q761" t="str">
            <v>N/A</v>
          </cell>
          <cell r="R761" t="str">
            <v>N/A</v>
          </cell>
          <cell r="S761" t="str">
            <v>No</v>
          </cell>
          <cell r="T761" t="str">
            <v>N/A</v>
          </cell>
        </row>
        <row r="762">
          <cell r="M762" t="str">
            <v>Straight Upholstered PelmetInside Window MountLinked</v>
          </cell>
          <cell r="N762">
            <v>0</v>
          </cell>
          <cell r="O762" t="str">
            <v>N/A</v>
          </cell>
          <cell r="P762" t="str">
            <v>N/A</v>
          </cell>
          <cell r="Q762" t="str">
            <v>N/A</v>
          </cell>
          <cell r="R762" t="str">
            <v>N/A</v>
          </cell>
          <cell r="S762" t="str">
            <v>No</v>
          </cell>
          <cell r="T762" t="str">
            <v>N/A</v>
          </cell>
        </row>
        <row r="763">
          <cell r="M763" t="str">
            <v>Shaped Upholstered PelmetInside Window MountLinked</v>
          </cell>
          <cell r="N763">
            <v>0</v>
          </cell>
          <cell r="O763" t="str">
            <v>N/A</v>
          </cell>
          <cell r="P763" t="str">
            <v>N/A</v>
          </cell>
          <cell r="Q763" t="str">
            <v>N/A</v>
          </cell>
          <cell r="R763" t="str">
            <v>N/A</v>
          </cell>
          <cell r="S763" t="str">
            <v>No</v>
          </cell>
          <cell r="T763" t="str">
            <v>N/A</v>
          </cell>
        </row>
        <row r="764">
          <cell r="M764" t="str">
            <v>Aluminium PelmetInside Window MountLinked</v>
          </cell>
          <cell r="N764">
            <v>0</v>
          </cell>
          <cell r="O764">
            <v>0</v>
          </cell>
          <cell r="P764" t="str">
            <v>N/A</v>
          </cell>
          <cell r="Q764" t="str">
            <v>N/A</v>
          </cell>
          <cell r="R764" t="str">
            <v>No</v>
          </cell>
          <cell r="S764" t="str">
            <v>No</v>
          </cell>
          <cell r="T764" t="str">
            <v>Yes</v>
          </cell>
        </row>
        <row r="765">
          <cell r="M765" t="str">
            <v>Square CassetteInside Window MountLinked</v>
          </cell>
          <cell r="N765">
            <v>10</v>
          </cell>
          <cell r="O765">
            <v>14</v>
          </cell>
          <cell r="P765">
            <v>14</v>
          </cell>
          <cell r="Q765" t="str">
            <v>N/A</v>
          </cell>
          <cell r="R765" t="str">
            <v>No</v>
          </cell>
          <cell r="S765" t="str">
            <v>No</v>
          </cell>
          <cell r="T765" t="str">
            <v>No</v>
          </cell>
        </row>
        <row r="766">
          <cell r="M766" t="str">
            <v>Square Cassette with Side ChannelsInside Window MountLinked</v>
          </cell>
          <cell r="N766">
            <v>10</v>
          </cell>
          <cell r="O766">
            <v>14</v>
          </cell>
          <cell r="P766">
            <v>14</v>
          </cell>
          <cell r="Q766">
            <v>88</v>
          </cell>
          <cell r="R766" t="str">
            <v>No</v>
          </cell>
          <cell r="S766" t="str">
            <v>Yes</v>
          </cell>
          <cell r="T766" t="str">
            <v>No</v>
          </cell>
        </row>
        <row r="767">
          <cell r="M767" t="str">
            <v>Round CassetteInside Window MountLinked</v>
          </cell>
          <cell r="N767">
            <v>10</v>
          </cell>
          <cell r="O767">
            <v>14</v>
          </cell>
          <cell r="P767">
            <v>14</v>
          </cell>
          <cell r="Q767" t="str">
            <v>N/A</v>
          </cell>
          <cell r="R767" t="str">
            <v>No</v>
          </cell>
          <cell r="S767" t="str">
            <v>No</v>
          </cell>
          <cell r="T767" t="str">
            <v>No</v>
          </cell>
        </row>
        <row r="768">
          <cell r="M768" t="str">
            <v>Round Cassette with Side ChannelsInside Window MountLinked</v>
          </cell>
          <cell r="N768">
            <v>10</v>
          </cell>
          <cell r="O768">
            <v>14</v>
          </cell>
          <cell r="P768">
            <v>14</v>
          </cell>
          <cell r="Q768">
            <v>88</v>
          </cell>
          <cell r="R768" t="str">
            <v>No</v>
          </cell>
          <cell r="S768" t="str">
            <v>Yes</v>
          </cell>
          <cell r="T768" t="str">
            <v>No</v>
          </cell>
        </row>
        <row r="769">
          <cell r="M769" t="str">
            <v>Aluminium ValanceInside Window MountLinked</v>
          </cell>
          <cell r="N769">
            <v>0</v>
          </cell>
          <cell r="O769" t="str">
            <v>N/A</v>
          </cell>
          <cell r="P769">
            <v>0</v>
          </cell>
          <cell r="Q769" t="str">
            <v>N/A</v>
          </cell>
          <cell r="R769" t="str">
            <v>No</v>
          </cell>
          <cell r="S769" t="str">
            <v>No</v>
          </cell>
          <cell r="T769" t="str">
            <v>Yes</v>
          </cell>
        </row>
        <row r="770">
          <cell r="M770" t="str">
            <v>Aluminium Valance - Fabric CoveredInside Window MountLinked</v>
          </cell>
          <cell r="N770">
            <v>0</v>
          </cell>
          <cell r="O770" t="str">
            <v>N/A</v>
          </cell>
          <cell r="P770">
            <v>0</v>
          </cell>
          <cell r="Q770" t="str">
            <v>N/A</v>
          </cell>
          <cell r="R770" t="str">
            <v>No</v>
          </cell>
          <cell r="S770" t="str">
            <v>No</v>
          </cell>
          <cell r="T770" t="str">
            <v>Yes</v>
          </cell>
        </row>
        <row r="771">
          <cell r="M771" t="str">
            <v>Side ChannelsInside Window MountLinked</v>
          </cell>
          <cell r="N771">
            <v>10</v>
          </cell>
          <cell r="O771" t="str">
            <v>N/A</v>
          </cell>
          <cell r="P771" t="str">
            <v>N/A</v>
          </cell>
          <cell r="Q771">
            <v>60</v>
          </cell>
          <cell r="R771" t="str">
            <v>N/A</v>
          </cell>
          <cell r="S771" t="str">
            <v>No</v>
          </cell>
          <cell r="T771" t="str">
            <v>N/A</v>
          </cell>
        </row>
        <row r="772">
          <cell r="M772" t="str">
            <v>Zipscreen HoodingInside Window MountLinked</v>
          </cell>
          <cell r="N772">
            <v>17</v>
          </cell>
          <cell r="O772">
            <v>66</v>
          </cell>
          <cell r="P772">
            <v>66</v>
          </cell>
          <cell r="Q772" t="str">
            <v>N/A</v>
          </cell>
          <cell r="R772" t="str">
            <v>N/A</v>
          </cell>
          <cell r="S772" t="str">
            <v>No</v>
          </cell>
          <cell r="T772" t="str">
            <v>N/A</v>
          </cell>
        </row>
        <row r="773">
          <cell r="M773" t="str">
            <v>NoneInside Window MountStandard Spring</v>
          </cell>
          <cell r="N773">
            <v>0</v>
          </cell>
          <cell r="O773" t="str">
            <v>N/A</v>
          </cell>
          <cell r="P773" t="str">
            <v>N/A</v>
          </cell>
          <cell r="Q773" t="str">
            <v>N/A</v>
          </cell>
          <cell r="R773" t="str">
            <v>N/A</v>
          </cell>
          <cell r="S773" t="str">
            <v>No</v>
          </cell>
          <cell r="T773" t="str">
            <v>N/A</v>
          </cell>
        </row>
        <row r="774">
          <cell r="M774" t="str">
            <v>Straight Upholstered PelmetInside Window MountStandard Spring</v>
          </cell>
          <cell r="N774">
            <v>0</v>
          </cell>
          <cell r="O774" t="str">
            <v>N/A</v>
          </cell>
          <cell r="P774" t="str">
            <v>N/A</v>
          </cell>
          <cell r="Q774" t="str">
            <v>N/A</v>
          </cell>
          <cell r="R774" t="str">
            <v>N/A</v>
          </cell>
          <cell r="S774" t="str">
            <v>No</v>
          </cell>
          <cell r="T774" t="str">
            <v>N/A</v>
          </cell>
        </row>
        <row r="775">
          <cell r="M775" t="str">
            <v>Shaped Upholstered PelmetInside Window MountStandard Spring</v>
          </cell>
          <cell r="N775">
            <v>0</v>
          </cell>
          <cell r="O775" t="str">
            <v>N/A</v>
          </cell>
          <cell r="P775" t="str">
            <v>N/A</v>
          </cell>
          <cell r="Q775" t="str">
            <v>N/A</v>
          </cell>
          <cell r="R775" t="str">
            <v>N/A</v>
          </cell>
          <cell r="S775" t="str">
            <v>No</v>
          </cell>
          <cell r="T775" t="str">
            <v>N/A</v>
          </cell>
        </row>
        <row r="776">
          <cell r="M776" t="str">
            <v>Aluminium PelmetInside Window MountStandard Spring</v>
          </cell>
          <cell r="N776">
            <v>0</v>
          </cell>
          <cell r="O776">
            <v>0</v>
          </cell>
          <cell r="P776" t="str">
            <v>N/A</v>
          </cell>
          <cell r="Q776" t="str">
            <v>N/A</v>
          </cell>
          <cell r="R776" t="str">
            <v>No</v>
          </cell>
          <cell r="S776" t="str">
            <v>No</v>
          </cell>
          <cell r="T776" t="str">
            <v>Yes</v>
          </cell>
        </row>
        <row r="777">
          <cell r="M777" t="str">
            <v>Square CassetteInside Window MountStandard Spring</v>
          </cell>
          <cell r="N777">
            <v>10</v>
          </cell>
          <cell r="O777">
            <v>14</v>
          </cell>
          <cell r="P777">
            <v>14</v>
          </cell>
          <cell r="Q777" t="str">
            <v>N/A</v>
          </cell>
          <cell r="R777" t="str">
            <v>No</v>
          </cell>
          <cell r="S777" t="str">
            <v>No</v>
          </cell>
          <cell r="T777" t="str">
            <v>No</v>
          </cell>
        </row>
        <row r="778">
          <cell r="M778" t="str">
            <v>Square Cassette with Side ChannelsInside Window MountStandard Spring</v>
          </cell>
          <cell r="N778">
            <v>10</v>
          </cell>
          <cell r="O778">
            <v>14</v>
          </cell>
          <cell r="P778">
            <v>14</v>
          </cell>
          <cell r="Q778">
            <v>88</v>
          </cell>
          <cell r="R778" t="str">
            <v>No</v>
          </cell>
          <cell r="S778" t="str">
            <v>Yes</v>
          </cell>
          <cell r="T778" t="str">
            <v>No</v>
          </cell>
        </row>
        <row r="779">
          <cell r="M779" t="str">
            <v>Round CassetteInside Window MountStandard Spring</v>
          </cell>
          <cell r="N779">
            <v>10</v>
          </cell>
          <cell r="O779">
            <v>14</v>
          </cell>
          <cell r="P779">
            <v>14</v>
          </cell>
          <cell r="Q779" t="str">
            <v>N/A</v>
          </cell>
          <cell r="R779" t="str">
            <v>No</v>
          </cell>
          <cell r="S779" t="str">
            <v>No</v>
          </cell>
          <cell r="T779" t="str">
            <v>No</v>
          </cell>
        </row>
        <row r="780">
          <cell r="M780" t="str">
            <v>Round Cassette with Side ChannelsInside Window MountStandard Spring</v>
          </cell>
          <cell r="N780">
            <v>10</v>
          </cell>
          <cell r="O780">
            <v>14</v>
          </cell>
          <cell r="P780">
            <v>14</v>
          </cell>
          <cell r="Q780">
            <v>88</v>
          </cell>
          <cell r="R780" t="str">
            <v>No</v>
          </cell>
          <cell r="S780" t="str">
            <v>Yes</v>
          </cell>
          <cell r="T780" t="str">
            <v>No</v>
          </cell>
        </row>
        <row r="781">
          <cell r="M781" t="str">
            <v>Aluminium ValanceInside Window MountStandard Spring</v>
          </cell>
          <cell r="N781">
            <v>0</v>
          </cell>
          <cell r="O781" t="str">
            <v>N/A</v>
          </cell>
          <cell r="P781">
            <v>0</v>
          </cell>
          <cell r="Q781" t="str">
            <v>N/A</v>
          </cell>
          <cell r="R781" t="str">
            <v>No</v>
          </cell>
          <cell r="S781" t="str">
            <v>No</v>
          </cell>
          <cell r="T781" t="str">
            <v>Yes</v>
          </cell>
        </row>
        <row r="782">
          <cell r="M782" t="str">
            <v>Aluminium Valance - Fabric CoveredInside Window MountStandard Spring</v>
          </cell>
          <cell r="N782">
            <v>0</v>
          </cell>
          <cell r="O782" t="str">
            <v>N/A</v>
          </cell>
          <cell r="P782">
            <v>0</v>
          </cell>
          <cell r="Q782" t="str">
            <v>N/A</v>
          </cell>
          <cell r="R782" t="str">
            <v>No</v>
          </cell>
          <cell r="S782" t="str">
            <v>No</v>
          </cell>
          <cell r="T782" t="str">
            <v>Yes</v>
          </cell>
        </row>
        <row r="783">
          <cell r="M783" t="str">
            <v>Side ChannelsInside Window MountStandard Spring</v>
          </cell>
          <cell r="N783">
            <v>10</v>
          </cell>
          <cell r="O783" t="str">
            <v>N/A</v>
          </cell>
          <cell r="P783" t="str">
            <v>N/A</v>
          </cell>
          <cell r="Q783">
            <v>60</v>
          </cell>
          <cell r="R783" t="str">
            <v>N/A</v>
          </cell>
          <cell r="S783" t="str">
            <v>No</v>
          </cell>
          <cell r="T783" t="str">
            <v>N/A</v>
          </cell>
        </row>
        <row r="784">
          <cell r="M784" t="str">
            <v>Zipscreen HoodingInside Window MountStandard Spring</v>
          </cell>
          <cell r="N784">
            <v>17</v>
          </cell>
          <cell r="O784">
            <v>66</v>
          </cell>
          <cell r="P784">
            <v>66</v>
          </cell>
          <cell r="Q784" t="str">
            <v>N/A</v>
          </cell>
          <cell r="R784" t="str">
            <v>N/A</v>
          </cell>
          <cell r="S784" t="str">
            <v>No</v>
          </cell>
          <cell r="T784" t="str">
            <v>N/A</v>
          </cell>
        </row>
        <row r="785">
          <cell r="M785" t="str">
            <v>NoneInside Window MountSmall Spring</v>
          </cell>
          <cell r="N785">
            <v>0</v>
          </cell>
          <cell r="O785" t="str">
            <v>N/A</v>
          </cell>
          <cell r="P785" t="str">
            <v>N/A</v>
          </cell>
          <cell r="Q785" t="str">
            <v>N/A</v>
          </cell>
          <cell r="R785" t="str">
            <v>N/A</v>
          </cell>
          <cell r="S785" t="str">
            <v>No</v>
          </cell>
          <cell r="T785" t="str">
            <v>N/A</v>
          </cell>
        </row>
        <row r="786">
          <cell r="M786" t="str">
            <v>Straight Upholstered PelmetInside Window MountSmall Spring</v>
          </cell>
          <cell r="N786">
            <v>0</v>
          </cell>
          <cell r="O786" t="str">
            <v>N/A</v>
          </cell>
          <cell r="P786" t="str">
            <v>N/A</v>
          </cell>
          <cell r="Q786" t="str">
            <v>N/A</v>
          </cell>
          <cell r="R786" t="str">
            <v>N/A</v>
          </cell>
          <cell r="S786" t="str">
            <v>No</v>
          </cell>
          <cell r="T786" t="str">
            <v>N/A</v>
          </cell>
        </row>
        <row r="787">
          <cell r="M787" t="str">
            <v>Shaped Upholstered PelmetInside Window MountSmall Spring</v>
          </cell>
          <cell r="N787">
            <v>0</v>
          </cell>
          <cell r="O787" t="str">
            <v>N/A</v>
          </cell>
          <cell r="P787" t="str">
            <v>N/A</v>
          </cell>
          <cell r="Q787" t="str">
            <v>N/A</v>
          </cell>
          <cell r="R787" t="str">
            <v>N/A</v>
          </cell>
          <cell r="S787" t="str">
            <v>No</v>
          </cell>
          <cell r="T787" t="str">
            <v>N/A</v>
          </cell>
        </row>
        <row r="788">
          <cell r="M788" t="str">
            <v>Aluminium PelmetInside Window MountSmall Spring</v>
          </cell>
          <cell r="N788">
            <v>0</v>
          </cell>
          <cell r="O788">
            <v>0</v>
          </cell>
          <cell r="P788" t="str">
            <v>N/A</v>
          </cell>
          <cell r="Q788" t="str">
            <v>N/A</v>
          </cell>
          <cell r="R788" t="str">
            <v>No</v>
          </cell>
          <cell r="S788" t="str">
            <v>No</v>
          </cell>
          <cell r="T788" t="str">
            <v>Yes</v>
          </cell>
        </row>
        <row r="789">
          <cell r="M789" t="str">
            <v>Square CassetteInside Window MountSmall Spring</v>
          </cell>
          <cell r="N789">
            <v>10</v>
          </cell>
          <cell r="O789">
            <v>14</v>
          </cell>
          <cell r="P789">
            <v>14</v>
          </cell>
          <cell r="Q789" t="str">
            <v>N/A</v>
          </cell>
          <cell r="R789" t="str">
            <v>No</v>
          </cell>
          <cell r="S789" t="str">
            <v>No</v>
          </cell>
          <cell r="T789" t="str">
            <v>No</v>
          </cell>
        </row>
        <row r="790">
          <cell r="M790" t="str">
            <v>Square Cassette with Side ChannelsInside Window MountSmall Spring</v>
          </cell>
          <cell r="N790">
            <v>10</v>
          </cell>
          <cell r="O790">
            <v>14</v>
          </cell>
          <cell r="P790">
            <v>14</v>
          </cell>
          <cell r="Q790">
            <v>88</v>
          </cell>
          <cell r="R790" t="str">
            <v>No</v>
          </cell>
          <cell r="S790" t="str">
            <v>Yes</v>
          </cell>
          <cell r="T790" t="str">
            <v>No</v>
          </cell>
        </row>
        <row r="791">
          <cell r="M791" t="str">
            <v>Round CassetteInside Window MountSmall Spring</v>
          </cell>
          <cell r="N791">
            <v>10</v>
          </cell>
          <cell r="O791">
            <v>14</v>
          </cell>
          <cell r="P791">
            <v>14</v>
          </cell>
          <cell r="Q791" t="str">
            <v>N/A</v>
          </cell>
          <cell r="R791" t="str">
            <v>No</v>
          </cell>
          <cell r="S791" t="str">
            <v>No</v>
          </cell>
          <cell r="T791" t="str">
            <v>No</v>
          </cell>
        </row>
        <row r="792">
          <cell r="M792" t="str">
            <v>Round Cassette with Side ChannelsInside Window MountSmall Spring</v>
          </cell>
          <cell r="N792">
            <v>10</v>
          </cell>
          <cell r="O792">
            <v>14</v>
          </cell>
          <cell r="P792">
            <v>14</v>
          </cell>
          <cell r="Q792">
            <v>88</v>
          </cell>
          <cell r="R792" t="str">
            <v>No</v>
          </cell>
          <cell r="S792" t="str">
            <v>Yes</v>
          </cell>
          <cell r="T792" t="str">
            <v>No</v>
          </cell>
        </row>
        <row r="793">
          <cell r="M793" t="str">
            <v>Aluminium ValanceInside Window MountSmall Spring</v>
          </cell>
          <cell r="N793">
            <v>0</v>
          </cell>
          <cell r="O793" t="str">
            <v>N/A</v>
          </cell>
          <cell r="P793">
            <v>0</v>
          </cell>
          <cell r="Q793" t="str">
            <v>N/A</v>
          </cell>
          <cell r="R793" t="str">
            <v>No</v>
          </cell>
          <cell r="S793" t="str">
            <v>No</v>
          </cell>
          <cell r="T793" t="str">
            <v>Yes</v>
          </cell>
        </row>
        <row r="794">
          <cell r="M794" t="str">
            <v>Aluminium Valance - Fabric CoveredInside Window MountSmall Spring</v>
          </cell>
          <cell r="N794">
            <v>0</v>
          </cell>
          <cell r="O794" t="str">
            <v>N/A</v>
          </cell>
          <cell r="P794">
            <v>0</v>
          </cell>
          <cell r="Q794" t="str">
            <v>N/A</v>
          </cell>
          <cell r="R794" t="str">
            <v>No</v>
          </cell>
          <cell r="S794" t="str">
            <v>No</v>
          </cell>
          <cell r="T794" t="str">
            <v>Yes</v>
          </cell>
        </row>
        <row r="795">
          <cell r="M795" t="str">
            <v>Side ChannelsInside Window MountSmall Spring</v>
          </cell>
          <cell r="N795">
            <v>10</v>
          </cell>
          <cell r="O795" t="str">
            <v>N/A</v>
          </cell>
          <cell r="P795" t="str">
            <v>N/A</v>
          </cell>
          <cell r="Q795">
            <v>60</v>
          </cell>
          <cell r="R795" t="str">
            <v>N/A</v>
          </cell>
          <cell r="S795" t="str">
            <v>No</v>
          </cell>
          <cell r="T795" t="str">
            <v>N/A</v>
          </cell>
        </row>
        <row r="796">
          <cell r="M796" t="str">
            <v>Zipscreen HoodingInside Window MountSmall Spring</v>
          </cell>
          <cell r="N796">
            <v>17</v>
          </cell>
          <cell r="O796">
            <v>66</v>
          </cell>
          <cell r="P796">
            <v>66</v>
          </cell>
          <cell r="Q796" t="str">
            <v>N/A</v>
          </cell>
          <cell r="R796" t="str">
            <v>N/A</v>
          </cell>
          <cell r="S796" t="str">
            <v>No</v>
          </cell>
          <cell r="T796" t="str">
            <v>N/A</v>
          </cell>
        </row>
        <row r="797">
          <cell r="M797" t="str">
            <v>NoneInside Window MountUniline Spring (Old Style)</v>
          </cell>
          <cell r="N797">
            <v>0</v>
          </cell>
          <cell r="O797" t="str">
            <v>N/A</v>
          </cell>
          <cell r="P797" t="str">
            <v>N/A</v>
          </cell>
          <cell r="Q797" t="str">
            <v>N/A</v>
          </cell>
          <cell r="R797" t="str">
            <v>N/A</v>
          </cell>
          <cell r="S797" t="str">
            <v>No</v>
          </cell>
          <cell r="T797" t="str">
            <v>N/A</v>
          </cell>
        </row>
        <row r="798">
          <cell r="M798" t="str">
            <v>Straight Upholstered PelmetInside Window MountUniline Spring (Old Style)</v>
          </cell>
          <cell r="N798">
            <v>0</v>
          </cell>
          <cell r="O798" t="str">
            <v>N/A</v>
          </cell>
          <cell r="P798" t="str">
            <v>N/A</v>
          </cell>
          <cell r="Q798" t="str">
            <v>N/A</v>
          </cell>
          <cell r="R798" t="str">
            <v>N/A</v>
          </cell>
          <cell r="S798" t="str">
            <v>No</v>
          </cell>
          <cell r="T798" t="str">
            <v>N/A</v>
          </cell>
        </row>
        <row r="799">
          <cell r="M799" t="str">
            <v>Shaped Upholstered PelmetInside Window MountUniline Spring (Old Style)</v>
          </cell>
          <cell r="N799">
            <v>0</v>
          </cell>
          <cell r="O799" t="str">
            <v>N/A</v>
          </cell>
          <cell r="P799" t="str">
            <v>N/A</v>
          </cell>
          <cell r="Q799" t="str">
            <v>N/A</v>
          </cell>
          <cell r="R799" t="str">
            <v>N/A</v>
          </cell>
          <cell r="S799" t="str">
            <v>No</v>
          </cell>
          <cell r="T799" t="str">
            <v>N/A</v>
          </cell>
        </row>
        <row r="800">
          <cell r="M800" t="str">
            <v>Aluminium PelmetInside Window MountUniline Spring (Old Style)</v>
          </cell>
          <cell r="N800">
            <v>0</v>
          </cell>
          <cell r="O800">
            <v>0</v>
          </cell>
          <cell r="P800" t="str">
            <v>N/A</v>
          </cell>
          <cell r="Q800" t="str">
            <v>N/A</v>
          </cell>
          <cell r="R800" t="str">
            <v>No</v>
          </cell>
          <cell r="S800" t="str">
            <v>No</v>
          </cell>
          <cell r="T800" t="str">
            <v>Yes</v>
          </cell>
        </row>
        <row r="801">
          <cell r="M801" t="str">
            <v>Square CassetteInside Window MountUniline Spring (Old Style)</v>
          </cell>
          <cell r="N801">
            <v>10</v>
          </cell>
          <cell r="O801">
            <v>14</v>
          </cell>
          <cell r="P801">
            <v>14</v>
          </cell>
          <cell r="Q801" t="str">
            <v>N/A</v>
          </cell>
          <cell r="R801" t="str">
            <v>No</v>
          </cell>
          <cell r="S801" t="str">
            <v>No</v>
          </cell>
          <cell r="T801" t="str">
            <v>No</v>
          </cell>
        </row>
        <row r="802">
          <cell r="M802" t="str">
            <v>Square Cassette with Side ChannelsInside Window MountUniline Spring (Old Style)</v>
          </cell>
          <cell r="N802">
            <v>10</v>
          </cell>
          <cell r="O802">
            <v>14</v>
          </cell>
          <cell r="P802">
            <v>14</v>
          </cell>
          <cell r="Q802">
            <v>88</v>
          </cell>
          <cell r="R802" t="str">
            <v>No</v>
          </cell>
          <cell r="S802" t="str">
            <v>Yes</v>
          </cell>
          <cell r="T802" t="str">
            <v>No</v>
          </cell>
        </row>
        <row r="803">
          <cell r="M803" t="str">
            <v>Round CassetteInside Window MountUniline Spring (Old Style)</v>
          </cell>
          <cell r="N803">
            <v>10</v>
          </cell>
          <cell r="O803">
            <v>14</v>
          </cell>
          <cell r="P803">
            <v>14</v>
          </cell>
          <cell r="Q803" t="str">
            <v>N/A</v>
          </cell>
          <cell r="R803" t="str">
            <v>No</v>
          </cell>
          <cell r="S803" t="str">
            <v>No</v>
          </cell>
          <cell r="T803" t="str">
            <v>No</v>
          </cell>
        </row>
        <row r="804">
          <cell r="M804" t="str">
            <v>Round Cassette with Side ChannelsInside Window MountUniline Spring (Old Style)</v>
          </cell>
          <cell r="N804">
            <v>10</v>
          </cell>
          <cell r="O804">
            <v>14</v>
          </cell>
          <cell r="P804">
            <v>14</v>
          </cell>
          <cell r="Q804">
            <v>88</v>
          </cell>
          <cell r="R804" t="str">
            <v>No</v>
          </cell>
          <cell r="S804" t="str">
            <v>Yes</v>
          </cell>
          <cell r="T804" t="str">
            <v>No</v>
          </cell>
        </row>
        <row r="805">
          <cell r="M805" t="str">
            <v>Aluminium ValanceInside Window MountUniline Spring (Old Style)</v>
          </cell>
          <cell r="N805">
            <v>0</v>
          </cell>
          <cell r="O805" t="str">
            <v>N/A</v>
          </cell>
          <cell r="P805">
            <v>0</v>
          </cell>
          <cell r="Q805" t="str">
            <v>N/A</v>
          </cell>
          <cell r="R805" t="str">
            <v>No</v>
          </cell>
          <cell r="S805" t="str">
            <v>No</v>
          </cell>
          <cell r="T805" t="str">
            <v>Yes</v>
          </cell>
        </row>
        <row r="806">
          <cell r="M806" t="str">
            <v>Aluminium Valance - Fabric CoveredInside Window MountUniline Spring (Old Style)</v>
          </cell>
          <cell r="N806">
            <v>0</v>
          </cell>
          <cell r="O806" t="str">
            <v>N/A</v>
          </cell>
          <cell r="P806">
            <v>0</v>
          </cell>
          <cell r="Q806" t="str">
            <v>N/A</v>
          </cell>
          <cell r="R806" t="str">
            <v>No</v>
          </cell>
          <cell r="S806" t="str">
            <v>No</v>
          </cell>
          <cell r="T806" t="str">
            <v>Yes</v>
          </cell>
        </row>
        <row r="807">
          <cell r="M807" t="str">
            <v>Side ChannelsInside Window MountUniline Spring (Old Style)</v>
          </cell>
          <cell r="N807">
            <v>10</v>
          </cell>
          <cell r="O807" t="str">
            <v>N/A</v>
          </cell>
          <cell r="P807" t="str">
            <v>N/A</v>
          </cell>
          <cell r="Q807">
            <v>60</v>
          </cell>
          <cell r="R807" t="str">
            <v>N/A</v>
          </cell>
          <cell r="S807" t="str">
            <v>No</v>
          </cell>
          <cell r="T807" t="str">
            <v>N/A</v>
          </cell>
        </row>
        <row r="808">
          <cell r="M808" t="str">
            <v>Zipscreen HoodingInside Window MountUniline Spring (Old Style)</v>
          </cell>
          <cell r="N808">
            <v>17</v>
          </cell>
          <cell r="O808">
            <v>66</v>
          </cell>
          <cell r="P808">
            <v>66</v>
          </cell>
          <cell r="Q808" t="str">
            <v>N/A</v>
          </cell>
          <cell r="R808" t="str">
            <v>N/A</v>
          </cell>
          <cell r="S808" t="str">
            <v>No</v>
          </cell>
          <cell r="T808" t="str">
            <v>N/A</v>
          </cell>
        </row>
        <row r="809">
          <cell r="M809" t="str">
            <v>NoneInside Window MountBecker Remote Motor</v>
          </cell>
          <cell r="N809">
            <v>0</v>
          </cell>
          <cell r="O809" t="str">
            <v>N/A</v>
          </cell>
          <cell r="P809" t="str">
            <v>N/A</v>
          </cell>
          <cell r="Q809" t="str">
            <v>N/A</v>
          </cell>
          <cell r="R809" t="str">
            <v>N/A</v>
          </cell>
          <cell r="S809" t="str">
            <v>No</v>
          </cell>
          <cell r="T809" t="str">
            <v>N/A</v>
          </cell>
        </row>
        <row r="810">
          <cell r="M810" t="str">
            <v>Straight Upholstered PelmetInside Window MountBecker Remote Motor</v>
          </cell>
          <cell r="N810">
            <v>0</v>
          </cell>
          <cell r="O810" t="str">
            <v>N/A</v>
          </cell>
          <cell r="P810" t="str">
            <v>N/A</v>
          </cell>
          <cell r="Q810" t="str">
            <v>N/A</v>
          </cell>
          <cell r="R810" t="str">
            <v>N/A</v>
          </cell>
          <cell r="S810" t="str">
            <v>No</v>
          </cell>
          <cell r="T810" t="str">
            <v>N/A</v>
          </cell>
        </row>
        <row r="811">
          <cell r="M811" t="str">
            <v>Shaped Upholstered PelmetInside Window MountBecker Remote Motor</v>
          </cell>
          <cell r="N811">
            <v>0</v>
          </cell>
          <cell r="O811" t="str">
            <v>N/A</v>
          </cell>
          <cell r="P811" t="str">
            <v>N/A</v>
          </cell>
          <cell r="Q811" t="str">
            <v>N/A</v>
          </cell>
          <cell r="R811" t="str">
            <v>N/A</v>
          </cell>
          <cell r="S811" t="str">
            <v>No</v>
          </cell>
          <cell r="T811" t="str">
            <v>N/A</v>
          </cell>
        </row>
        <row r="812">
          <cell r="M812" t="str">
            <v>Aluminium PelmetInside Window MountBecker Remote Motor</v>
          </cell>
          <cell r="N812">
            <v>0</v>
          </cell>
          <cell r="O812">
            <v>0</v>
          </cell>
          <cell r="P812" t="str">
            <v>N/A</v>
          </cell>
          <cell r="Q812" t="str">
            <v>N/A</v>
          </cell>
          <cell r="R812" t="str">
            <v>No</v>
          </cell>
          <cell r="S812" t="str">
            <v>No</v>
          </cell>
          <cell r="T812" t="str">
            <v>Yes</v>
          </cell>
        </row>
        <row r="813">
          <cell r="M813" t="str">
            <v>Square CassetteInside Window MountBecker Remote Motor</v>
          </cell>
          <cell r="N813">
            <v>10</v>
          </cell>
          <cell r="O813">
            <v>14</v>
          </cell>
          <cell r="P813">
            <v>14</v>
          </cell>
          <cell r="Q813" t="str">
            <v>N/A</v>
          </cell>
          <cell r="R813" t="str">
            <v>No</v>
          </cell>
          <cell r="S813" t="str">
            <v>No</v>
          </cell>
          <cell r="T813" t="str">
            <v>No</v>
          </cell>
        </row>
        <row r="814">
          <cell r="M814" t="str">
            <v>Square Cassette with Side ChannelsInside Window MountBecker Remote Motor</v>
          </cell>
          <cell r="N814">
            <v>10</v>
          </cell>
          <cell r="O814">
            <v>14</v>
          </cell>
          <cell r="P814">
            <v>14</v>
          </cell>
          <cell r="Q814">
            <v>88</v>
          </cell>
          <cell r="R814" t="str">
            <v>No</v>
          </cell>
          <cell r="S814" t="str">
            <v>Yes</v>
          </cell>
          <cell r="T814" t="str">
            <v>No</v>
          </cell>
        </row>
        <row r="815">
          <cell r="M815" t="str">
            <v>Round CassetteInside Window MountBecker Remote Motor</v>
          </cell>
          <cell r="N815">
            <v>10</v>
          </cell>
          <cell r="O815">
            <v>14</v>
          </cell>
          <cell r="P815">
            <v>14</v>
          </cell>
          <cell r="Q815" t="str">
            <v>N/A</v>
          </cell>
          <cell r="R815" t="str">
            <v>No</v>
          </cell>
          <cell r="S815" t="str">
            <v>No</v>
          </cell>
          <cell r="T815" t="str">
            <v>No</v>
          </cell>
        </row>
        <row r="816">
          <cell r="M816" t="str">
            <v>Round Cassette with Side ChannelsInside Window MountBecker Remote Motor</v>
          </cell>
          <cell r="N816">
            <v>10</v>
          </cell>
          <cell r="O816">
            <v>14</v>
          </cell>
          <cell r="P816">
            <v>14</v>
          </cell>
          <cell r="Q816">
            <v>88</v>
          </cell>
          <cell r="R816" t="str">
            <v>No</v>
          </cell>
          <cell r="S816" t="str">
            <v>Yes</v>
          </cell>
          <cell r="T816" t="str">
            <v>No</v>
          </cell>
        </row>
        <row r="817">
          <cell r="M817" t="str">
            <v>Aluminium ValanceInside Window MountBecker Remote Motor</v>
          </cell>
          <cell r="N817">
            <v>0</v>
          </cell>
          <cell r="O817" t="str">
            <v>N/A</v>
          </cell>
          <cell r="P817">
            <v>0</v>
          </cell>
          <cell r="Q817" t="str">
            <v>N/A</v>
          </cell>
          <cell r="R817" t="str">
            <v>No</v>
          </cell>
          <cell r="S817" t="str">
            <v>No</v>
          </cell>
          <cell r="T817" t="str">
            <v>Yes</v>
          </cell>
        </row>
        <row r="818">
          <cell r="M818" t="str">
            <v>Aluminium Valance - Fabric CoveredInside Window MountBecker Remote Motor</v>
          </cell>
          <cell r="N818">
            <v>0</v>
          </cell>
          <cell r="O818" t="str">
            <v>N/A</v>
          </cell>
          <cell r="P818">
            <v>0</v>
          </cell>
          <cell r="Q818" t="str">
            <v>N/A</v>
          </cell>
          <cell r="R818" t="str">
            <v>No</v>
          </cell>
          <cell r="S818" t="str">
            <v>No</v>
          </cell>
          <cell r="T818" t="str">
            <v>Yes</v>
          </cell>
        </row>
        <row r="819">
          <cell r="M819" t="str">
            <v>Side ChannelsInside Window MountBecker Remote Motor</v>
          </cell>
          <cell r="N819">
            <v>10</v>
          </cell>
          <cell r="O819" t="str">
            <v>N/A</v>
          </cell>
          <cell r="P819" t="str">
            <v>N/A</v>
          </cell>
          <cell r="Q819">
            <v>60</v>
          </cell>
          <cell r="R819" t="str">
            <v>N/A</v>
          </cell>
          <cell r="S819" t="str">
            <v>No</v>
          </cell>
          <cell r="T819" t="str">
            <v>N/A</v>
          </cell>
        </row>
        <row r="820">
          <cell r="M820" t="str">
            <v>Zipscreen HoodingInside Window MountBecker Remote Motor</v>
          </cell>
          <cell r="N820">
            <v>17</v>
          </cell>
          <cell r="O820">
            <v>66</v>
          </cell>
          <cell r="P820">
            <v>66</v>
          </cell>
          <cell r="Q820" t="str">
            <v>N/A</v>
          </cell>
          <cell r="R820" t="str">
            <v>N/A</v>
          </cell>
          <cell r="S820" t="str">
            <v>No</v>
          </cell>
          <cell r="T820" t="str">
            <v>N/A</v>
          </cell>
        </row>
        <row r="821">
          <cell r="M821" t="str">
            <v>NoneInside Window MountBecker CBUS Motor</v>
          </cell>
          <cell r="N821">
            <v>0</v>
          </cell>
          <cell r="O821" t="str">
            <v>N/A</v>
          </cell>
          <cell r="P821" t="str">
            <v>N/A</v>
          </cell>
          <cell r="Q821" t="str">
            <v>N/A</v>
          </cell>
          <cell r="R821" t="str">
            <v>N/A</v>
          </cell>
          <cell r="S821" t="str">
            <v>No</v>
          </cell>
          <cell r="T821" t="str">
            <v>N/A</v>
          </cell>
        </row>
        <row r="822">
          <cell r="M822" t="str">
            <v>Straight Upholstered PelmetInside Window MountBecker CBUS Motor</v>
          </cell>
          <cell r="N822">
            <v>0</v>
          </cell>
          <cell r="O822" t="str">
            <v>N/A</v>
          </cell>
          <cell r="P822" t="str">
            <v>N/A</v>
          </cell>
          <cell r="Q822" t="str">
            <v>N/A</v>
          </cell>
          <cell r="R822" t="str">
            <v>N/A</v>
          </cell>
          <cell r="S822" t="str">
            <v>No</v>
          </cell>
          <cell r="T822" t="str">
            <v>N/A</v>
          </cell>
        </row>
        <row r="823">
          <cell r="M823" t="str">
            <v>Shaped Upholstered PelmetInside Window MountBecker CBUS Motor</v>
          </cell>
          <cell r="N823">
            <v>0</v>
          </cell>
          <cell r="O823" t="str">
            <v>N/A</v>
          </cell>
          <cell r="P823" t="str">
            <v>N/A</v>
          </cell>
          <cell r="Q823" t="str">
            <v>N/A</v>
          </cell>
          <cell r="R823" t="str">
            <v>N/A</v>
          </cell>
          <cell r="S823" t="str">
            <v>No</v>
          </cell>
          <cell r="T823" t="str">
            <v>N/A</v>
          </cell>
        </row>
        <row r="824">
          <cell r="M824" t="str">
            <v>Aluminium PelmetInside Window MountBecker CBUS Motor</v>
          </cell>
          <cell r="N824">
            <v>0</v>
          </cell>
          <cell r="O824">
            <v>0</v>
          </cell>
          <cell r="P824" t="str">
            <v>N/A</v>
          </cell>
          <cell r="Q824" t="str">
            <v>N/A</v>
          </cell>
          <cell r="R824" t="str">
            <v>No</v>
          </cell>
          <cell r="S824" t="str">
            <v>No</v>
          </cell>
          <cell r="T824" t="str">
            <v>Yes</v>
          </cell>
        </row>
        <row r="825">
          <cell r="M825" t="str">
            <v>Square CassetteInside Window MountBecker CBUS Motor</v>
          </cell>
          <cell r="N825">
            <v>10</v>
          </cell>
          <cell r="O825">
            <v>14</v>
          </cell>
          <cell r="P825">
            <v>14</v>
          </cell>
          <cell r="Q825" t="str">
            <v>N/A</v>
          </cell>
          <cell r="R825" t="str">
            <v>No</v>
          </cell>
          <cell r="S825" t="str">
            <v>No</v>
          </cell>
          <cell r="T825" t="str">
            <v>No</v>
          </cell>
        </row>
        <row r="826">
          <cell r="M826" t="str">
            <v>Square Cassette with Side ChannelsInside Window MountBecker CBUS Motor</v>
          </cell>
          <cell r="N826">
            <v>10</v>
          </cell>
          <cell r="O826">
            <v>14</v>
          </cell>
          <cell r="P826">
            <v>14</v>
          </cell>
          <cell r="Q826">
            <v>88</v>
          </cell>
          <cell r="R826" t="str">
            <v>No</v>
          </cell>
          <cell r="S826" t="str">
            <v>Yes</v>
          </cell>
          <cell r="T826" t="str">
            <v>No</v>
          </cell>
        </row>
        <row r="827">
          <cell r="M827" t="str">
            <v>Round CassetteInside Window MountBecker CBUS Motor</v>
          </cell>
          <cell r="N827">
            <v>10</v>
          </cell>
          <cell r="O827">
            <v>14</v>
          </cell>
          <cell r="P827">
            <v>14</v>
          </cell>
          <cell r="Q827" t="str">
            <v>N/A</v>
          </cell>
          <cell r="R827" t="str">
            <v>No</v>
          </cell>
          <cell r="S827" t="str">
            <v>No</v>
          </cell>
          <cell r="T827" t="str">
            <v>No</v>
          </cell>
        </row>
        <row r="828">
          <cell r="M828" t="str">
            <v>Round Cassette with Side ChannelsInside Window MountBecker CBUS Motor</v>
          </cell>
          <cell r="N828">
            <v>10</v>
          </cell>
          <cell r="O828">
            <v>14</v>
          </cell>
          <cell r="P828">
            <v>14</v>
          </cell>
          <cell r="Q828">
            <v>88</v>
          </cell>
          <cell r="R828" t="str">
            <v>No</v>
          </cell>
          <cell r="S828" t="str">
            <v>Yes</v>
          </cell>
          <cell r="T828" t="str">
            <v>No</v>
          </cell>
        </row>
        <row r="829">
          <cell r="M829" t="str">
            <v>Aluminium ValanceInside Window MountBecker CBUS Motor</v>
          </cell>
          <cell r="N829">
            <v>0</v>
          </cell>
          <cell r="O829" t="str">
            <v>N/A</v>
          </cell>
          <cell r="P829">
            <v>0</v>
          </cell>
          <cell r="Q829" t="str">
            <v>N/A</v>
          </cell>
          <cell r="R829" t="str">
            <v>No</v>
          </cell>
          <cell r="S829" t="str">
            <v>No</v>
          </cell>
          <cell r="T829" t="str">
            <v>Yes</v>
          </cell>
        </row>
        <row r="830">
          <cell r="M830" t="str">
            <v>Aluminium Valance - Fabric CoveredInside Window MountBecker CBUS Motor</v>
          </cell>
          <cell r="N830">
            <v>0</v>
          </cell>
          <cell r="O830" t="str">
            <v>N/A</v>
          </cell>
          <cell r="P830">
            <v>0</v>
          </cell>
          <cell r="Q830" t="str">
            <v>N/A</v>
          </cell>
          <cell r="R830" t="str">
            <v>No</v>
          </cell>
          <cell r="S830" t="str">
            <v>No</v>
          </cell>
          <cell r="T830" t="str">
            <v>Yes</v>
          </cell>
        </row>
        <row r="831">
          <cell r="M831" t="str">
            <v>Side ChannelsInside Window MountBecker CBUS Motor</v>
          </cell>
          <cell r="N831">
            <v>10</v>
          </cell>
          <cell r="O831" t="str">
            <v>N/A</v>
          </cell>
          <cell r="P831" t="str">
            <v>N/A</v>
          </cell>
          <cell r="Q831">
            <v>60</v>
          </cell>
          <cell r="R831" t="str">
            <v>N/A</v>
          </cell>
          <cell r="S831" t="str">
            <v>No</v>
          </cell>
          <cell r="T831" t="str">
            <v>N/A</v>
          </cell>
        </row>
        <row r="832">
          <cell r="M832" t="str">
            <v>Zipscreen HoodingInside Window MountBecker CBUS Motor</v>
          </cell>
          <cell r="N832">
            <v>17</v>
          </cell>
          <cell r="O832">
            <v>66</v>
          </cell>
          <cell r="P832">
            <v>66</v>
          </cell>
          <cell r="Q832" t="str">
            <v>N/A</v>
          </cell>
          <cell r="R832" t="str">
            <v>N/A</v>
          </cell>
          <cell r="S832" t="str">
            <v>No</v>
          </cell>
          <cell r="T832" t="str">
            <v>N/A</v>
          </cell>
        </row>
        <row r="833">
          <cell r="M833" t="str">
            <v>NoneInside Window Mount1.1nm 12v Acmeda Motor</v>
          </cell>
          <cell r="N833">
            <v>0</v>
          </cell>
          <cell r="O833" t="str">
            <v>N/A</v>
          </cell>
          <cell r="P833" t="str">
            <v>N/A</v>
          </cell>
          <cell r="Q833" t="str">
            <v>N/A</v>
          </cell>
          <cell r="R833" t="str">
            <v>N/A</v>
          </cell>
          <cell r="S833" t="str">
            <v>No</v>
          </cell>
          <cell r="T833" t="str">
            <v>N/A</v>
          </cell>
        </row>
        <row r="834">
          <cell r="M834" t="str">
            <v>Straight Upholstered PelmetInside Window Mount1.1nm 12v Acmeda Motor</v>
          </cell>
          <cell r="N834">
            <v>0</v>
          </cell>
          <cell r="O834" t="str">
            <v>N/A</v>
          </cell>
          <cell r="P834" t="str">
            <v>N/A</v>
          </cell>
          <cell r="Q834" t="str">
            <v>N/A</v>
          </cell>
          <cell r="R834" t="str">
            <v>N/A</v>
          </cell>
          <cell r="S834" t="str">
            <v>No</v>
          </cell>
          <cell r="T834" t="str">
            <v>N/A</v>
          </cell>
        </row>
        <row r="835">
          <cell r="M835" t="str">
            <v>Shaped Upholstered PelmetInside Window Mount1.1nm 12v Acmeda Motor</v>
          </cell>
          <cell r="N835">
            <v>0</v>
          </cell>
          <cell r="O835" t="str">
            <v>N/A</v>
          </cell>
          <cell r="P835" t="str">
            <v>N/A</v>
          </cell>
          <cell r="Q835" t="str">
            <v>N/A</v>
          </cell>
          <cell r="R835" t="str">
            <v>N/A</v>
          </cell>
          <cell r="S835" t="str">
            <v>No</v>
          </cell>
          <cell r="T835" t="str">
            <v>N/A</v>
          </cell>
        </row>
        <row r="836">
          <cell r="M836" t="str">
            <v>Aluminium PelmetInside Window Mount1.1nm 12v Acmeda Motor</v>
          </cell>
          <cell r="N836">
            <v>0</v>
          </cell>
          <cell r="O836">
            <v>0</v>
          </cell>
          <cell r="P836" t="str">
            <v>N/A</v>
          </cell>
          <cell r="Q836" t="str">
            <v>N/A</v>
          </cell>
          <cell r="R836" t="str">
            <v>No</v>
          </cell>
          <cell r="S836" t="str">
            <v>No</v>
          </cell>
          <cell r="T836" t="str">
            <v>Yes</v>
          </cell>
        </row>
        <row r="837">
          <cell r="M837" t="str">
            <v>Square CassetteInside Window Mount1.1nm 12v Acmeda Motor</v>
          </cell>
          <cell r="N837">
            <v>10</v>
          </cell>
          <cell r="O837">
            <v>14</v>
          </cell>
          <cell r="P837">
            <v>14</v>
          </cell>
          <cell r="Q837" t="str">
            <v>N/A</v>
          </cell>
          <cell r="R837" t="str">
            <v>No</v>
          </cell>
          <cell r="S837" t="str">
            <v>No</v>
          </cell>
          <cell r="T837" t="str">
            <v>No</v>
          </cell>
        </row>
        <row r="838">
          <cell r="M838" t="str">
            <v>Square Cassette with Side ChannelsInside Window Mount1.1nm 12v Acmeda Motor</v>
          </cell>
          <cell r="N838">
            <v>10</v>
          </cell>
          <cell r="O838">
            <v>14</v>
          </cell>
          <cell r="P838">
            <v>14</v>
          </cell>
          <cell r="Q838">
            <v>88</v>
          </cell>
          <cell r="R838" t="str">
            <v>No</v>
          </cell>
          <cell r="S838" t="str">
            <v>Yes</v>
          </cell>
          <cell r="T838" t="str">
            <v>No</v>
          </cell>
        </row>
        <row r="839">
          <cell r="M839" t="str">
            <v>Round CassetteInside Window Mount1.1nm 12v Acmeda Motor</v>
          </cell>
          <cell r="N839">
            <v>10</v>
          </cell>
          <cell r="O839">
            <v>14</v>
          </cell>
          <cell r="P839">
            <v>14</v>
          </cell>
          <cell r="Q839" t="str">
            <v>N/A</v>
          </cell>
          <cell r="R839" t="str">
            <v>No</v>
          </cell>
          <cell r="S839" t="str">
            <v>No</v>
          </cell>
          <cell r="T839" t="str">
            <v>No</v>
          </cell>
        </row>
        <row r="840">
          <cell r="M840" t="str">
            <v>Round Cassette with Side ChannelsInside Window Mount1.1nm 12v Acmeda Motor</v>
          </cell>
          <cell r="N840">
            <v>10</v>
          </cell>
          <cell r="O840">
            <v>14</v>
          </cell>
          <cell r="P840">
            <v>14</v>
          </cell>
          <cell r="Q840">
            <v>88</v>
          </cell>
          <cell r="R840" t="str">
            <v>No</v>
          </cell>
          <cell r="S840" t="str">
            <v>Yes</v>
          </cell>
          <cell r="T840" t="str">
            <v>No</v>
          </cell>
        </row>
        <row r="841">
          <cell r="M841" t="str">
            <v>Aluminium ValanceInside Window Mount1.1nm 12v Acmeda Motor</v>
          </cell>
          <cell r="N841">
            <v>0</v>
          </cell>
          <cell r="O841" t="str">
            <v>N/A</v>
          </cell>
          <cell r="P841">
            <v>0</v>
          </cell>
          <cell r="Q841" t="str">
            <v>N/A</v>
          </cell>
          <cell r="R841" t="str">
            <v>No</v>
          </cell>
          <cell r="S841" t="str">
            <v>No</v>
          </cell>
          <cell r="T841" t="str">
            <v>Yes</v>
          </cell>
        </row>
        <row r="842">
          <cell r="M842" t="str">
            <v>Aluminium Valance - Fabric CoveredInside Window Mount1.1nm 12v Acmeda Motor</v>
          </cell>
          <cell r="N842">
            <v>0</v>
          </cell>
          <cell r="O842" t="str">
            <v>N/A</v>
          </cell>
          <cell r="P842">
            <v>0</v>
          </cell>
          <cell r="Q842" t="str">
            <v>N/A</v>
          </cell>
          <cell r="R842" t="str">
            <v>No</v>
          </cell>
          <cell r="S842" t="str">
            <v>No</v>
          </cell>
          <cell r="T842" t="str">
            <v>Yes</v>
          </cell>
        </row>
        <row r="843">
          <cell r="M843" t="str">
            <v>Side ChannelsInside Window Mount1.1nm 12v Acmeda Motor</v>
          </cell>
          <cell r="N843">
            <v>10</v>
          </cell>
          <cell r="O843" t="str">
            <v>N/A</v>
          </cell>
          <cell r="P843" t="str">
            <v>N/A</v>
          </cell>
          <cell r="Q843">
            <v>60</v>
          </cell>
          <cell r="R843" t="str">
            <v>N/A</v>
          </cell>
          <cell r="S843" t="str">
            <v>No</v>
          </cell>
          <cell r="T843" t="str">
            <v>N/A</v>
          </cell>
        </row>
        <row r="844">
          <cell r="M844" t="str">
            <v>Zipscreen HoodingInside Window Mount1.1nm 12v Acmeda Motor</v>
          </cell>
          <cell r="N844">
            <v>17</v>
          </cell>
          <cell r="O844">
            <v>66</v>
          </cell>
          <cell r="P844">
            <v>66</v>
          </cell>
          <cell r="Q844" t="str">
            <v>N/A</v>
          </cell>
          <cell r="R844" t="str">
            <v>N/A</v>
          </cell>
          <cell r="S844" t="str">
            <v>No</v>
          </cell>
          <cell r="T844" t="str">
            <v>N/A</v>
          </cell>
        </row>
        <row r="845">
          <cell r="M845" t="str">
            <v>NoneInside Window Mount2nm 12v Acmeda Motor</v>
          </cell>
          <cell r="N845">
            <v>0</v>
          </cell>
          <cell r="O845" t="str">
            <v>N/A</v>
          </cell>
          <cell r="P845" t="str">
            <v>N/A</v>
          </cell>
          <cell r="Q845" t="str">
            <v>N/A</v>
          </cell>
          <cell r="R845" t="str">
            <v>N/A</v>
          </cell>
          <cell r="S845" t="str">
            <v>No</v>
          </cell>
          <cell r="T845" t="str">
            <v>N/A</v>
          </cell>
        </row>
        <row r="846">
          <cell r="M846" t="str">
            <v>Straight Upholstered PelmetInside Window Mount2nm 12v Acmeda Motor</v>
          </cell>
          <cell r="N846">
            <v>0</v>
          </cell>
          <cell r="O846" t="str">
            <v>N/A</v>
          </cell>
          <cell r="P846" t="str">
            <v>N/A</v>
          </cell>
          <cell r="Q846" t="str">
            <v>N/A</v>
          </cell>
          <cell r="R846" t="str">
            <v>N/A</v>
          </cell>
          <cell r="S846" t="str">
            <v>No</v>
          </cell>
          <cell r="T846" t="str">
            <v>N/A</v>
          </cell>
        </row>
        <row r="847">
          <cell r="M847" t="str">
            <v>Shaped Upholstered PelmetInside Window Mount2nm 12v Acmeda Motor</v>
          </cell>
          <cell r="N847">
            <v>0</v>
          </cell>
          <cell r="O847" t="str">
            <v>N/A</v>
          </cell>
          <cell r="P847" t="str">
            <v>N/A</v>
          </cell>
          <cell r="Q847" t="str">
            <v>N/A</v>
          </cell>
          <cell r="R847" t="str">
            <v>N/A</v>
          </cell>
          <cell r="S847" t="str">
            <v>No</v>
          </cell>
          <cell r="T847" t="str">
            <v>N/A</v>
          </cell>
        </row>
        <row r="848">
          <cell r="M848" t="str">
            <v>Aluminium PelmetInside Window Mount2nm 12v Acmeda Motor</v>
          </cell>
          <cell r="N848">
            <v>0</v>
          </cell>
          <cell r="O848">
            <v>0</v>
          </cell>
          <cell r="P848" t="str">
            <v>N/A</v>
          </cell>
          <cell r="Q848" t="str">
            <v>N/A</v>
          </cell>
          <cell r="R848" t="str">
            <v>No</v>
          </cell>
          <cell r="S848" t="str">
            <v>No</v>
          </cell>
          <cell r="T848" t="str">
            <v>Yes</v>
          </cell>
        </row>
        <row r="849">
          <cell r="M849" t="str">
            <v>Square CassetteInside Window Mount2nm 12v Acmeda Motor</v>
          </cell>
          <cell r="N849">
            <v>10</v>
          </cell>
          <cell r="O849">
            <v>14</v>
          </cell>
          <cell r="P849">
            <v>14</v>
          </cell>
          <cell r="Q849" t="str">
            <v>N/A</v>
          </cell>
          <cell r="R849" t="str">
            <v>No</v>
          </cell>
          <cell r="S849" t="str">
            <v>No</v>
          </cell>
          <cell r="T849" t="str">
            <v>No</v>
          </cell>
        </row>
        <row r="850">
          <cell r="M850" t="str">
            <v>Square Cassette with Side ChannelsInside Window Mount2nm 12v Acmeda Motor</v>
          </cell>
          <cell r="N850">
            <v>10</v>
          </cell>
          <cell r="O850">
            <v>14</v>
          </cell>
          <cell r="P850">
            <v>14</v>
          </cell>
          <cell r="Q850">
            <v>88</v>
          </cell>
          <cell r="R850" t="str">
            <v>No</v>
          </cell>
          <cell r="S850" t="str">
            <v>Yes</v>
          </cell>
          <cell r="T850" t="str">
            <v>No</v>
          </cell>
        </row>
        <row r="851">
          <cell r="M851" t="str">
            <v>Round CassetteInside Window Mount2nm 12v Acmeda Motor</v>
          </cell>
          <cell r="N851">
            <v>10</v>
          </cell>
          <cell r="O851">
            <v>14</v>
          </cell>
          <cell r="P851">
            <v>14</v>
          </cell>
          <cell r="Q851" t="str">
            <v>N/A</v>
          </cell>
          <cell r="R851" t="str">
            <v>No</v>
          </cell>
          <cell r="S851" t="str">
            <v>No</v>
          </cell>
          <cell r="T851" t="str">
            <v>No</v>
          </cell>
        </row>
        <row r="852">
          <cell r="M852" t="str">
            <v>Round Cassette with Side ChannelsInside Window Mount2nm 12v Acmeda Motor</v>
          </cell>
          <cell r="N852">
            <v>10</v>
          </cell>
          <cell r="O852">
            <v>14</v>
          </cell>
          <cell r="P852">
            <v>14</v>
          </cell>
          <cell r="Q852">
            <v>88</v>
          </cell>
          <cell r="R852" t="str">
            <v>No</v>
          </cell>
          <cell r="S852" t="str">
            <v>Yes</v>
          </cell>
          <cell r="T852" t="str">
            <v>No</v>
          </cell>
        </row>
        <row r="853">
          <cell r="M853" t="str">
            <v>Aluminium ValanceInside Window Mount2nm 12v Acmeda Motor</v>
          </cell>
          <cell r="N853">
            <v>0</v>
          </cell>
          <cell r="O853" t="str">
            <v>N/A</v>
          </cell>
          <cell r="P853">
            <v>0</v>
          </cell>
          <cell r="Q853" t="str">
            <v>N/A</v>
          </cell>
          <cell r="R853" t="str">
            <v>No</v>
          </cell>
          <cell r="S853" t="str">
            <v>No</v>
          </cell>
          <cell r="T853" t="str">
            <v>Yes</v>
          </cell>
        </row>
        <row r="854">
          <cell r="M854" t="str">
            <v>Aluminium Valance - Fabric CoveredInside Window Mount2nm 12v Acmeda Motor</v>
          </cell>
          <cell r="N854">
            <v>0</v>
          </cell>
          <cell r="O854" t="str">
            <v>N/A</v>
          </cell>
          <cell r="P854">
            <v>0</v>
          </cell>
          <cell r="Q854" t="str">
            <v>N/A</v>
          </cell>
          <cell r="R854" t="str">
            <v>No</v>
          </cell>
          <cell r="S854" t="str">
            <v>No</v>
          </cell>
          <cell r="T854" t="str">
            <v>Yes</v>
          </cell>
        </row>
        <row r="855">
          <cell r="M855" t="str">
            <v>Side ChannelsInside Window Mount2nm 12v Acmeda Motor</v>
          </cell>
          <cell r="N855">
            <v>10</v>
          </cell>
          <cell r="O855" t="str">
            <v>N/A</v>
          </cell>
          <cell r="P855" t="str">
            <v>N/A</v>
          </cell>
          <cell r="Q855">
            <v>60</v>
          </cell>
          <cell r="R855" t="str">
            <v>N/A</v>
          </cell>
          <cell r="S855" t="str">
            <v>No</v>
          </cell>
          <cell r="T855" t="str">
            <v>N/A</v>
          </cell>
        </row>
        <row r="856">
          <cell r="M856" t="str">
            <v>Zipscreen HoodingInside Window Mount2nm 12v Acmeda Motor</v>
          </cell>
          <cell r="N856">
            <v>17</v>
          </cell>
          <cell r="O856">
            <v>66</v>
          </cell>
          <cell r="P856">
            <v>66</v>
          </cell>
          <cell r="Q856" t="str">
            <v>N/A</v>
          </cell>
          <cell r="R856" t="str">
            <v>N/A</v>
          </cell>
          <cell r="S856" t="str">
            <v>No</v>
          </cell>
          <cell r="T856" t="str">
            <v>N/A</v>
          </cell>
        </row>
        <row r="857">
          <cell r="M857" t="str">
            <v>NoneInside Window Mount3nm 12v Acmeda Motor</v>
          </cell>
          <cell r="N857">
            <v>0</v>
          </cell>
          <cell r="O857" t="str">
            <v>N/A</v>
          </cell>
          <cell r="P857" t="str">
            <v>N/A</v>
          </cell>
          <cell r="Q857" t="str">
            <v>N/A</v>
          </cell>
          <cell r="R857" t="str">
            <v>N/A</v>
          </cell>
          <cell r="S857" t="str">
            <v>No</v>
          </cell>
          <cell r="T857" t="str">
            <v>N/A</v>
          </cell>
        </row>
        <row r="858">
          <cell r="M858" t="str">
            <v>Straight Upholstered PelmetInside Window Mount3nm 12v Acmeda Motor</v>
          </cell>
          <cell r="N858">
            <v>0</v>
          </cell>
          <cell r="O858" t="str">
            <v>N/A</v>
          </cell>
          <cell r="P858" t="str">
            <v>N/A</v>
          </cell>
          <cell r="Q858" t="str">
            <v>N/A</v>
          </cell>
          <cell r="R858" t="str">
            <v>N/A</v>
          </cell>
          <cell r="S858" t="str">
            <v>No</v>
          </cell>
          <cell r="T858" t="str">
            <v>N/A</v>
          </cell>
        </row>
        <row r="859">
          <cell r="M859" t="str">
            <v>Shaped Upholstered PelmetInside Window Mount3nm 12v Acmeda Motor</v>
          </cell>
          <cell r="N859">
            <v>0</v>
          </cell>
          <cell r="O859" t="str">
            <v>N/A</v>
          </cell>
          <cell r="P859" t="str">
            <v>N/A</v>
          </cell>
          <cell r="Q859" t="str">
            <v>N/A</v>
          </cell>
          <cell r="R859" t="str">
            <v>N/A</v>
          </cell>
          <cell r="S859" t="str">
            <v>No</v>
          </cell>
          <cell r="T859" t="str">
            <v>N/A</v>
          </cell>
        </row>
        <row r="860">
          <cell r="M860" t="str">
            <v>Aluminium PelmetInside Window Mount3nm 12v Acmeda Motor</v>
          </cell>
          <cell r="N860">
            <v>0</v>
          </cell>
          <cell r="O860">
            <v>0</v>
          </cell>
          <cell r="P860" t="str">
            <v>N/A</v>
          </cell>
          <cell r="Q860" t="str">
            <v>N/A</v>
          </cell>
          <cell r="R860" t="str">
            <v>No</v>
          </cell>
          <cell r="S860" t="str">
            <v>No</v>
          </cell>
          <cell r="T860" t="str">
            <v>Yes</v>
          </cell>
        </row>
        <row r="861">
          <cell r="M861" t="str">
            <v>Square CassetteInside Window Mount3nm 12v Acmeda Motor</v>
          </cell>
          <cell r="N861">
            <v>10</v>
          </cell>
          <cell r="O861">
            <v>14</v>
          </cell>
          <cell r="P861">
            <v>14</v>
          </cell>
          <cell r="Q861" t="str">
            <v>N/A</v>
          </cell>
          <cell r="R861" t="str">
            <v>No</v>
          </cell>
          <cell r="S861" t="str">
            <v>No</v>
          </cell>
          <cell r="T861" t="str">
            <v>No</v>
          </cell>
        </row>
        <row r="862">
          <cell r="M862" t="str">
            <v>Square Cassette with Side ChannelsInside Window Mount3nm 12v Acmeda Motor</v>
          </cell>
          <cell r="N862">
            <v>10</v>
          </cell>
          <cell r="O862">
            <v>14</v>
          </cell>
          <cell r="P862">
            <v>14</v>
          </cell>
          <cell r="Q862">
            <v>88</v>
          </cell>
          <cell r="R862" t="str">
            <v>No</v>
          </cell>
          <cell r="S862" t="str">
            <v>Yes</v>
          </cell>
          <cell r="T862" t="str">
            <v>No</v>
          </cell>
        </row>
        <row r="863">
          <cell r="M863" t="str">
            <v>Round CassetteInside Window Mount3nm 12v Acmeda Motor</v>
          </cell>
          <cell r="N863">
            <v>10</v>
          </cell>
          <cell r="O863">
            <v>14</v>
          </cell>
          <cell r="P863">
            <v>14</v>
          </cell>
          <cell r="Q863" t="str">
            <v>N/A</v>
          </cell>
          <cell r="R863" t="str">
            <v>No</v>
          </cell>
          <cell r="S863" t="str">
            <v>No</v>
          </cell>
          <cell r="T863" t="str">
            <v>No</v>
          </cell>
        </row>
        <row r="864">
          <cell r="M864" t="str">
            <v>Round Cassette with Side ChannelsInside Window Mount3nm 12v Acmeda Motor</v>
          </cell>
          <cell r="N864">
            <v>10</v>
          </cell>
          <cell r="O864">
            <v>14</v>
          </cell>
          <cell r="P864">
            <v>14</v>
          </cell>
          <cell r="Q864">
            <v>88</v>
          </cell>
          <cell r="R864" t="str">
            <v>No</v>
          </cell>
          <cell r="S864" t="str">
            <v>Yes</v>
          </cell>
          <cell r="T864" t="str">
            <v>No</v>
          </cell>
        </row>
        <row r="865">
          <cell r="M865" t="str">
            <v>Aluminium ValanceInside Window Mount3nm 12v Acmeda Motor</v>
          </cell>
          <cell r="N865">
            <v>0</v>
          </cell>
          <cell r="O865" t="str">
            <v>N/A</v>
          </cell>
          <cell r="P865">
            <v>0</v>
          </cell>
          <cell r="Q865" t="str">
            <v>N/A</v>
          </cell>
          <cell r="R865" t="str">
            <v>No</v>
          </cell>
          <cell r="S865" t="str">
            <v>No</v>
          </cell>
          <cell r="T865" t="str">
            <v>Yes</v>
          </cell>
        </row>
        <row r="866">
          <cell r="M866" t="str">
            <v>Aluminium Valance - Fabric CoveredInside Window Mount3nm 12v Acmeda Motor</v>
          </cell>
          <cell r="N866">
            <v>0</v>
          </cell>
          <cell r="O866" t="str">
            <v>N/A</v>
          </cell>
          <cell r="P866">
            <v>0</v>
          </cell>
          <cell r="Q866" t="str">
            <v>N/A</v>
          </cell>
          <cell r="R866" t="str">
            <v>No</v>
          </cell>
          <cell r="S866" t="str">
            <v>No</v>
          </cell>
          <cell r="T866" t="str">
            <v>Yes</v>
          </cell>
        </row>
        <row r="867">
          <cell r="M867" t="str">
            <v>Side ChannelsInside Window Mount3nm 12v Acmeda Motor</v>
          </cell>
          <cell r="N867">
            <v>10</v>
          </cell>
          <cell r="O867" t="str">
            <v>N/A</v>
          </cell>
          <cell r="P867" t="str">
            <v>N/A</v>
          </cell>
          <cell r="Q867">
            <v>60</v>
          </cell>
          <cell r="R867" t="str">
            <v>N/A</v>
          </cell>
          <cell r="S867" t="str">
            <v>No</v>
          </cell>
          <cell r="T867" t="str">
            <v>N/A</v>
          </cell>
        </row>
        <row r="868">
          <cell r="M868" t="str">
            <v>Zipscreen HoodingInside Window Mount3nm 12v Acmeda Motor</v>
          </cell>
          <cell r="N868">
            <v>17</v>
          </cell>
          <cell r="O868">
            <v>66</v>
          </cell>
          <cell r="P868">
            <v>66</v>
          </cell>
          <cell r="Q868" t="str">
            <v>N/A</v>
          </cell>
          <cell r="R868" t="str">
            <v>N/A</v>
          </cell>
          <cell r="S868" t="str">
            <v>No</v>
          </cell>
          <cell r="T868" t="str">
            <v>N/A</v>
          </cell>
        </row>
        <row r="869">
          <cell r="M869" t="str">
            <v>NoneInside Window Mount1.1nm 12v Acmeda Short Motor</v>
          </cell>
          <cell r="N869">
            <v>0</v>
          </cell>
          <cell r="O869" t="str">
            <v>N/A</v>
          </cell>
          <cell r="P869" t="str">
            <v>N/A</v>
          </cell>
          <cell r="Q869" t="str">
            <v>N/A</v>
          </cell>
          <cell r="R869" t="str">
            <v>N/A</v>
          </cell>
          <cell r="S869" t="str">
            <v>No</v>
          </cell>
          <cell r="T869" t="str">
            <v>N/A</v>
          </cell>
        </row>
        <row r="870">
          <cell r="M870" t="str">
            <v>Straight Upholstered PelmetInside Window Mount1.1nm 12v Acmeda Short Motor</v>
          </cell>
          <cell r="N870">
            <v>0</v>
          </cell>
          <cell r="O870" t="str">
            <v>N/A</v>
          </cell>
          <cell r="P870" t="str">
            <v>N/A</v>
          </cell>
          <cell r="Q870" t="str">
            <v>N/A</v>
          </cell>
          <cell r="R870" t="str">
            <v>N/A</v>
          </cell>
          <cell r="S870" t="str">
            <v>No</v>
          </cell>
          <cell r="T870" t="str">
            <v>N/A</v>
          </cell>
        </row>
        <row r="871">
          <cell r="M871" t="str">
            <v>Shaped Upholstered PelmetInside Window Mount1.1nm 12v Acmeda Short Motor</v>
          </cell>
          <cell r="N871">
            <v>0</v>
          </cell>
          <cell r="O871" t="str">
            <v>N/A</v>
          </cell>
          <cell r="P871" t="str">
            <v>N/A</v>
          </cell>
          <cell r="Q871" t="str">
            <v>N/A</v>
          </cell>
          <cell r="R871" t="str">
            <v>N/A</v>
          </cell>
          <cell r="S871" t="str">
            <v>No</v>
          </cell>
          <cell r="T871" t="str">
            <v>N/A</v>
          </cell>
        </row>
        <row r="872">
          <cell r="M872" t="str">
            <v>Aluminium PelmetInside Window Mount1.1nm 12v Acmeda Short Motor</v>
          </cell>
          <cell r="N872">
            <v>0</v>
          </cell>
          <cell r="O872">
            <v>0</v>
          </cell>
          <cell r="P872" t="str">
            <v>N/A</v>
          </cell>
          <cell r="Q872" t="str">
            <v>N/A</v>
          </cell>
          <cell r="R872" t="str">
            <v>No</v>
          </cell>
          <cell r="S872" t="str">
            <v>No</v>
          </cell>
          <cell r="T872" t="str">
            <v>Yes</v>
          </cell>
        </row>
        <row r="873">
          <cell r="M873" t="str">
            <v>Square CassetteInside Window Mount1.1nm 12v Acmeda Short Motor</v>
          </cell>
          <cell r="N873">
            <v>10</v>
          </cell>
          <cell r="O873">
            <v>14</v>
          </cell>
          <cell r="P873">
            <v>14</v>
          </cell>
          <cell r="Q873" t="str">
            <v>N/A</v>
          </cell>
          <cell r="R873" t="str">
            <v>No</v>
          </cell>
          <cell r="S873" t="str">
            <v>No</v>
          </cell>
          <cell r="T873" t="str">
            <v>No</v>
          </cell>
        </row>
        <row r="874">
          <cell r="M874" t="str">
            <v>Square Cassette with Side ChannelsInside Window Mount1.1nm 12v Acmeda Short Motor</v>
          </cell>
          <cell r="N874">
            <v>10</v>
          </cell>
          <cell r="O874">
            <v>14</v>
          </cell>
          <cell r="P874">
            <v>14</v>
          </cell>
          <cell r="Q874">
            <v>88</v>
          </cell>
          <cell r="R874" t="str">
            <v>No</v>
          </cell>
          <cell r="S874" t="str">
            <v>Yes</v>
          </cell>
          <cell r="T874" t="str">
            <v>No</v>
          </cell>
        </row>
        <row r="875">
          <cell r="M875" t="str">
            <v>Round CassetteInside Window Mount1.1nm 12v Acmeda Short Motor</v>
          </cell>
          <cell r="N875">
            <v>10</v>
          </cell>
          <cell r="O875">
            <v>14</v>
          </cell>
          <cell r="P875">
            <v>14</v>
          </cell>
          <cell r="Q875" t="str">
            <v>N/A</v>
          </cell>
          <cell r="R875" t="str">
            <v>No</v>
          </cell>
          <cell r="S875" t="str">
            <v>No</v>
          </cell>
          <cell r="T875" t="str">
            <v>No</v>
          </cell>
        </row>
        <row r="876">
          <cell r="M876" t="str">
            <v>Round Cassette with Side ChannelsInside Window Mount1.1nm 12v Acmeda Short Motor</v>
          </cell>
          <cell r="N876">
            <v>10</v>
          </cell>
          <cell r="O876">
            <v>14</v>
          </cell>
          <cell r="P876">
            <v>14</v>
          </cell>
          <cell r="Q876">
            <v>88</v>
          </cell>
          <cell r="R876" t="str">
            <v>No</v>
          </cell>
          <cell r="S876" t="str">
            <v>Yes</v>
          </cell>
          <cell r="T876" t="str">
            <v>No</v>
          </cell>
        </row>
        <row r="877">
          <cell r="M877" t="str">
            <v>Aluminium ValanceInside Window Mount1.1nm 12v Acmeda Short Motor</v>
          </cell>
          <cell r="N877">
            <v>0</v>
          </cell>
          <cell r="O877" t="str">
            <v>N/A</v>
          </cell>
          <cell r="P877">
            <v>0</v>
          </cell>
          <cell r="Q877" t="str">
            <v>N/A</v>
          </cell>
          <cell r="R877" t="str">
            <v>No</v>
          </cell>
          <cell r="S877" t="str">
            <v>No</v>
          </cell>
          <cell r="T877" t="str">
            <v>Yes</v>
          </cell>
        </row>
        <row r="878">
          <cell r="M878" t="str">
            <v>Aluminium Valance - Fabric CoveredInside Window Mount1.1nm 12v Acmeda Short Motor</v>
          </cell>
          <cell r="N878">
            <v>0</v>
          </cell>
          <cell r="O878" t="str">
            <v>N/A</v>
          </cell>
          <cell r="P878">
            <v>0</v>
          </cell>
          <cell r="Q878" t="str">
            <v>N/A</v>
          </cell>
          <cell r="R878" t="str">
            <v>No</v>
          </cell>
          <cell r="S878" t="str">
            <v>No</v>
          </cell>
          <cell r="T878" t="str">
            <v>Yes</v>
          </cell>
        </row>
        <row r="879">
          <cell r="M879" t="str">
            <v>Side ChannelsInside Window Mount1.1nm 12v Acmeda Short Motor</v>
          </cell>
          <cell r="N879">
            <v>10</v>
          </cell>
          <cell r="O879" t="str">
            <v>N/A</v>
          </cell>
          <cell r="P879" t="str">
            <v>N/A</v>
          </cell>
          <cell r="Q879">
            <v>60</v>
          </cell>
          <cell r="R879" t="str">
            <v>N/A</v>
          </cell>
          <cell r="S879" t="str">
            <v>No</v>
          </cell>
          <cell r="T879" t="str">
            <v>N/A</v>
          </cell>
        </row>
        <row r="880">
          <cell r="M880" t="str">
            <v>Zipscreen HoodingInside Window Mount1.1nm 12v Acmeda Short Motor</v>
          </cell>
          <cell r="N880">
            <v>17</v>
          </cell>
          <cell r="O880">
            <v>66</v>
          </cell>
          <cell r="P880">
            <v>66</v>
          </cell>
          <cell r="Q880" t="str">
            <v>N/A</v>
          </cell>
          <cell r="R880" t="str">
            <v>N/A</v>
          </cell>
          <cell r="S880" t="str">
            <v>No</v>
          </cell>
          <cell r="T880" t="str">
            <v>N/A</v>
          </cell>
        </row>
        <row r="881">
          <cell r="M881" t="str">
            <v>NoneInside Window Mount1.1nm 12v Acmeda DCRF Motor with External Battery</v>
          </cell>
          <cell r="N881">
            <v>0</v>
          </cell>
          <cell r="O881" t="str">
            <v>N/A</v>
          </cell>
          <cell r="P881" t="str">
            <v>N/A</v>
          </cell>
          <cell r="Q881" t="str">
            <v>N/A</v>
          </cell>
          <cell r="R881" t="str">
            <v>N/A</v>
          </cell>
          <cell r="S881" t="str">
            <v>No</v>
          </cell>
          <cell r="T881" t="str">
            <v>N/A</v>
          </cell>
        </row>
        <row r="882">
          <cell r="M882" t="str">
            <v>Straight Upholstered PelmetInside Window Mount1.1nm 12v Acmeda DCRF Motor with External Battery</v>
          </cell>
          <cell r="N882">
            <v>0</v>
          </cell>
          <cell r="O882" t="str">
            <v>N/A</v>
          </cell>
          <cell r="P882" t="str">
            <v>N/A</v>
          </cell>
          <cell r="Q882" t="str">
            <v>N/A</v>
          </cell>
          <cell r="R882" t="str">
            <v>N/A</v>
          </cell>
          <cell r="S882" t="str">
            <v>No</v>
          </cell>
          <cell r="T882" t="str">
            <v>N/A</v>
          </cell>
        </row>
        <row r="883">
          <cell r="M883" t="str">
            <v>Shaped Upholstered PelmetInside Window Mount1.1nm 12v Acmeda DCRF Motor with External Battery</v>
          </cell>
          <cell r="N883">
            <v>0</v>
          </cell>
          <cell r="O883" t="str">
            <v>N/A</v>
          </cell>
          <cell r="P883" t="str">
            <v>N/A</v>
          </cell>
          <cell r="Q883" t="str">
            <v>N/A</v>
          </cell>
          <cell r="R883" t="str">
            <v>N/A</v>
          </cell>
          <cell r="S883" t="str">
            <v>No</v>
          </cell>
          <cell r="T883" t="str">
            <v>N/A</v>
          </cell>
        </row>
        <row r="884">
          <cell r="M884" t="str">
            <v>Aluminium PelmetInside Window Mount1.1nm 12v Acmeda DCRF Motor with External Battery</v>
          </cell>
          <cell r="N884">
            <v>0</v>
          </cell>
          <cell r="O884">
            <v>0</v>
          </cell>
          <cell r="P884" t="str">
            <v>N/A</v>
          </cell>
          <cell r="Q884" t="str">
            <v>N/A</v>
          </cell>
          <cell r="R884" t="str">
            <v>No</v>
          </cell>
          <cell r="S884" t="str">
            <v>No</v>
          </cell>
          <cell r="T884" t="str">
            <v>Yes</v>
          </cell>
        </row>
        <row r="885">
          <cell r="M885" t="str">
            <v>Square CassetteInside Window Mount1.1nm 12v Acmeda DCRF Motor with External Battery</v>
          </cell>
          <cell r="N885">
            <v>10</v>
          </cell>
          <cell r="O885">
            <v>14</v>
          </cell>
          <cell r="P885">
            <v>14</v>
          </cell>
          <cell r="Q885" t="str">
            <v>N/A</v>
          </cell>
          <cell r="R885" t="str">
            <v>No</v>
          </cell>
          <cell r="S885" t="str">
            <v>No</v>
          </cell>
          <cell r="T885" t="str">
            <v>No</v>
          </cell>
        </row>
        <row r="886">
          <cell r="M886" t="str">
            <v>Square Cassette with Side ChannelsInside Window Mount1.1nm 12v Acmeda DCRF Motor with External Battery</v>
          </cell>
          <cell r="N886">
            <v>10</v>
          </cell>
          <cell r="O886">
            <v>14</v>
          </cell>
          <cell r="P886">
            <v>14</v>
          </cell>
          <cell r="Q886">
            <v>88</v>
          </cell>
          <cell r="R886" t="str">
            <v>No</v>
          </cell>
          <cell r="S886" t="str">
            <v>Yes</v>
          </cell>
          <cell r="T886" t="str">
            <v>No</v>
          </cell>
        </row>
        <row r="887">
          <cell r="M887" t="str">
            <v>Round CassetteInside Window Mount1.1nm 12v Acmeda DCRF Motor with External Battery</v>
          </cell>
          <cell r="N887">
            <v>10</v>
          </cell>
          <cell r="O887">
            <v>14</v>
          </cell>
          <cell r="P887">
            <v>14</v>
          </cell>
          <cell r="Q887" t="str">
            <v>N/A</v>
          </cell>
          <cell r="R887" t="str">
            <v>No</v>
          </cell>
          <cell r="S887" t="str">
            <v>No</v>
          </cell>
          <cell r="T887" t="str">
            <v>No</v>
          </cell>
        </row>
        <row r="888">
          <cell r="M888" t="str">
            <v>Round Cassette with Side ChannelsInside Window Mount1.1nm 12v Acmeda DCRF Motor with External Battery</v>
          </cell>
          <cell r="N888">
            <v>10</v>
          </cell>
          <cell r="O888">
            <v>14</v>
          </cell>
          <cell r="P888">
            <v>14</v>
          </cell>
          <cell r="Q888">
            <v>88</v>
          </cell>
          <cell r="R888" t="str">
            <v>No</v>
          </cell>
          <cell r="S888" t="str">
            <v>Yes</v>
          </cell>
          <cell r="T888" t="str">
            <v>No</v>
          </cell>
        </row>
        <row r="889">
          <cell r="M889" t="str">
            <v>Aluminium ValanceInside Window Mount1.1nm 12v Acmeda DCRF Motor with External Battery</v>
          </cell>
          <cell r="N889">
            <v>0</v>
          </cell>
          <cell r="O889" t="str">
            <v>N/A</v>
          </cell>
          <cell r="P889">
            <v>0</v>
          </cell>
          <cell r="Q889" t="str">
            <v>N/A</v>
          </cell>
          <cell r="R889" t="str">
            <v>No</v>
          </cell>
          <cell r="S889" t="str">
            <v>No</v>
          </cell>
          <cell r="T889" t="str">
            <v>Yes</v>
          </cell>
        </row>
        <row r="890">
          <cell r="M890" t="str">
            <v>Aluminium Valance - Fabric CoveredInside Window Mount1.1nm 12v Acmeda DCRF Motor with External Battery</v>
          </cell>
          <cell r="N890">
            <v>0</v>
          </cell>
          <cell r="O890" t="str">
            <v>N/A</v>
          </cell>
          <cell r="P890">
            <v>0</v>
          </cell>
          <cell r="Q890" t="str">
            <v>N/A</v>
          </cell>
          <cell r="R890" t="str">
            <v>No</v>
          </cell>
          <cell r="S890" t="str">
            <v>No</v>
          </cell>
          <cell r="T890" t="str">
            <v>Yes</v>
          </cell>
        </row>
        <row r="891">
          <cell r="M891" t="str">
            <v>Side ChannelsInside Window Mount1.1nm 12v Acmeda DCRF Motor with External Battery</v>
          </cell>
          <cell r="N891">
            <v>10</v>
          </cell>
          <cell r="O891" t="str">
            <v>N/A</v>
          </cell>
          <cell r="P891" t="str">
            <v>N/A</v>
          </cell>
          <cell r="Q891">
            <v>60</v>
          </cell>
          <cell r="R891" t="str">
            <v>N/A</v>
          </cell>
          <cell r="S891" t="str">
            <v>No</v>
          </cell>
          <cell r="T891" t="str">
            <v>N/A</v>
          </cell>
        </row>
        <row r="892">
          <cell r="M892" t="str">
            <v>Zipscreen HoodingInside Window Mount1.1nm 12v Acmeda DCRF Motor with External Battery</v>
          </cell>
          <cell r="N892">
            <v>17</v>
          </cell>
          <cell r="O892">
            <v>66</v>
          </cell>
          <cell r="P892">
            <v>66</v>
          </cell>
          <cell r="Q892" t="str">
            <v>N/A</v>
          </cell>
          <cell r="R892" t="str">
            <v>N/A</v>
          </cell>
          <cell r="S892" t="str">
            <v>No</v>
          </cell>
          <cell r="T892" t="str">
            <v>N/A</v>
          </cell>
        </row>
        <row r="893">
          <cell r="M893" t="str">
            <v>NoneInside Window Mount1.1nm 12v Acmeda DCRF Motor</v>
          </cell>
          <cell r="N893">
            <v>0</v>
          </cell>
          <cell r="O893" t="str">
            <v>N/A</v>
          </cell>
          <cell r="P893" t="str">
            <v>N/A</v>
          </cell>
          <cell r="Q893" t="str">
            <v>N/A</v>
          </cell>
          <cell r="R893" t="str">
            <v>N/A</v>
          </cell>
          <cell r="S893" t="str">
            <v>No</v>
          </cell>
          <cell r="T893" t="str">
            <v>N/A</v>
          </cell>
        </row>
        <row r="894">
          <cell r="M894" t="str">
            <v>Straight Upholstered PelmetInside Window Mount1.1nm 12v Acmeda DCRF Motor</v>
          </cell>
          <cell r="N894">
            <v>0</v>
          </cell>
          <cell r="O894" t="str">
            <v>N/A</v>
          </cell>
          <cell r="P894" t="str">
            <v>N/A</v>
          </cell>
          <cell r="Q894" t="str">
            <v>N/A</v>
          </cell>
          <cell r="R894" t="str">
            <v>N/A</v>
          </cell>
          <cell r="S894" t="str">
            <v>No</v>
          </cell>
          <cell r="T894" t="str">
            <v>N/A</v>
          </cell>
        </row>
        <row r="895">
          <cell r="M895" t="str">
            <v>Shaped Upholstered PelmetInside Window Mount1.1nm 12v Acmeda DCRF Motor</v>
          </cell>
          <cell r="N895">
            <v>0</v>
          </cell>
          <cell r="O895" t="str">
            <v>N/A</v>
          </cell>
          <cell r="P895" t="str">
            <v>N/A</v>
          </cell>
          <cell r="Q895" t="str">
            <v>N/A</v>
          </cell>
          <cell r="R895" t="str">
            <v>N/A</v>
          </cell>
          <cell r="S895" t="str">
            <v>No</v>
          </cell>
          <cell r="T895" t="str">
            <v>N/A</v>
          </cell>
        </row>
        <row r="896">
          <cell r="M896" t="str">
            <v>Aluminium PelmetInside Window Mount1.1nm 12v Acmeda DCRF Motor</v>
          </cell>
          <cell r="N896">
            <v>0</v>
          </cell>
          <cell r="O896">
            <v>0</v>
          </cell>
          <cell r="P896" t="str">
            <v>N/A</v>
          </cell>
          <cell r="Q896" t="str">
            <v>N/A</v>
          </cell>
          <cell r="R896" t="str">
            <v>No</v>
          </cell>
          <cell r="S896" t="str">
            <v>No</v>
          </cell>
          <cell r="T896" t="str">
            <v>Yes</v>
          </cell>
        </row>
        <row r="897">
          <cell r="M897" t="str">
            <v>Square CassetteInside Window Mount1.1nm 12v Acmeda DCRF Motor</v>
          </cell>
          <cell r="N897">
            <v>10</v>
          </cell>
          <cell r="O897">
            <v>14</v>
          </cell>
          <cell r="P897">
            <v>14</v>
          </cell>
          <cell r="Q897" t="str">
            <v>N/A</v>
          </cell>
          <cell r="R897" t="str">
            <v>No</v>
          </cell>
          <cell r="S897" t="str">
            <v>No</v>
          </cell>
          <cell r="T897" t="str">
            <v>No</v>
          </cell>
        </row>
        <row r="898">
          <cell r="M898" t="str">
            <v>Square Cassette with Side ChannelsInside Window Mount1.1nm 12v Acmeda DCRF Motor</v>
          </cell>
          <cell r="N898">
            <v>10</v>
          </cell>
          <cell r="O898">
            <v>14</v>
          </cell>
          <cell r="P898">
            <v>14</v>
          </cell>
          <cell r="Q898">
            <v>88</v>
          </cell>
          <cell r="R898" t="str">
            <v>No</v>
          </cell>
          <cell r="S898" t="str">
            <v>Yes</v>
          </cell>
          <cell r="T898" t="str">
            <v>No</v>
          </cell>
        </row>
        <row r="899">
          <cell r="M899" t="str">
            <v>Round CassetteInside Window Mount1.1nm 12v Acmeda DCRF Motor</v>
          </cell>
          <cell r="N899">
            <v>10</v>
          </cell>
          <cell r="O899">
            <v>14</v>
          </cell>
          <cell r="P899">
            <v>14</v>
          </cell>
          <cell r="Q899" t="str">
            <v>N/A</v>
          </cell>
          <cell r="R899" t="str">
            <v>No</v>
          </cell>
          <cell r="S899" t="str">
            <v>No</v>
          </cell>
          <cell r="T899" t="str">
            <v>No</v>
          </cell>
        </row>
        <row r="900">
          <cell r="M900" t="str">
            <v>Round Cassette with Side ChannelsInside Window Mount1.1nm 12v Acmeda DCRF Motor</v>
          </cell>
          <cell r="N900">
            <v>10</v>
          </cell>
          <cell r="O900">
            <v>14</v>
          </cell>
          <cell r="P900">
            <v>14</v>
          </cell>
          <cell r="Q900">
            <v>88</v>
          </cell>
          <cell r="R900" t="str">
            <v>No</v>
          </cell>
          <cell r="S900" t="str">
            <v>Yes</v>
          </cell>
          <cell r="T900" t="str">
            <v>No</v>
          </cell>
        </row>
        <row r="901">
          <cell r="M901" t="str">
            <v>Aluminium ValanceInside Window Mount1.1nm 12v Acmeda DCRF Motor</v>
          </cell>
          <cell r="N901">
            <v>0</v>
          </cell>
          <cell r="O901" t="str">
            <v>N/A</v>
          </cell>
          <cell r="P901">
            <v>0</v>
          </cell>
          <cell r="Q901" t="str">
            <v>N/A</v>
          </cell>
          <cell r="R901" t="str">
            <v>No</v>
          </cell>
          <cell r="S901" t="str">
            <v>No</v>
          </cell>
          <cell r="T901" t="str">
            <v>Yes</v>
          </cell>
        </row>
        <row r="902">
          <cell r="M902" t="str">
            <v>Aluminium Valance - Fabric CoveredInside Window Mount1.1nm 12v Acmeda DCRF Motor</v>
          </cell>
          <cell r="N902">
            <v>0</v>
          </cell>
          <cell r="O902" t="str">
            <v>N/A</v>
          </cell>
          <cell r="P902">
            <v>0</v>
          </cell>
          <cell r="Q902" t="str">
            <v>N/A</v>
          </cell>
          <cell r="R902" t="str">
            <v>No</v>
          </cell>
          <cell r="S902" t="str">
            <v>No</v>
          </cell>
          <cell r="T902" t="str">
            <v>Yes</v>
          </cell>
        </row>
        <row r="903">
          <cell r="M903" t="str">
            <v>Side ChannelsInside Window Mount1.1nm 12v Acmeda DCRF Motor</v>
          </cell>
          <cell r="N903">
            <v>10</v>
          </cell>
          <cell r="O903" t="str">
            <v>N/A</v>
          </cell>
          <cell r="P903" t="str">
            <v>N/A</v>
          </cell>
          <cell r="Q903">
            <v>60</v>
          </cell>
          <cell r="R903" t="str">
            <v>N/A</v>
          </cell>
          <cell r="S903" t="str">
            <v>No</v>
          </cell>
          <cell r="T903" t="str">
            <v>N/A</v>
          </cell>
        </row>
        <row r="904">
          <cell r="M904" t="str">
            <v>Zipscreen HoodingInside Window Mount1.1nm 12v Acmeda DCRF Motor</v>
          </cell>
          <cell r="N904">
            <v>17</v>
          </cell>
          <cell r="O904">
            <v>66</v>
          </cell>
          <cell r="P904">
            <v>66</v>
          </cell>
          <cell r="Q904" t="str">
            <v>N/A</v>
          </cell>
          <cell r="R904" t="str">
            <v>N/A</v>
          </cell>
          <cell r="S904" t="str">
            <v>No</v>
          </cell>
          <cell r="T904" t="str">
            <v>N/A</v>
          </cell>
        </row>
        <row r="905">
          <cell r="M905" t="str">
            <v>NoneInside Window Mount2nm 12v Acmeda DCRF Motor</v>
          </cell>
          <cell r="N905">
            <v>0</v>
          </cell>
          <cell r="O905" t="str">
            <v>N/A</v>
          </cell>
          <cell r="P905" t="str">
            <v>N/A</v>
          </cell>
          <cell r="Q905" t="str">
            <v>N/A</v>
          </cell>
          <cell r="R905" t="str">
            <v>N/A</v>
          </cell>
          <cell r="S905" t="str">
            <v>No</v>
          </cell>
          <cell r="T905" t="str">
            <v>N/A</v>
          </cell>
        </row>
        <row r="906">
          <cell r="M906" t="str">
            <v>Straight Upholstered PelmetInside Window Mount2nm 12v Acmeda DCRF Motor</v>
          </cell>
          <cell r="N906">
            <v>0</v>
          </cell>
          <cell r="O906" t="str">
            <v>N/A</v>
          </cell>
          <cell r="P906" t="str">
            <v>N/A</v>
          </cell>
          <cell r="Q906" t="str">
            <v>N/A</v>
          </cell>
          <cell r="R906" t="str">
            <v>N/A</v>
          </cell>
          <cell r="S906" t="str">
            <v>No</v>
          </cell>
          <cell r="T906" t="str">
            <v>N/A</v>
          </cell>
        </row>
        <row r="907">
          <cell r="M907" t="str">
            <v>Shaped Upholstered PelmetInside Window Mount2nm 12v Acmeda DCRF Motor</v>
          </cell>
          <cell r="N907">
            <v>0</v>
          </cell>
          <cell r="O907" t="str">
            <v>N/A</v>
          </cell>
          <cell r="P907" t="str">
            <v>N/A</v>
          </cell>
          <cell r="Q907" t="str">
            <v>N/A</v>
          </cell>
          <cell r="R907" t="str">
            <v>N/A</v>
          </cell>
          <cell r="S907" t="str">
            <v>No</v>
          </cell>
          <cell r="T907" t="str">
            <v>N/A</v>
          </cell>
        </row>
        <row r="908">
          <cell r="M908" t="str">
            <v>Aluminium PelmetInside Window Mount2nm 12v Acmeda DCRF Motor</v>
          </cell>
          <cell r="N908">
            <v>0</v>
          </cell>
          <cell r="O908">
            <v>0</v>
          </cell>
          <cell r="P908" t="str">
            <v>N/A</v>
          </cell>
          <cell r="Q908" t="str">
            <v>N/A</v>
          </cell>
          <cell r="R908" t="str">
            <v>No</v>
          </cell>
          <cell r="S908" t="str">
            <v>No</v>
          </cell>
          <cell r="T908" t="str">
            <v>Yes</v>
          </cell>
        </row>
        <row r="909">
          <cell r="M909" t="str">
            <v>Square CassetteInside Window Mount2nm 12v Acmeda DCRF Motor</v>
          </cell>
          <cell r="N909">
            <v>10</v>
          </cell>
          <cell r="O909">
            <v>14</v>
          </cell>
          <cell r="P909">
            <v>14</v>
          </cell>
          <cell r="Q909" t="str">
            <v>N/A</v>
          </cell>
          <cell r="R909" t="str">
            <v>No</v>
          </cell>
          <cell r="S909" t="str">
            <v>No</v>
          </cell>
          <cell r="T909" t="str">
            <v>No</v>
          </cell>
        </row>
        <row r="910">
          <cell r="M910" t="str">
            <v>Square Cassette with Side ChannelsInside Window Mount2nm 12v Acmeda DCRF Motor</v>
          </cell>
          <cell r="N910">
            <v>10</v>
          </cell>
          <cell r="O910">
            <v>14</v>
          </cell>
          <cell r="P910">
            <v>14</v>
          </cell>
          <cell r="Q910">
            <v>88</v>
          </cell>
          <cell r="R910" t="str">
            <v>No</v>
          </cell>
          <cell r="S910" t="str">
            <v>Yes</v>
          </cell>
          <cell r="T910" t="str">
            <v>No</v>
          </cell>
        </row>
        <row r="911">
          <cell r="M911" t="str">
            <v>Round CassetteInside Window Mount2nm 12v Acmeda DCRF Motor</v>
          </cell>
          <cell r="N911">
            <v>10</v>
          </cell>
          <cell r="O911">
            <v>14</v>
          </cell>
          <cell r="P911">
            <v>14</v>
          </cell>
          <cell r="Q911" t="str">
            <v>N/A</v>
          </cell>
          <cell r="R911" t="str">
            <v>No</v>
          </cell>
          <cell r="S911" t="str">
            <v>No</v>
          </cell>
          <cell r="T911" t="str">
            <v>No</v>
          </cell>
        </row>
        <row r="912">
          <cell r="M912" t="str">
            <v>Round Cassette with Side ChannelsInside Window Mount2nm 12v Acmeda DCRF Motor</v>
          </cell>
          <cell r="N912">
            <v>10</v>
          </cell>
          <cell r="O912">
            <v>14</v>
          </cell>
          <cell r="P912">
            <v>14</v>
          </cell>
          <cell r="Q912">
            <v>88</v>
          </cell>
          <cell r="R912" t="str">
            <v>No</v>
          </cell>
          <cell r="S912" t="str">
            <v>Yes</v>
          </cell>
          <cell r="T912" t="str">
            <v>No</v>
          </cell>
        </row>
        <row r="913">
          <cell r="M913" t="str">
            <v>Aluminium ValanceInside Window Mount2nm 12v Acmeda DCRF Motor</v>
          </cell>
          <cell r="N913">
            <v>0</v>
          </cell>
          <cell r="O913" t="str">
            <v>N/A</v>
          </cell>
          <cell r="P913">
            <v>0</v>
          </cell>
          <cell r="Q913" t="str">
            <v>N/A</v>
          </cell>
          <cell r="R913" t="str">
            <v>No</v>
          </cell>
          <cell r="S913" t="str">
            <v>No</v>
          </cell>
          <cell r="T913" t="str">
            <v>Yes</v>
          </cell>
        </row>
        <row r="914">
          <cell r="M914" t="str">
            <v>Aluminium Valance - Fabric CoveredInside Window Mount2nm 12v Acmeda DCRF Motor</v>
          </cell>
          <cell r="N914">
            <v>0</v>
          </cell>
          <cell r="O914" t="str">
            <v>N/A</v>
          </cell>
          <cell r="P914">
            <v>0</v>
          </cell>
          <cell r="Q914" t="str">
            <v>N/A</v>
          </cell>
          <cell r="R914" t="str">
            <v>No</v>
          </cell>
          <cell r="S914" t="str">
            <v>No</v>
          </cell>
          <cell r="T914" t="str">
            <v>Yes</v>
          </cell>
        </row>
        <row r="915">
          <cell r="M915" t="str">
            <v>Side ChannelsInside Window Mount2nm 12v Acmeda DCRF Motor</v>
          </cell>
          <cell r="N915">
            <v>10</v>
          </cell>
          <cell r="O915" t="str">
            <v>N/A</v>
          </cell>
          <cell r="P915" t="str">
            <v>N/A</v>
          </cell>
          <cell r="Q915">
            <v>60</v>
          </cell>
          <cell r="R915" t="str">
            <v>N/A</v>
          </cell>
          <cell r="S915" t="str">
            <v>No</v>
          </cell>
          <cell r="T915" t="str">
            <v>N/A</v>
          </cell>
        </row>
        <row r="916">
          <cell r="M916" t="str">
            <v>Zipscreen HoodingInside Window Mount2nm 12v Acmeda DCRF Motor</v>
          </cell>
          <cell r="N916">
            <v>17</v>
          </cell>
          <cell r="O916">
            <v>66</v>
          </cell>
          <cell r="P916">
            <v>66</v>
          </cell>
          <cell r="Q916" t="str">
            <v>N/A</v>
          </cell>
          <cell r="R916" t="str">
            <v>N/A</v>
          </cell>
          <cell r="S916" t="str">
            <v>No</v>
          </cell>
          <cell r="T916" t="str">
            <v>N/A</v>
          </cell>
        </row>
        <row r="917">
          <cell r="M917" t="str">
            <v>NoneInside Window MountSomfy Remote Sonesse Motor</v>
          </cell>
          <cell r="N917">
            <v>0</v>
          </cell>
          <cell r="O917" t="str">
            <v>N/A</v>
          </cell>
          <cell r="P917" t="str">
            <v>N/A</v>
          </cell>
          <cell r="Q917" t="str">
            <v>N/A</v>
          </cell>
          <cell r="R917" t="str">
            <v>N/A</v>
          </cell>
          <cell r="S917" t="str">
            <v>No</v>
          </cell>
          <cell r="T917" t="str">
            <v>N/A</v>
          </cell>
        </row>
        <row r="918">
          <cell r="M918" t="str">
            <v>Straight Upholstered PelmetInside Window MountSomfy Remote Sonesse Motor</v>
          </cell>
          <cell r="N918">
            <v>0</v>
          </cell>
          <cell r="O918" t="str">
            <v>N/A</v>
          </cell>
          <cell r="P918" t="str">
            <v>N/A</v>
          </cell>
          <cell r="Q918" t="str">
            <v>N/A</v>
          </cell>
          <cell r="R918" t="str">
            <v>N/A</v>
          </cell>
          <cell r="S918" t="str">
            <v>No</v>
          </cell>
          <cell r="T918" t="str">
            <v>N/A</v>
          </cell>
        </row>
        <row r="919">
          <cell r="M919" t="str">
            <v>Shaped Upholstered PelmetInside Window MountSomfy Remote Sonesse Motor</v>
          </cell>
          <cell r="N919">
            <v>0</v>
          </cell>
          <cell r="O919" t="str">
            <v>N/A</v>
          </cell>
          <cell r="P919" t="str">
            <v>N/A</v>
          </cell>
          <cell r="Q919" t="str">
            <v>N/A</v>
          </cell>
          <cell r="R919" t="str">
            <v>N/A</v>
          </cell>
          <cell r="S919" t="str">
            <v>No</v>
          </cell>
          <cell r="T919" t="str">
            <v>N/A</v>
          </cell>
        </row>
        <row r="920">
          <cell r="M920" t="str">
            <v>Aluminium PelmetInside Window MountSomfy Remote Sonesse Motor</v>
          </cell>
          <cell r="N920">
            <v>0</v>
          </cell>
          <cell r="O920">
            <v>0</v>
          </cell>
          <cell r="P920" t="str">
            <v>N/A</v>
          </cell>
          <cell r="Q920" t="str">
            <v>N/A</v>
          </cell>
          <cell r="R920" t="str">
            <v>No</v>
          </cell>
          <cell r="S920" t="str">
            <v>No</v>
          </cell>
          <cell r="T920" t="str">
            <v>Yes</v>
          </cell>
        </row>
        <row r="921">
          <cell r="M921" t="str">
            <v>Square CassetteInside Window MountSomfy Remote Sonesse Motor</v>
          </cell>
          <cell r="N921">
            <v>10</v>
          </cell>
          <cell r="O921">
            <v>14</v>
          </cell>
          <cell r="P921">
            <v>14</v>
          </cell>
          <cell r="Q921" t="str">
            <v>N/A</v>
          </cell>
          <cell r="R921" t="str">
            <v>No</v>
          </cell>
          <cell r="S921" t="str">
            <v>No</v>
          </cell>
          <cell r="T921" t="str">
            <v>No</v>
          </cell>
        </row>
        <row r="922">
          <cell r="M922" t="str">
            <v>Square Cassette with Side ChannelsInside Window MountSomfy Remote Sonesse Motor</v>
          </cell>
          <cell r="N922">
            <v>10</v>
          </cell>
          <cell r="O922">
            <v>14</v>
          </cell>
          <cell r="P922">
            <v>14</v>
          </cell>
          <cell r="Q922">
            <v>88</v>
          </cell>
          <cell r="R922" t="str">
            <v>No</v>
          </cell>
          <cell r="S922" t="str">
            <v>Yes</v>
          </cell>
          <cell r="T922" t="str">
            <v>No</v>
          </cell>
        </row>
        <row r="923">
          <cell r="M923" t="str">
            <v>Round CassetteInside Window MountSomfy Remote Sonesse Motor</v>
          </cell>
          <cell r="N923">
            <v>10</v>
          </cell>
          <cell r="O923">
            <v>14</v>
          </cell>
          <cell r="P923">
            <v>14</v>
          </cell>
          <cell r="Q923" t="str">
            <v>N/A</v>
          </cell>
          <cell r="R923" t="str">
            <v>No</v>
          </cell>
          <cell r="S923" t="str">
            <v>No</v>
          </cell>
          <cell r="T923" t="str">
            <v>No</v>
          </cell>
        </row>
        <row r="924">
          <cell r="M924" t="str">
            <v>Round Cassette with Side ChannelsInside Window MountSomfy Remote Sonesse Motor</v>
          </cell>
          <cell r="N924">
            <v>10</v>
          </cell>
          <cell r="O924">
            <v>14</v>
          </cell>
          <cell r="P924">
            <v>14</v>
          </cell>
          <cell r="Q924">
            <v>88</v>
          </cell>
          <cell r="R924" t="str">
            <v>No</v>
          </cell>
          <cell r="S924" t="str">
            <v>Yes</v>
          </cell>
          <cell r="T924" t="str">
            <v>No</v>
          </cell>
        </row>
        <row r="925">
          <cell r="M925" t="str">
            <v>Aluminium ValanceInside Window MountSomfy Remote Sonesse Motor</v>
          </cell>
          <cell r="N925">
            <v>0</v>
          </cell>
          <cell r="O925" t="str">
            <v>N/A</v>
          </cell>
          <cell r="P925">
            <v>0</v>
          </cell>
          <cell r="Q925" t="str">
            <v>N/A</v>
          </cell>
          <cell r="R925" t="str">
            <v>No</v>
          </cell>
          <cell r="S925" t="str">
            <v>No</v>
          </cell>
          <cell r="T925" t="str">
            <v>Yes</v>
          </cell>
        </row>
        <row r="926">
          <cell r="M926" t="str">
            <v>Aluminium Valance - Fabric CoveredInside Window MountSomfy Remote Sonesse Motor</v>
          </cell>
          <cell r="N926">
            <v>0</v>
          </cell>
          <cell r="O926" t="str">
            <v>N/A</v>
          </cell>
          <cell r="P926">
            <v>0</v>
          </cell>
          <cell r="Q926" t="str">
            <v>N/A</v>
          </cell>
          <cell r="R926" t="str">
            <v>No</v>
          </cell>
          <cell r="S926" t="str">
            <v>No</v>
          </cell>
          <cell r="T926" t="str">
            <v>Yes</v>
          </cell>
        </row>
        <row r="927">
          <cell r="M927" t="str">
            <v>Side ChannelsInside Window MountSomfy Remote Sonesse Motor</v>
          </cell>
          <cell r="N927">
            <v>10</v>
          </cell>
          <cell r="O927" t="str">
            <v>N/A</v>
          </cell>
          <cell r="P927" t="str">
            <v>N/A</v>
          </cell>
          <cell r="Q927">
            <v>60</v>
          </cell>
          <cell r="R927" t="str">
            <v>N/A</v>
          </cell>
          <cell r="S927" t="str">
            <v>No</v>
          </cell>
          <cell r="T927" t="str">
            <v>N/A</v>
          </cell>
        </row>
        <row r="928">
          <cell r="M928" t="str">
            <v>Zipscreen HoodingInside Window MountSomfy Remote Sonesse Motor</v>
          </cell>
          <cell r="N928">
            <v>17</v>
          </cell>
          <cell r="O928">
            <v>66</v>
          </cell>
          <cell r="P928">
            <v>66</v>
          </cell>
          <cell r="Q928" t="str">
            <v>N/A</v>
          </cell>
          <cell r="R928" t="str">
            <v>N/A</v>
          </cell>
          <cell r="S928" t="str">
            <v>No</v>
          </cell>
          <cell r="T928" t="str">
            <v>N/A</v>
          </cell>
        </row>
        <row r="929">
          <cell r="M929" t="str">
            <v>NoneInside Window MountSomfy 12v Remote Sonesse Motor</v>
          </cell>
          <cell r="N929">
            <v>0</v>
          </cell>
          <cell r="O929" t="str">
            <v>N/A</v>
          </cell>
          <cell r="P929" t="str">
            <v>N/A</v>
          </cell>
          <cell r="Q929" t="str">
            <v>N/A</v>
          </cell>
          <cell r="R929" t="str">
            <v>N/A</v>
          </cell>
          <cell r="S929" t="str">
            <v>No</v>
          </cell>
          <cell r="T929" t="str">
            <v>N/A</v>
          </cell>
        </row>
        <row r="930">
          <cell r="M930" t="str">
            <v>Straight Upholstered PelmetInside Window MountSomfy 12v Remote Sonesse Motor</v>
          </cell>
          <cell r="N930">
            <v>0</v>
          </cell>
          <cell r="O930" t="str">
            <v>N/A</v>
          </cell>
          <cell r="P930" t="str">
            <v>N/A</v>
          </cell>
          <cell r="Q930" t="str">
            <v>N/A</v>
          </cell>
          <cell r="R930" t="str">
            <v>N/A</v>
          </cell>
          <cell r="S930" t="str">
            <v>No</v>
          </cell>
          <cell r="T930" t="str">
            <v>N/A</v>
          </cell>
        </row>
        <row r="931">
          <cell r="M931" t="str">
            <v>Shaped Upholstered PelmetInside Window MountSomfy 12v Remote Sonesse Motor</v>
          </cell>
          <cell r="N931">
            <v>0</v>
          </cell>
          <cell r="O931" t="str">
            <v>N/A</v>
          </cell>
          <cell r="P931" t="str">
            <v>N/A</v>
          </cell>
          <cell r="Q931" t="str">
            <v>N/A</v>
          </cell>
          <cell r="R931" t="str">
            <v>N/A</v>
          </cell>
          <cell r="S931" t="str">
            <v>No</v>
          </cell>
          <cell r="T931" t="str">
            <v>N/A</v>
          </cell>
        </row>
        <row r="932">
          <cell r="M932" t="str">
            <v>Aluminium PelmetInside Window MountSomfy 12v Remote Sonesse Motor</v>
          </cell>
          <cell r="N932">
            <v>0</v>
          </cell>
          <cell r="O932">
            <v>0</v>
          </cell>
          <cell r="P932" t="str">
            <v>N/A</v>
          </cell>
          <cell r="Q932" t="str">
            <v>N/A</v>
          </cell>
          <cell r="R932" t="str">
            <v>No</v>
          </cell>
          <cell r="S932" t="str">
            <v>No</v>
          </cell>
          <cell r="T932" t="str">
            <v>Yes</v>
          </cell>
        </row>
        <row r="933">
          <cell r="M933" t="str">
            <v>Square CassetteInside Window MountSomfy 12v Remote Sonesse Motor</v>
          </cell>
          <cell r="N933">
            <v>10</v>
          </cell>
          <cell r="O933">
            <v>14</v>
          </cell>
          <cell r="P933">
            <v>14</v>
          </cell>
          <cell r="Q933" t="str">
            <v>N/A</v>
          </cell>
          <cell r="R933" t="str">
            <v>No</v>
          </cell>
          <cell r="S933" t="str">
            <v>No</v>
          </cell>
          <cell r="T933" t="str">
            <v>No</v>
          </cell>
        </row>
        <row r="934">
          <cell r="M934" t="str">
            <v>Square Cassette with Side ChannelsInside Window MountSomfy 12v Remote Sonesse Motor</v>
          </cell>
          <cell r="N934">
            <v>10</v>
          </cell>
          <cell r="O934">
            <v>14</v>
          </cell>
          <cell r="P934">
            <v>14</v>
          </cell>
          <cell r="Q934">
            <v>88</v>
          </cell>
          <cell r="R934" t="str">
            <v>No</v>
          </cell>
          <cell r="S934" t="str">
            <v>Yes</v>
          </cell>
          <cell r="T934" t="str">
            <v>No</v>
          </cell>
        </row>
        <row r="935">
          <cell r="M935" t="str">
            <v>Round CassetteInside Window MountSomfy 12v Remote Sonesse Motor</v>
          </cell>
          <cell r="N935">
            <v>10</v>
          </cell>
          <cell r="O935">
            <v>14</v>
          </cell>
          <cell r="P935">
            <v>14</v>
          </cell>
          <cell r="Q935" t="str">
            <v>N/A</v>
          </cell>
          <cell r="R935" t="str">
            <v>No</v>
          </cell>
          <cell r="S935" t="str">
            <v>No</v>
          </cell>
          <cell r="T935" t="str">
            <v>No</v>
          </cell>
        </row>
        <row r="936">
          <cell r="M936" t="str">
            <v>Round Cassette with Side ChannelsInside Window MountSomfy 12v Remote Sonesse Motor</v>
          </cell>
          <cell r="N936">
            <v>10</v>
          </cell>
          <cell r="O936">
            <v>14</v>
          </cell>
          <cell r="P936">
            <v>14</v>
          </cell>
          <cell r="Q936">
            <v>88</v>
          </cell>
          <cell r="R936" t="str">
            <v>No</v>
          </cell>
          <cell r="S936" t="str">
            <v>Yes</v>
          </cell>
          <cell r="T936" t="str">
            <v>No</v>
          </cell>
        </row>
        <row r="937">
          <cell r="M937" t="str">
            <v>Aluminium ValanceInside Window MountSomfy 12v Remote Sonesse Motor</v>
          </cell>
          <cell r="N937">
            <v>0</v>
          </cell>
          <cell r="O937" t="str">
            <v>N/A</v>
          </cell>
          <cell r="P937">
            <v>0</v>
          </cell>
          <cell r="Q937" t="str">
            <v>N/A</v>
          </cell>
          <cell r="R937" t="str">
            <v>No</v>
          </cell>
          <cell r="S937" t="str">
            <v>No</v>
          </cell>
          <cell r="T937" t="str">
            <v>Yes</v>
          </cell>
        </row>
        <row r="938">
          <cell r="M938" t="str">
            <v>Aluminium Valance - Fabric CoveredInside Window MountSomfy 12v Remote Sonesse Motor</v>
          </cell>
          <cell r="N938">
            <v>0</v>
          </cell>
          <cell r="O938" t="str">
            <v>N/A</v>
          </cell>
          <cell r="P938">
            <v>0</v>
          </cell>
          <cell r="Q938" t="str">
            <v>N/A</v>
          </cell>
          <cell r="R938" t="str">
            <v>No</v>
          </cell>
          <cell r="S938" t="str">
            <v>No</v>
          </cell>
          <cell r="T938" t="str">
            <v>Yes</v>
          </cell>
        </row>
        <row r="939">
          <cell r="M939" t="str">
            <v>Side ChannelsInside Window MountSomfy 12v Remote Sonesse Motor</v>
          </cell>
          <cell r="N939">
            <v>10</v>
          </cell>
          <cell r="O939" t="str">
            <v>N/A</v>
          </cell>
          <cell r="P939" t="str">
            <v>N/A</v>
          </cell>
          <cell r="Q939">
            <v>60</v>
          </cell>
          <cell r="R939" t="str">
            <v>N/A</v>
          </cell>
          <cell r="S939" t="str">
            <v>No</v>
          </cell>
          <cell r="T939" t="str">
            <v>N/A</v>
          </cell>
        </row>
        <row r="940">
          <cell r="M940" t="str">
            <v>Zipscreen HoodingInside Window MountSomfy 12v Remote Sonesse Motor</v>
          </cell>
          <cell r="N940">
            <v>17</v>
          </cell>
          <cell r="O940">
            <v>66</v>
          </cell>
          <cell r="P940">
            <v>66</v>
          </cell>
          <cell r="Q940" t="str">
            <v>N/A</v>
          </cell>
          <cell r="R940" t="str">
            <v>N/A</v>
          </cell>
          <cell r="S940" t="str">
            <v>No</v>
          </cell>
          <cell r="T940" t="str">
            <v>N/A</v>
          </cell>
        </row>
        <row r="941">
          <cell r="M941" t="str">
            <v>NoneInside Window MountSomfy CBUS Motor</v>
          </cell>
          <cell r="N941">
            <v>0</v>
          </cell>
          <cell r="O941" t="str">
            <v>N/A</v>
          </cell>
          <cell r="P941" t="str">
            <v>N/A</v>
          </cell>
          <cell r="Q941" t="str">
            <v>N/A</v>
          </cell>
          <cell r="R941" t="str">
            <v>N/A</v>
          </cell>
          <cell r="S941" t="str">
            <v>No</v>
          </cell>
          <cell r="T941" t="str">
            <v>N/A</v>
          </cell>
        </row>
        <row r="942">
          <cell r="M942" t="str">
            <v>Straight Upholstered PelmetInside Window MountSomfy CBUS Motor</v>
          </cell>
          <cell r="N942">
            <v>0</v>
          </cell>
          <cell r="O942" t="str">
            <v>N/A</v>
          </cell>
          <cell r="P942" t="str">
            <v>N/A</v>
          </cell>
          <cell r="Q942" t="str">
            <v>N/A</v>
          </cell>
          <cell r="R942" t="str">
            <v>N/A</v>
          </cell>
          <cell r="S942" t="str">
            <v>No</v>
          </cell>
          <cell r="T942" t="str">
            <v>N/A</v>
          </cell>
        </row>
        <row r="943">
          <cell r="M943" t="str">
            <v>Shaped Upholstered PelmetInside Window MountSomfy CBUS Motor</v>
          </cell>
          <cell r="N943">
            <v>0</v>
          </cell>
          <cell r="O943" t="str">
            <v>N/A</v>
          </cell>
          <cell r="P943" t="str">
            <v>N/A</v>
          </cell>
          <cell r="Q943" t="str">
            <v>N/A</v>
          </cell>
          <cell r="R943" t="str">
            <v>N/A</v>
          </cell>
          <cell r="S943" t="str">
            <v>No</v>
          </cell>
          <cell r="T943" t="str">
            <v>N/A</v>
          </cell>
        </row>
        <row r="944">
          <cell r="M944" t="str">
            <v>Aluminium PelmetInside Window MountSomfy CBUS Motor</v>
          </cell>
          <cell r="N944">
            <v>0</v>
          </cell>
          <cell r="O944">
            <v>0</v>
          </cell>
          <cell r="P944" t="str">
            <v>N/A</v>
          </cell>
          <cell r="Q944" t="str">
            <v>N/A</v>
          </cell>
          <cell r="R944" t="str">
            <v>No</v>
          </cell>
          <cell r="S944" t="str">
            <v>No</v>
          </cell>
          <cell r="T944" t="str">
            <v>Yes</v>
          </cell>
        </row>
        <row r="945">
          <cell r="M945" t="str">
            <v>Square CassetteInside Window MountSomfy CBUS Motor</v>
          </cell>
          <cell r="N945">
            <v>10</v>
          </cell>
          <cell r="O945">
            <v>14</v>
          </cell>
          <cell r="P945">
            <v>14</v>
          </cell>
          <cell r="Q945" t="str">
            <v>N/A</v>
          </cell>
          <cell r="R945" t="str">
            <v>No</v>
          </cell>
          <cell r="S945" t="str">
            <v>No</v>
          </cell>
          <cell r="T945" t="str">
            <v>No</v>
          </cell>
        </row>
        <row r="946">
          <cell r="M946" t="str">
            <v>Square Cassette with Side ChannelsInside Window MountSomfy CBUS Motor</v>
          </cell>
          <cell r="N946">
            <v>10</v>
          </cell>
          <cell r="O946">
            <v>14</v>
          </cell>
          <cell r="P946">
            <v>14</v>
          </cell>
          <cell r="Q946">
            <v>88</v>
          </cell>
          <cell r="R946" t="str">
            <v>No</v>
          </cell>
          <cell r="S946" t="str">
            <v>Yes</v>
          </cell>
          <cell r="T946" t="str">
            <v>No</v>
          </cell>
        </row>
        <row r="947">
          <cell r="M947" t="str">
            <v>Round CassetteInside Window MountSomfy CBUS Motor</v>
          </cell>
          <cell r="N947">
            <v>10</v>
          </cell>
          <cell r="O947">
            <v>14</v>
          </cell>
          <cell r="P947">
            <v>14</v>
          </cell>
          <cell r="Q947" t="str">
            <v>N/A</v>
          </cell>
          <cell r="R947" t="str">
            <v>No</v>
          </cell>
          <cell r="S947" t="str">
            <v>No</v>
          </cell>
          <cell r="T947" t="str">
            <v>No</v>
          </cell>
        </row>
        <row r="948">
          <cell r="M948" t="str">
            <v>Round Cassette with Side ChannelsInside Window MountSomfy CBUS Motor</v>
          </cell>
          <cell r="N948">
            <v>10</v>
          </cell>
          <cell r="O948">
            <v>14</v>
          </cell>
          <cell r="P948">
            <v>14</v>
          </cell>
          <cell r="Q948">
            <v>88</v>
          </cell>
          <cell r="R948" t="str">
            <v>No</v>
          </cell>
          <cell r="S948" t="str">
            <v>Yes</v>
          </cell>
          <cell r="T948" t="str">
            <v>No</v>
          </cell>
        </row>
        <row r="949">
          <cell r="M949" t="str">
            <v>Aluminium ValanceInside Window MountSomfy CBUS Motor</v>
          </cell>
          <cell r="N949">
            <v>0</v>
          </cell>
          <cell r="O949" t="str">
            <v>N/A</v>
          </cell>
          <cell r="P949">
            <v>0</v>
          </cell>
          <cell r="Q949" t="str">
            <v>N/A</v>
          </cell>
          <cell r="R949" t="str">
            <v>No</v>
          </cell>
          <cell r="S949" t="str">
            <v>No</v>
          </cell>
          <cell r="T949" t="str">
            <v>Yes</v>
          </cell>
        </row>
        <row r="950">
          <cell r="M950" t="str">
            <v>Aluminium Valance - Fabric CoveredInside Window MountSomfy CBUS Motor</v>
          </cell>
          <cell r="N950">
            <v>0</v>
          </cell>
          <cell r="O950" t="str">
            <v>N/A</v>
          </cell>
          <cell r="P950">
            <v>0</v>
          </cell>
          <cell r="Q950" t="str">
            <v>N/A</v>
          </cell>
          <cell r="R950" t="str">
            <v>No</v>
          </cell>
          <cell r="S950" t="str">
            <v>No</v>
          </cell>
          <cell r="T950" t="str">
            <v>Yes</v>
          </cell>
        </row>
        <row r="951">
          <cell r="M951" t="str">
            <v>Side ChannelsInside Window MountSomfy CBUS Motor</v>
          </cell>
          <cell r="N951">
            <v>10</v>
          </cell>
          <cell r="O951" t="str">
            <v>N/A</v>
          </cell>
          <cell r="P951" t="str">
            <v>N/A</v>
          </cell>
          <cell r="Q951">
            <v>60</v>
          </cell>
          <cell r="R951" t="str">
            <v>N/A</v>
          </cell>
          <cell r="S951" t="str">
            <v>No</v>
          </cell>
          <cell r="T951" t="str">
            <v>N/A</v>
          </cell>
        </row>
        <row r="952">
          <cell r="M952" t="str">
            <v>Zipscreen HoodingInside Window MountSomfy CBUS Motor</v>
          </cell>
          <cell r="N952">
            <v>17</v>
          </cell>
          <cell r="O952">
            <v>66</v>
          </cell>
          <cell r="P952">
            <v>66</v>
          </cell>
          <cell r="Q952" t="str">
            <v>N/A</v>
          </cell>
          <cell r="R952" t="str">
            <v>N/A</v>
          </cell>
          <cell r="S952" t="str">
            <v>No</v>
          </cell>
          <cell r="T952" t="str">
            <v>N/A</v>
          </cell>
        </row>
        <row r="953">
          <cell r="M953" t="str">
            <v>NoneInside Window MountAcmeda E6 Motor</v>
          </cell>
          <cell r="N953">
            <v>0</v>
          </cell>
          <cell r="O953" t="str">
            <v>N/A</v>
          </cell>
          <cell r="P953" t="str">
            <v>N/A</v>
          </cell>
          <cell r="Q953" t="str">
            <v>N/A</v>
          </cell>
          <cell r="R953" t="str">
            <v>N/A</v>
          </cell>
          <cell r="S953" t="str">
            <v>No</v>
          </cell>
          <cell r="T953" t="str">
            <v>N/A</v>
          </cell>
        </row>
        <row r="954">
          <cell r="M954" t="str">
            <v>Straight Upholstered PelmetInside Window MountAcmeda E6 Motor</v>
          </cell>
          <cell r="N954">
            <v>0</v>
          </cell>
          <cell r="O954" t="str">
            <v>N/A</v>
          </cell>
          <cell r="P954" t="str">
            <v>N/A</v>
          </cell>
          <cell r="Q954" t="str">
            <v>N/A</v>
          </cell>
          <cell r="R954" t="str">
            <v>N/A</v>
          </cell>
          <cell r="S954" t="str">
            <v>No</v>
          </cell>
          <cell r="T954" t="str">
            <v>N/A</v>
          </cell>
        </row>
        <row r="955">
          <cell r="M955" t="str">
            <v>Shaped Upholstered PelmetInside Window MountAcmeda E6 Motor</v>
          </cell>
          <cell r="N955">
            <v>0</v>
          </cell>
          <cell r="O955" t="str">
            <v>N/A</v>
          </cell>
          <cell r="P955" t="str">
            <v>N/A</v>
          </cell>
          <cell r="Q955" t="str">
            <v>N/A</v>
          </cell>
          <cell r="R955" t="str">
            <v>N/A</v>
          </cell>
          <cell r="S955" t="str">
            <v>No</v>
          </cell>
          <cell r="T955" t="str">
            <v>N/A</v>
          </cell>
        </row>
        <row r="956">
          <cell r="M956" t="str">
            <v>Aluminium PelmetInside Window MountAcmeda E6 Motor</v>
          </cell>
          <cell r="N956">
            <v>0</v>
          </cell>
          <cell r="O956">
            <v>0</v>
          </cell>
          <cell r="P956" t="str">
            <v>N/A</v>
          </cell>
          <cell r="Q956" t="str">
            <v>N/A</v>
          </cell>
          <cell r="R956" t="str">
            <v>No</v>
          </cell>
          <cell r="S956" t="str">
            <v>No</v>
          </cell>
          <cell r="T956" t="str">
            <v>Yes</v>
          </cell>
        </row>
        <row r="957">
          <cell r="M957" t="str">
            <v>Square CassetteInside Window MountAcmeda E6 Motor</v>
          </cell>
          <cell r="N957">
            <v>10</v>
          </cell>
          <cell r="O957">
            <v>14</v>
          </cell>
          <cell r="P957">
            <v>14</v>
          </cell>
          <cell r="Q957" t="str">
            <v>N/A</v>
          </cell>
          <cell r="R957" t="str">
            <v>No</v>
          </cell>
          <cell r="S957" t="str">
            <v>No</v>
          </cell>
          <cell r="T957" t="str">
            <v>No</v>
          </cell>
        </row>
        <row r="958">
          <cell r="M958" t="str">
            <v>Square Cassette with Side ChannelsInside Window MountAcmeda E6 Motor</v>
          </cell>
          <cell r="N958">
            <v>10</v>
          </cell>
          <cell r="O958">
            <v>14</v>
          </cell>
          <cell r="P958">
            <v>14</v>
          </cell>
          <cell r="Q958">
            <v>88</v>
          </cell>
          <cell r="R958" t="str">
            <v>No</v>
          </cell>
          <cell r="S958" t="str">
            <v>Yes</v>
          </cell>
          <cell r="T958" t="str">
            <v>No</v>
          </cell>
        </row>
        <row r="959">
          <cell r="M959" t="str">
            <v>Round CassetteInside Window MountAcmeda E6 Motor</v>
          </cell>
          <cell r="N959">
            <v>10</v>
          </cell>
          <cell r="O959">
            <v>14</v>
          </cell>
          <cell r="P959">
            <v>14</v>
          </cell>
          <cell r="Q959" t="str">
            <v>N/A</v>
          </cell>
          <cell r="R959" t="str">
            <v>No</v>
          </cell>
          <cell r="S959" t="str">
            <v>No</v>
          </cell>
          <cell r="T959" t="str">
            <v>No</v>
          </cell>
        </row>
        <row r="960">
          <cell r="M960" t="str">
            <v>Round Cassette with Side ChannelsInside Window MountAcmeda E6 Motor</v>
          </cell>
          <cell r="N960">
            <v>10</v>
          </cell>
          <cell r="O960">
            <v>14</v>
          </cell>
          <cell r="P960">
            <v>14</v>
          </cell>
          <cell r="Q960">
            <v>88</v>
          </cell>
          <cell r="R960" t="str">
            <v>No</v>
          </cell>
          <cell r="S960" t="str">
            <v>Yes</v>
          </cell>
          <cell r="T960" t="str">
            <v>No</v>
          </cell>
        </row>
        <row r="961">
          <cell r="M961" t="str">
            <v>Aluminium ValanceInside Window MountAcmeda E6 Motor</v>
          </cell>
          <cell r="N961">
            <v>0</v>
          </cell>
          <cell r="O961" t="str">
            <v>N/A</v>
          </cell>
          <cell r="P961">
            <v>0</v>
          </cell>
          <cell r="Q961" t="str">
            <v>N/A</v>
          </cell>
          <cell r="R961" t="str">
            <v>No</v>
          </cell>
          <cell r="S961" t="str">
            <v>No</v>
          </cell>
          <cell r="T961" t="str">
            <v>Yes</v>
          </cell>
        </row>
        <row r="962">
          <cell r="M962" t="str">
            <v>Aluminium Valance - Fabric CoveredInside Window MountAcmeda E6 Motor</v>
          </cell>
          <cell r="N962">
            <v>0</v>
          </cell>
          <cell r="O962" t="str">
            <v>N/A</v>
          </cell>
          <cell r="P962">
            <v>0</v>
          </cell>
          <cell r="Q962" t="str">
            <v>N/A</v>
          </cell>
          <cell r="R962" t="str">
            <v>No</v>
          </cell>
          <cell r="S962" t="str">
            <v>No</v>
          </cell>
          <cell r="T962" t="str">
            <v>Yes</v>
          </cell>
        </row>
        <row r="963">
          <cell r="M963" t="str">
            <v>Side ChannelsInside Window MountAcmeda E6 Motor</v>
          </cell>
          <cell r="N963">
            <v>10</v>
          </cell>
          <cell r="O963" t="str">
            <v>N/A</v>
          </cell>
          <cell r="P963" t="str">
            <v>N/A</v>
          </cell>
          <cell r="Q963">
            <v>60</v>
          </cell>
          <cell r="R963" t="str">
            <v>N/A</v>
          </cell>
          <cell r="S963" t="str">
            <v>No</v>
          </cell>
          <cell r="T963" t="str">
            <v>N/A</v>
          </cell>
        </row>
        <row r="964">
          <cell r="M964" t="str">
            <v>Zipscreen HoodingInside Window MountAcmeda E6 Motor</v>
          </cell>
          <cell r="N964">
            <v>17</v>
          </cell>
          <cell r="O964">
            <v>66</v>
          </cell>
          <cell r="P964">
            <v>66</v>
          </cell>
          <cell r="Q964" t="str">
            <v>N/A</v>
          </cell>
          <cell r="R964" t="str">
            <v>N/A</v>
          </cell>
          <cell r="S964" t="str">
            <v>No</v>
          </cell>
          <cell r="T964" t="str">
            <v>N/A</v>
          </cell>
        </row>
        <row r="965">
          <cell r="M965" t="str">
            <v>NoneInside Window MountAcmeda M6 Motor</v>
          </cell>
          <cell r="N965">
            <v>0</v>
          </cell>
          <cell r="O965" t="str">
            <v>N/A</v>
          </cell>
          <cell r="P965" t="str">
            <v>N/A</v>
          </cell>
          <cell r="Q965" t="str">
            <v>N/A</v>
          </cell>
          <cell r="R965" t="str">
            <v>N/A</v>
          </cell>
          <cell r="S965" t="str">
            <v>No</v>
          </cell>
          <cell r="T965" t="str">
            <v>N/A</v>
          </cell>
        </row>
        <row r="966">
          <cell r="M966" t="str">
            <v>Straight Upholstered PelmetInside Window MountAcmeda M6 Motor</v>
          </cell>
          <cell r="N966">
            <v>0</v>
          </cell>
          <cell r="O966" t="str">
            <v>N/A</v>
          </cell>
          <cell r="P966" t="str">
            <v>N/A</v>
          </cell>
          <cell r="Q966" t="str">
            <v>N/A</v>
          </cell>
          <cell r="R966" t="str">
            <v>N/A</v>
          </cell>
          <cell r="S966" t="str">
            <v>No</v>
          </cell>
          <cell r="T966" t="str">
            <v>N/A</v>
          </cell>
        </row>
        <row r="967">
          <cell r="M967" t="str">
            <v>Shaped Upholstered PelmetInside Window MountAcmeda M6 Motor</v>
          </cell>
          <cell r="N967">
            <v>0</v>
          </cell>
          <cell r="O967" t="str">
            <v>N/A</v>
          </cell>
          <cell r="P967" t="str">
            <v>N/A</v>
          </cell>
          <cell r="Q967" t="str">
            <v>N/A</v>
          </cell>
          <cell r="R967" t="str">
            <v>N/A</v>
          </cell>
          <cell r="S967" t="str">
            <v>No</v>
          </cell>
          <cell r="T967" t="str">
            <v>N/A</v>
          </cell>
        </row>
        <row r="968">
          <cell r="M968" t="str">
            <v>Aluminium PelmetInside Window MountAcmeda M6 Motor</v>
          </cell>
          <cell r="N968">
            <v>0</v>
          </cell>
          <cell r="O968">
            <v>0</v>
          </cell>
          <cell r="P968" t="str">
            <v>N/A</v>
          </cell>
          <cell r="Q968" t="str">
            <v>N/A</v>
          </cell>
          <cell r="R968" t="str">
            <v>No</v>
          </cell>
          <cell r="S968" t="str">
            <v>No</v>
          </cell>
          <cell r="T968" t="str">
            <v>Yes</v>
          </cell>
        </row>
        <row r="969">
          <cell r="M969" t="str">
            <v>Square CassetteInside Window MountAcmeda M6 Motor</v>
          </cell>
          <cell r="N969">
            <v>10</v>
          </cell>
          <cell r="O969">
            <v>14</v>
          </cell>
          <cell r="P969">
            <v>14</v>
          </cell>
          <cell r="Q969" t="str">
            <v>N/A</v>
          </cell>
          <cell r="R969" t="str">
            <v>No</v>
          </cell>
          <cell r="S969" t="str">
            <v>No</v>
          </cell>
          <cell r="T969" t="str">
            <v>No</v>
          </cell>
        </row>
        <row r="970">
          <cell r="M970" t="str">
            <v>Square Cassette with Side ChannelsInside Window MountAcmeda M6 Motor</v>
          </cell>
          <cell r="N970">
            <v>10</v>
          </cell>
          <cell r="O970">
            <v>14</v>
          </cell>
          <cell r="P970">
            <v>14</v>
          </cell>
          <cell r="Q970">
            <v>88</v>
          </cell>
          <cell r="R970" t="str">
            <v>No</v>
          </cell>
          <cell r="S970" t="str">
            <v>Yes</v>
          </cell>
          <cell r="T970" t="str">
            <v>No</v>
          </cell>
        </row>
        <row r="971">
          <cell r="M971" t="str">
            <v>Round CassetteInside Window MountAcmeda M6 Motor</v>
          </cell>
          <cell r="N971">
            <v>10</v>
          </cell>
          <cell r="O971">
            <v>14</v>
          </cell>
          <cell r="P971">
            <v>14</v>
          </cell>
          <cell r="Q971" t="str">
            <v>N/A</v>
          </cell>
          <cell r="R971" t="str">
            <v>No</v>
          </cell>
          <cell r="S971" t="str">
            <v>No</v>
          </cell>
          <cell r="T971" t="str">
            <v>No</v>
          </cell>
        </row>
        <row r="972">
          <cell r="M972" t="str">
            <v>Round Cassette with Side ChannelsInside Window MountAcmeda M6 Motor</v>
          </cell>
          <cell r="N972">
            <v>10</v>
          </cell>
          <cell r="O972">
            <v>14</v>
          </cell>
          <cell r="P972">
            <v>14</v>
          </cell>
          <cell r="Q972">
            <v>88</v>
          </cell>
          <cell r="R972" t="str">
            <v>No</v>
          </cell>
          <cell r="S972" t="str">
            <v>Yes</v>
          </cell>
          <cell r="T972" t="str">
            <v>No</v>
          </cell>
        </row>
        <row r="973">
          <cell r="M973" t="str">
            <v>Aluminium ValanceInside Window MountAcmeda M6 Motor</v>
          </cell>
          <cell r="N973">
            <v>0</v>
          </cell>
          <cell r="O973" t="str">
            <v>N/A</v>
          </cell>
          <cell r="P973">
            <v>0</v>
          </cell>
          <cell r="Q973" t="str">
            <v>N/A</v>
          </cell>
          <cell r="R973" t="str">
            <v>No</v>
          </cell>
          <cell r="S973" t="str">
            <v>No</v>
          </cell>
          <cell r="T973" t="str">
            <v>Yes</v>
          </cell>
        </row>
        <row r="974">
          <cell r="M974" t="str">
            <v>Aluminium Valance - Fabric CoveredInside Window MountAcmeda M6 Motor</v>
          </cell>
          <cell r="N974">
            <v>0</v>
          </cell>
          <cell r="O974" t="str">
            <v>N/A</v>
          </cell>
          <cell r="P974">
            <v>0</v>
          </cell>
          <cell r="Q974" t="str">
            <v>N/A</v>
          </cell>
          <cell r="R974" t="str">
            <v>No</v>
          </cell>
          <cell r="S974" t="str">
            <v>No</v>
          </cell>
          <cell r="T974" t="str">
            <v>Yes</v>
          </cell>
        </row>
        <row r="975">
          <cell r="M975" t="str">
            <v>Side ChannelsInside Window MountAcmeda M6 Motor</v>
          </cell>
          <cell r="N975">
            <v>10</v>
          </cell>
          <cell r="O975" t="str">
            <v>N/A</v>
          </cell>
          <cell r="P975" t="str">
            <v>N/A</v>
          </cell>
          <cell r="Q975">
            <v>60</v>
          </cell>
          <cell r="R975" t="str">
            <v>N/A</v>
          </cell>
          <cell r="S975" t="str">
            <v>No</v>
          </cell>
          <cell r="T975" t="str">
            <v>N/A</v>
          </cell>
        </row>
        <row r="976">
          <cell r="M976" t="str">
            <v>Zipscreen HoodingInside Window MountAcmeda M6 Motor</v>
          </cell>
          <cell r="N976">
            <v>17</v>
          </cell>
          <cell r="O976">
            <v>66</v>
          </cell>
          <cell r="P976">
            <v>66</v>
          </cell>
          <cell r="Q976" t="str">
            <v>N/A</v>
          </cell>
          <cell r="R976" t="str">
            <v>N/A</v>
          </cell>
          <cell r="S976" t="str">
            <v>No</v>
          </cell>
          <cell r="T976" t="str">
            <v>N/A</v>
          </cell>
        </row>
        <row r="977">
          <cell r="M977" t="str">
            <v>NoneInside Window MountUniline Remote Motor</v>
          </cell>
          <cell r="N977">
            <v>0</v>
          </cell>
          <cell r="O977" t="str">
            <v>N/A</v>
          </cell>
          <cell r="P977" t="str">
            <v>N/A</v>
          </cell>
          <cell r="Q977" t="str">
            <v>N/A</v>
          </cell>
          <cell r="R977" t="str">
            <v>N/A</v>
          </cell>
          <cell r="S977" t="str">
            <v>No</v>
          </cell>
          <cell r="T977" t="str">
            <v>N/A</v>
          </cell>
        </row>
        <row r="978">
          <cell r="M978" t="str">
            <v>Straight Upholstered PelmetInside Window MountUniline Remote Motor</v>
          </cell>
          <cell r="N978">
            <v>0</v>
          </cell>
          <cell r="O978" t="str">
            <v>N/A</v>
          </cell>
          <cell r="P978" t="str">
            <v>N/A</v>
          </cell>
          <cell r="Q978" t="str">
            <v>N/A</v>
          </cell>
          <cell r="R978" t="str">
            <v>N/A</v>
          </cell>
          <cell r="S978" t="str">
            <v>No</v>
          </cell>
          <cell r="T978" t="str">
            <v>N/A</v>
          </cell>
        </row>
        <row r="979">
          <cell r="M979" t="str">
            <v>Shaped Upholstered PelmetInside Window MountUniline Remote Motor</v>
          </cell>
          <cell r="N979">
            <v>0</v>
          </cell>
          <cell r="O979" t="str">
            <v>N/A</v>
          </cell>
          <cell r="P979" t="str">
            <v>N/A</v>
          </cell>
          <cell r="Q979" t="str">
            <v>N/A</v>
          </cell>
          <cell r="R979" t="str">
            <v>N/A</v>
          </cell>
          <cell r="S979" t="str">
            <v>No</v>
          </cell>
          <cell r="T979" t="str">
            <v>N/A</v>
          </cell>
        </row>
        <row r="980">
          <cell r="M980" t="str">
            <v>Aluminium PelmetInside Window MountUniline Remote Motor</v>
          </cell>
          <cell r="N980">
            <v>0</v>
          </cell>
          <cell r="O980">
            <v>0</v>
          </cell>
          <cell r="P980" t="str">
            <v>N/A</v>
          </cell>
          <cell r="Q980" t="str">
            <v>N/A</v>
          </cell>
          <cell r="R980" t="str">
            <v>No</v>
          </cell>
          <cell r="S980" t="str">
            <v>No</v>
          </cell>
          <cell r="T980" t="str">
            <v>Yes</v>
          </cell>
        </row>
        <row r="981">
          <cell r="M981" t="str">
            <v>Square CassetteInside Window MountUniline Remote Motor</v>
          </cell>
          <cell r="N981">
            <v>10</v>
          </cell>
          <cell r="O981">
            <v>14</v>
          </cell>
          <cell r="P981">
            <v>14</v>
          </cell>
          <cell r="Q981" t="str">
            <v>N/A</v>
          </cell>
          <cell r="R981" t="str">
            <v>No</v>
          </cell>
          <cell r="S981" t="str">
            <v>No</v>
          </cell>
          <cell r="T981" t="str">
            <v>No</v>
          </cell>
        </row>
        <row r="982">
          <cell r="M982" t="str">
            <v>Square Cassette with Side ChannelsInside Window MountUniline Remote Motor</v>
          </cell>
          <cell r="N982">
            <v>10</v>
          </cell>
          <cell r="O982">
            <v>14</v>
          </cell>
          <cell r="P982">
            <v>14</v>
          </cell>
          <cell r="Q982">
            <v>88</v>
          </cell>
          <cell r="R982" t="str">
            <v>No</v>
          </cell>
          <cell r="S982" t="str">
            <v>Yes</v>
          </cell>
          <cell r="T982" t="str">
            <v>No</v>
          </cell>
        </row>
        <row r="983">
          <cell r="M983" t="str">
            <v>Round CassetteInside Window MountUniline Remote Motor</v>
          </cell>
          <cell r="N983">
            <v>10</v>
          </cell>
          <cell r="O983">
            <v>14</v>
          </cell>
          <cell r="P983">
            <v>14</v>
          </cell>
          <cell r="Q983" t="str">
            <v>N/A</v>
          </cell>
          <cell r="R983" t="str">
            <v>No</v>
          </cell>
          <cell r="S983" t="str">
            <v>No</v>
          </cell>
          <cell r="T983" t="str">
            <v>No</v>
          </cell>
        </row>
        <row r="984">
          <cell r="M984" t="str">
            <v>Round Cassette with Side ChannelsInside Window MountUniline Remote Motor</v>
          </cell>
          <cell r="N984">
            <v>10</v>
          </cell>
          <cell r="O984">
            <v>14</v>
          </cell>
          <cell r="P984">
            <v>14</v>
          </cell>
          <cell r="Q984">
            <v>88</v>
          </cell>
          <cell r="R984" t="str">
            <v>No</v>
          </cell>
          <cell r="S984" t="str">
            <v>Yes</v>
          </cell>
          <cell r="T984" t="str">
            <v>No</v>
          </cell>
        </row>
        <row r="985">
          <cell r="M985" t="str">
            <v>Aluminium ValanceInside Window MountUniline Remote Motor</v>
          </cell>
          <cell r="N985">
            <v>0</v>
          </cell>
          <cell r="O985" t="str">
            <v>N/A</v>
          </cell>
          <cell r="P985">
            <v>0</v>
          </cell>
          <cell r="Q985" t="str">
            <v>N/A</v>
          </cell>
          <cell r="R985" t="str">
            <v>No</v>
          </cell>
          <cell r="S985" t="str">
            <v>No</v>
          </cell>
          <cell r="T985" t="str">
            <v>Yes</v>
          </cell>
        </row>
        <row r="986">
          <cell r="M986" t="str">
            <v>Aluminium Valance - Fabric CoveredInside Window MountUniline Remote Motor</v>
          </cell>
          <cell r="N986">
            <v>0</v>
          </cell>
          <cell r="O986" t="str">
            <v>N/A</v>
          </cell>
          <cell r="P986">
            <v>0</v>
          </cell>
          <cell r="Q986" t="str">
            <v>N/A</v>
          </cell>
          <cell r="R986" t="str">
            <v>No</v>
          </cell>
          <cell r="S986" t="str">
            <v>No</v>
          </cell>
          <cell r="T986" t="str">
            <v>Yes</v>
          </cell>
        </row>
        <row r="987">
          <cell r="M987" t="str">
            <v>Side ChannelsInside Window MountUniline Remote Motor</v>
          </cell>
          <cell r="N987">
            <v>10</v>
          </cell>
          <cell r="O987" t="str">
            <v>N/A</v>
          </cell>
          <cell r="P987" t="str">
            <v>N/A</v>
          </cell>
          <cell r="Q987">
            <v>60</v>
          </cell>
          <cell r="R987" t="str">
            <v>N/A</v>
          </cell>
          <cell r="S987" t="str">
            <v>No</v>
          </cell>
          <cell r="T987" t="str">
            <v>N/A</v>
          </cell>
        </row>
        <row r="988">
          <cell r="M988" t="str">
            <v>Zipscreen HoodingInside Window MountUniline Remote Motor</v>
          </cell>
          <cell r="N988">
            <v>17</v>
          </cell>
          <cell r="O988">
            <v>66</v>
          </cell>
          <cell r="P988">
            <v>66</v>
          </cell>
          <cell r="Q988" t="str">
            <v>N/A</v>
          </cell>
          <cell r="R988" t="str">
            <v>N/A</v>
          </cell>
          <cell r="S988" t="str">
            <v>No</v>
          </cell>
          <cell r="T988" t="str">
            <v>N/A</v>
          </cell>
        </row>
        <row r="989">
          <cell r="M989" t="str">
            <v>NoneInside Window MountUniline Cbus Motor</v>
          </cell>
          <cell r="N989">
            <v>0</v>
          </cell>
          <cell r="O989" t="str">
            <v>N/A</v>
          </cell>
          <cell r="P989" t="str">
            <v>N/A</v>
          </cell>
          <cell r="Q989" t="str">
            <v>N/A</v>
          </cell>
          <cell r="R989" t="str">
            <v>N/A</v>
          </cell>
          <cell r="S989" t="str">
            <v>No</v>
          </cell>
          <cell r="T989" t="str">
            <v>N/A</v>
          </cell>
        </row>
        <row r="990">
          <cell r="M990" t="str">
            <v>Straight Upholstered PelmetInside Window MountUniline Cbus Motor</v>
          </cell>
          <cell r="N990">
            <v>0</v>
          </cell>
          <cell r="O990" t="str">
            <v>N/A</v>
          </cell>
          <cell r="P990" t="str">
            <v>N/A</v>
          </cell>
          <cell r="Q990" t="str">
            <v>N/A</v>
          </cell>
          <cell r="R990" t="str">
            <v>N/A</v>
          </cell>
          <cell r="S990" t="str">
            <v>No</v>
          </cell>
          <cell r="T990" t="str">
            <v>N/A</v>
          </cell>
        </row>
        <row r="991">
          <cell r="M991" t="str">
            <v>Shaped Upholstered PelmetInside Window MountUniline Cbus Motor</v>
          </cell>
          <cell r="N991">
            <v>0</v>
          </cell>
          <cell r="O991" t="str">
            <v>N/A</v>
          </cell>
          <cell r="P991" t="str">
            <v>N/A</v>
          </cell>
          <cell r="Q991" t="str">
            <v>N/A</v>
          </cell>
          <cell r="R991" t="str">
            <v>N/A</v>
          </cell>
          <cell r="S991" t="str">
            <v>No</v>
          </cell>
          <cell r="T991" t="str">
            <v>N/A</v>
          </cell>
        </row>
        <row r="992">
          <cell r="M992" t="str">
            <v>Aluminium PelmetInside Window MountUniline Cbus Motor</v>
          </cell>
          <cell r="N992">
            <v>0</v>
          </cell>
          <cell r="O992">
            <v>0</v>
          </cell>
          <cell r="P992" t="str">
            <v>N/A</v>
          </cell>
          <cell r="Q992" t="str">
            <v>N/A</v>
          </cell>
          <cell r="R992" t="str">
            <v>No</v>
          </cell>
          <cell r="S992" t="str">
            <v>No</v>
          </cell>
          <cell r="T992" t="str">
            <v>Yes</v>
          </cell>
        </row>
        <row r="993">
          <cell r="M993" t="str">
            <v>Square CassetteInside Window MountUniline Cbus Motor</v>
          </cell>
          <cell r="N993">
            <v>10</v>
          </cell>
          <cell r="O993">
            <v>14</v>
          </cell>
          <cell r="P993">
            <v>14</v>
          </cell>
          <cell r="Q993" t="str">
            <v>N/A</v>
          </cell>
          <cell r="R993" t="str">
            <v>No</v>
          </cell>
          <cell r="S993" t="str">
            <v>No</v>
          </cell>
          <cell r="T993" t="str">
            <v>No</v>
          </cell>
        </row>
        <row r="994">
          <cell r="M994" t="str">
            <v>Square Cassette with Side ChannelsInside Window MountUniline Cbus Motor</v>
          </cell>
          <cell r="N994">
            <v>10</v>
          </cell>
          <cell r="O994">
            <v>14</v>
          </cell>
          <cell r="P994">
            <v>14</v>
          </cell>
          <cell r="Q994">
            <v>88</v>
          </cell>
          <cell r="R994" t="str">
            <v>No</v>
          </cell>
          <cell r="S994" t="str">
            <v>Yes</v>
          </cell>
          <cell r="T994" t="str">
            <v>No</v>
          </cell>
        </row>
        <row r="995">
          <cell r="M995" t="str">
            <v>Round CassetteInside Window MountUniline Cbus Motor</v>
          </cell>
          <cell r="N995">
            <v>10</v>
          </cell>
          <cell r="O995">
            <v>14</v>
          </cell>
          <cell r="P995">
            <v>14</v>
          </cell>
          <cell r="Q995" t="str">
            <v>N/A</v>
          </cell>
          <cell r="R995" t="str">
            <v>No</v>
          </cell>
          <cell r="S995" t="str">
            <v>No</v>
          </cell>
          <cell r="T995" t="str">
            <v>No</v>
          </cell>
        </row>
        <row r="996">
          <cell r="M996" t="str">
            <v>Round Cassette with Side ChannelsInside Window MountUniline Cbus Motor</v>
          </cell>
          <cell r="N996">
            <v>10</v>
          </cell>
          <cell r="O996">
            <v>14</v>
          </cell>
          <cell r="P996">
            <v>14</v>
          </cell>
          <cell r="Q996">
            <v>88</v>
          </cell>
          <cell r="R996" t="str">
            <v>No</v>
          </cell>
          <cell r="S996" t="str">
            <v>Yes</v>
          </cell>
          <cell r="T996" t="str">
            <v>No</v>
          </cell>
        </row>
        <row r="997">
          <cell r="M997" t="str">
            <v>Aluminium ValanceInside Window MountUniline Cbus Motor</v>
          </cell>
          <cell r="N997">
            <v>0</v>
          </cell>
          <cell r="O997" t="str">
            <v>N/A</v>
          </cell>
          <cell r="P997">
            <v>0</v>
          </cell>
          <cell r="Q997" t="str">
            <v>N/A</v>
          </cell>
          <cell r="R997" t="str">
            <v>No</v>
          </cell>
          <cell r="S997" t="str">
            <v>No</v>
          </cell>
          <cell r="T997" t="str">
            <v>Yes</v>
          </cell>
        </row>
        <row r="998">
          <cell r="M998" t="str">
            <v>Aluminium Valance - Fabric CoveredInside Window MountUniline Cbus Motor</v>
          </cell>
          <cell r="N998">
            <v>0</v>
          </cell>
          <cell r="O998" t="str">
            <v>N/A</v>
          </cell>
          <cell r="P998">
            <v>0</v>
          </cell>
          <cell r="Q998" t="str">
            <v>N/A</v>
          </cell>
          <cell r="R998" t="str">
            <v>No</v>
          </cell>
          <cell r="S998" t="str">
            <v>No</v>
          </cell>
          <cell r="T998" t="str">
            <v>Yes</v>
          </cell>
        </row>
        <row r="999">
          <cell r="M999" t="str">
            <v>Side ChannelsInside Window MountUniline Cbus Motor</v>
          </cell>
          <cell r="N999">
            <v>10</v>
          </cell>
          <cell r="O999" t="str">
            <v>N/A</v>
          </cell>
          <cell r="P999" t="str">
            <v>N/A</v>
          </cell>
          <cell r="Q999">
            <v>60</v>
          </cell>
          <cell r="R999" t="str">
            <v>N/A</v>
          </cell>
          <cell r="S999" t="str">
            <v>No</v>
          </cell>
          <cell r="T999" t="str">
            <v>N/A</v>
          </cell>
        </row>
        <row r="1000">
          <cell r="M1000" t="str">
            <v>Zipscreen HoodingInside Window MountUniline Cbus Motor</v>
          </cell>
          <cell r="N1000">
            <v>17</v>
          </cell>
          <cell r="O1000">
            <v>66</v>
          </cell>
          <cell r="P1000">
            <v>66</v>
          </cell>
          <cell r="Q1000" t="str">
            <v>N/A</v>
          </cell>
          <cell r="R1000" t="str">
            <v>N/A</v>
          </cell>
          <cell r="S1000" t="str">
            <v>No</v>
          </cell>
          <cell r="T1000" t="str">
            <v>N/A</v>
          </cell>
        </row>
        <row r="1001">
          <cell r="M1001" t="str">
            <v>NoneInside Window MountNice Remote Motor</v>
          </cell>
          <cell r="N1001">
            <v>0</v>
          </cell>
          <cell r="O1001" t="str">
            <v>N/A</v>
          </cell>
          <cell r="P1001" t="str">
            <v>N/A</v>
          </cell>
          <cell r="Q1001" t="str">
            <v>N/A</v>
          </cell>
          <cell r="R1001" t="str">
            <v>N/A</v>
          </cell>
          <cell r="S1001" t="str">
            <v>No</v>
          </cell>
          <cell r="T1001" t="str">
            <v>N/A</v>
          </cell>
        </row>
        <row r="1002">
          <cell r="M1002" t="str">
            <v>Straight Upholstered PelmetInside Window MountNice Remote Motor</v>
          </cell>
          <cell r="N1002">
            <v>0</v>
          </cell>
          <cell r="O1002" t="str">
            <v>N/A</v>
          </cell>
          <cell r="P1002" t="str">
            <v>N/A</v>
          </cell>
          <cell r="Q1002" t="str">
            <v>N/A</v>
          </cell>
          <cell r="R1002" t="str">
            <v>N/A</v>
          </cell>
          <cell r="S1002" t="str">
            <v>No</v>
          </cell>
          <cell r="T1002" t="str">
            <v>N/A</v>
          </cell>
        </row>
        <row r="1003">
          <cell r="M1003" t="str">
            <v>Shaped Upholstered PelmetInside Window MountNice Remote Motor</v>
          </cell>
          <cell r="N1003">
            <v>0</v>
          </cell>
          <cell r="O1003" t="str">
            <v>N/A</v>
          </cell>
          <cell r="P1003" t="str">
            <v>N/A</v>
          </cell>
          <cell r="Q1003" t="str">
            <v>N/A</v>
          </cell>
          <cell r="R1003" t="str">
            <v>N/A</v>
          </cell>
          <cell r="S1003" t="str">
            <v>No</v>
          </cell>
          <cell r="T1003" t="str">
            <v>N/A</v>
          </cell>
        </row>
        <row r="1004">
          <cell r="M1004" t="str">
            <v>Aluminium PelmetInside Window MountNice Remote Motor</v>
          </cell>
          <cell r="N1004">
            <v>0</v>
          </cell>
          <cell r="O1004">
            <v>0</v>
          </cell>
          <cell r="P1004" t="str">
            <v>N/A</v>
          </cell>
          <cell r="Q1004" t="str">
            <v>N/A</v>
          </cell>
          <cell r="R1004" t="str">
            <v>No</v>
          </cell>
          <cell r="S1004" t="str">
            <v>No</v>
          </cell>
          <cell r="T1004" t="str">
            <v>Yes</v>
          </cell>
        </row>
        <row r="1005">
          <cell r="M1005" t="str">
            <v>Square CassetteInside Window MountNice Remote Motor</v>
          </cell>
          <cell r="N1005">
            <v>10</v>
          </cell>
          <cell r="O1005">
            <v>14</v>
          </cell>
          <cell r="P1005">
            <v>14</v>
          </cell>
          <cell r="Q1005" t="str">
            <v>N/A</v>
          </cell>
          <cell r="R1005" t="str">
            <v>No</v>
          </cell>
          <cell r="S1005" t="str">
            <v>No</v>
          </cell>
          <cell r="T1005" t="str">
            <v>No</v>
          </cell>
        </row>
        <row r="1006">
          <cell r="M1006" t="str">
            <v>Square Cassette with Side ChannelsInside Window MountNice Remote Motor</v>
          </cell>
          <cell r="N1006">
            <v>10</v>
          </cell>
          <cell r="O1006">
            <v>14</v>
          </cell>
          <cell r="P1006">
            <v>14</v>
          </cell>
          <cell r="Q1006">
            <v>88</v>
          </cell>
          <cell r="R1006" t="str">
            <v>No</v>
          </cell>
          <cell r="S1006" t="str">
            <v>Yes</v>
          </cell>
          <cell r="T1006" t="str">
            <v>No</v>
          </cell>
        </row>
        <row r="1007">
          <cell r="M1007" t="str">
            <v>Round CassetteInside Window MountNice Remote Motor</v>
          </cell>
          <cell r="N1007">
            <v>10</v>
          </cell>
          <cell r="O1007">
            <v>14</v>
          </cell>
          <cell r="P1007">
            <v>14</v>
          </cell>
          <cell r="Q1007" t="str">
            <v>N/A</v>
          </cell>
          <cell r="R1007" t="str">
            <v>No</v>
          </cell>
          <cell r="S1007" t="str">
            <v>No</v>
          </cell>
          <cell r="T1007" t="str">
            <v>No</v>
          </cell>
        </row>
        <row r="1008">
          <cell r="M1008" t="str">
            <v>Round Cassette with Side ChannelsInside Window MountNice Remote Motor</v>
          </cell>
          <cell r="N1008">
            <v>10</v>
          </cell>
          <cell r="O1008">
            <v>14</v>
          </cell>
          <cell r="P1008">
            <v>14</v>
          </cell>
          <cell r="Q1008">
            <v>88</v>
          </cell>
          <cell r="R1008" t="str">
            <v>No</v>
          </cell>
          <cell r="S1008" t="str">
            <v>Yes</v>
          </cell>
          <cell r="T1008" t="str">
            <v>No</v>
          </cell>
        </row>
        <row r="1009">
          <cell r="M1009" t="str">
            <v>Aluminium ValanceInside Window MountNice Remote Motor</v>
          </cell>
          <cell r="N1009">
            <v>0</v>
          </cell>
          <cell r="O1009" t="str">
            <v>N/A</v>
          </cell>
          <cell r="P1009">
            <v>0</v>
          </cell>
          <cell r="Q1009" t="str">
            <v>N/A</v>
          </cell>
          <cell r="R1009" t="str">
            <v>No</v>
          </cell>
          <cell r="S1009" t="str">
            <v>No</v>
          </cell>
          <cell r="T1009" t="str">
            <v>Yes</v>
          </cell>
        </row>
        <row r="1010">
          <cell r="M1010" t="str">
            <v>Aluminium Valance - Fabric CoveredInside Window MountNice Remote Motor</v>
          </cell>
          <cell r="N1010">
            <v>0</v>
          </cell>
          <cell r="O1010" t="str">
            <v>N/A</v>
          </cell>
          <cell r="P1010">
            <v>0</v>
          </cell>
          <cell r="Q1010" t="str">
            <v>N/A</v>
          </cell>
          <cell r="R1010" t="str">
            <v>No</v>
          </cell>
          <cell r="S1010" t="str">
            <v>No</v>
          </cell>
          <cell r="T1010" t="str">
            <v>Yes</v>
          </cell>
        </row>
        <row r="1011">
          <cell r="M1011" t="str">
            <v>Side ChannelsInside Window MountNice Remote Motor</v>
          </cell>
          <cell r="N1011">
            <v>10</v>
          </cell>
          <cell r="O1011" t="str">
            <v>N/A</v>
          </cell>
          <cell r="P1011" t="str">
            <v>N/A</v>
          </cell>
          <cell r="Q1011">
            <v>60</v>
          </cell>
          <cell r="R1011" t="str">
            <v>N/A</v>
          </cell>
          <cell r="S1011" t="str">
            <v>No</v>
          </cell>
          <cell r="T1011" t="str">
            <v>N/A</v>
          </cell>
        </row>
        <row r="1012">
          <cell r="M1012" t="str">
            <v>Zipscreen HoodingInside Window MountNice Remote Motor</v>
          </cell>
          <cell r="N1012">
            <v>17</v>
          </cell>
          <cell r="O1012">
            <v>66</v>
          </cell>
          <cell r="P1012">
            <v>66</v>
          </cell>
          <cell r="Q1012" t="str">
            <v>N/A</v>
          </cell>
          <cell r="R1012" t="str">
            <v>N/A</v>
          </cell>
          <cell r="S1012" t="str">
            <v>No</v>
          </cell>
          <cell r="T1012" t="str">
            <v>N/A</v>
          </cell>
        </row>
        <row r="1013">
          <cell r="M1013" t="str">
            <v>NoneInside Window MountNice CBus Motor</v>
          </cell>
          <cell r="N1013">
            <v>0</v>
          </cell>
          <cell r="O1013" t="str">
            <v>N/A</v>
          </cell>
          <cell r="P1013" t="str">
            <v>N/A</v>
          </cell>
          <cell r="Q1013" t="str">
            <v>N/A</v>
          </cell>
          <cell r="R1013" t="str">
            <v>N/A</v>
          </cell>
          <cell r="S1013" t="str">
            <v>No</v>
          </cell>
          <cell r="T1013" t="str">
            <v>N/A</v>
          </cell>
        </row>
        <row r="1014">
          <cell r="M1014" t="str">
            <v>Straight Upholstered PelmetInside Window MountNice CBus Motor</v>
          </cell>
          <cell r="N1014">
            <v>0</v>
          </cell>
          <cell r="O1014" t="str">
            <v>N/A</v>
          </cell>
          <cell r="P1014" t="str">
            <v>N/A</v>
          </cell>
          <cell r="Q1014" t="str">
            <v>N/A</v>
          </cell>
          <cell r="R1014" t="str">
            <v>N/A</v>
          </cell>
          <cell r="S1014" t="str">
            <v>No</v>
          </cell>
          <cell r="T1014" t="str">
            <v>N/A</v>
          </cell>
        </row>
        <row r="1015">
          <cell r="M1015" t="str">
            <v>Shaped Upholstered PelmetInside Window MountNice CBus Motor</v>
          </cell>
          <cell r="N1015">
            <v>0</v>
          </cell>
          <cell r="O1015" t="str">
            <v>N/A</v>
          </cell>
          <cell r="P1015" t="str">
            <v>N/A</v>
          </cell>
          <cell r="Q1015" t="str">
            <v>N/A</v>
          </cell>
          <cell r="R1015" t="str">
            <v>N/A</v>
          </cell>
          <cell r="S1015" t="str">
            <v>No</v>
          </cell>
          <cell r="T1015" t="str">
            <v>N/A</v>
          </cell>
        </row>
        <row r="1016">
          <cell r="M1016" t="str">
            <v>Aluminium PelmetInside Window MountNice CBus Motor</v>
          </cell>
          <cell r="N1016">
            <v>0</v>
          </cell>
          <cell r="O1016">
            <v>0</v>
          </cell>
          <cell r="P1016" t="str">
            <v>N/A</v>
          </cell>
          <cell r="Q1016" t="str">
            <v>N/A</v>
          </cell>
          <cell r="R1016" t="str">
            <v>No</v>
          </cell>
          <cell r="S1016" t="str">
            <v>No</v>
          </cell>
          <cell r="T1016" t="str">
            <v>Yes</v>
          </cell>
        </row>
        <row r="1017">
          <cell r="M1017" t="str">
            <v>Square CassetteInside Window MountNice CBus Motor</v>
          </cell>
          <cell r="N1017">
            <v>10</v>
          </cell>
          <cell r="O1017">
            <v>14</v>
          </cell>
          <cell r="P1017">
            <v>14</v>
          </cell>
          <cell r="Q1017" t="str">
            <v>N/A</v>
          </cell>
          <cell r="R1017" t="str">
            <v>No</v>
          </cell>
          <cell r="S1017" t="str">
            <v>No</v>
          </cell>
          <cell r="T1017" t="str">
            <v>No</v>
          </cell>
        </row>
        <row r="1018">
          <cell r="M1018" t="str">
            <v>Square Cassette with Side ChannelsInside Window MountNice CBus Motor</v>
          </cell>
          <cell r="N1018">
            <v>10</v>
          </cell>
          <cell r="O1018">
            <v>14</v>
          </cell>
          <cell r="P1018">
            <v>14</v>
          </cell>
          <cell r="Q1018">
            <v>88</v>
          </cell>
          <cell r="R1018" t="str">
            <v>No</v>
          </cell>
          <cell r="S1018" t="str">
            <v>Yes</v>
          </cell>
          <cell r="T1018" t="str">
            <v>No</v>
          </cell>
        </row>
        <row r="1019">
          <cell r="M1019" t="str">
            <v>Round CassetteInside Window MountNice CBus Motor</v>
          </cell>
          <cell r="N1019">
            <v>10</v>
          </cell>
          <cell r="O1019">
            <v>14</v>
          </cell>
          <cell r="P1019">
            <v>14</v>
          </cell>
          <cell r="Q1019" t="str">
            <v>N/A</v>
          </cell>
          <cell r="R1019" t="str">
            <v>No</v>
          </cell>
          <cell r="S1019" t="str">
            <v>No</v>
          </cell>
          <cell r="T1019" t="str">
            <v>No</v>
          </cell>
        </row>
        <row r="1020">
          <cell r="M1020" t="str">
            <v>Round Cassette with Side ChannelsInside Window MountNice CBus Motor</v>
          </cell>
          <cell r="N1020">
            <v>10</v>
          </cell>
          <cell r="O1020">
            <v>14</v>
          </cell>
          <cell r="P1020">
            <v>14</v>
          </cell>
          <cell r="Q1020">
            <v>88</v>
          </cell>
          <cell r="R1020" t="str">
            <v>No</v>
          </cell>
          <cell r="S1020" t="str">
            <v>Yes</v>
          </cell>
          <cell r="T1020" t="str">
            <v>No</v>
          </cell>
        </row>
        <row r="1021">
          <cell r="M1021" t="str">
            <v>Aluminium ValanceInside Window MountNice CBus Motor</v>
          </cell>
          <cell r="N1021">
            <v>0</v>
          </cell>
          <cell r="O1021" t="str">
            <v>N/A</v>
          </cell>
          <cell r="P1021">
            <v>0</v>
          </cell>
          <cell r="Q1021" t="str">
            <v>N/A</v>
          </cell>
          <cell r="R1021" t="str">
            <v>No</v>
          </cell>
          <cell r="S1021" t="str">
            <v>No</v>
          </cell>
          <cell r="T1021" t="str">
            <v>Yes</v>
          </cell>
        </row>
        <row r="1022">
          <cell r="M1022" t="str">
            <v>Aluminium Valance - Fabric CoveredInside Window MountNice CBus Motor</v>
          </cell>
          <cell r="N1022">
            <v>0</v>
          </cell>
          <cell r="O1022" t="str">
            <v>N/A</v>
          </cell>
          <cell r="P1022">
            <v>0</v>
          </cell>
          <cell r="Q1022" t="str">
            <v>N/A</v>
          </cell>
          <cell r="R1022" t="str">
            <v>No</v>
          </cell>
          <cell r="S1022" t="str">
            <v>No</v>
          </cell>
          <cell r="T1022" t="str">
            <v>Yes</v>
          </cell>
        </row>
        <row r="1023">
          <cell r="M1023" t="str">
            <v>Side ChannelsInside Window MountNice CBus Motor</v>
          </cell>
          <cell r="N1023">
            <v>0</v>
          </cell>
          <cell r="O1023" t="str">
            <v>N/A</v>
          </cell>
          <cell r="P1023" t="str">
            <v>N/A</v>
          </cell>
          <cell r="Q1023">
            <v>60</v>
          </cell>
          <cell r="R1023" t="str">
            <v>N/A</v>
          </cell>
          <cell r="S1023" t="str">
            <v>No</v>
          </cell>
          <cell r="T1023" t="str">
            <v>N/A</v>
          </cell>
        </row>
        <row r="1024">
          <cell r="M1024" t="str">
            <v>Zipscreen HoodingInside Window MountNice CBus Motor</v>
          </cell>
          <cell r="N1024">
            <v>17</v>
          </cell>
          <cell r="O1024">
            <v>66</v>
          </cell>
          <cell r="P1024">
            <v>66</v>
          </cell>
          <cell r="Q1024" t="str">
            <v>N/A</v>
          </cell>
          <cell r="R1024" t="str">
            <v>N/A</v>
          </cell>
          <cell r="S1024" t="str">
            <v>No</v>
          </cell>
          <cell r="T1024" t="str">
            <v>N/A</v>
          </cell>
        </row>
        <row r="1025">
          <cell r="M1025" t="str">
            <v>NoneInside Window MountSunboss Chain Winder 38mm Tube</v>
          </cell>
          <cell r="N1025">
            <v>0</v>
          </cell>
          <cell r="O1025" t="str">
            <v>N/A</v>
          </cell>
          <cell r="P1025" t="str">
            <v>N/A</v>
          </cell>
          <cell r="Q1025" t="str">
            <v>N/A</v>
          </cell>
          <cell r="R1025" t="str">
            <v>N/A</v>
          </cell>
          <cell r="S1025" t="str">
            <v>No</v>
          </cell>
          <cell r="T1025" t="str">
            <v>N/A</v>
          </cell>
        </row>
        <row r="1026">
          <cell r="M1026" t="str">
            <v>Straight Upholstered PelmetInside Window MountSunboss Chain Winder 38mm Tube</v>
          </cell>
          <cell r="N1026">
            <v>0</v>
          </cell>
          <cell r="O1026" t="str">
            <v>N/A</v>
          </cell>
          <cell r="P1026" t="str">
            <v>N/A</v>
          </cell>
          <cell r="Q1026" t="str">
            <v>N/A</v>
          </cell>
          <cell r="R1026" t="str">
            <v>N/A</v>
          </cell>
          <cell r="S1026" t="str">
            <v>No</v>
          </cell>
          <cell r="T1026" t="str">
            <v>N/A</v>
          </cell>
        </row>
        <row r="1027">
          <cell r="M1027" t="str">
            <v>Shaped Upholstered PelmetInside Window MountSunboss Chain Winder 38mm Tube</v>
          </cell>
          <cell r="N1027">
            <v>0</v>
          </cell>
          <cell r="O1027" t="str">
            <v>N/A</v>
          </cell>
          <cell r="P1027" t="str">
            <v>N/A</v>
          </cell>
          <cell r="Q1027" t="str">
            <v>N/A</v>
          </cell>
          <cell r="R1027" t="str">
            <v>N/A</v>
          </cell>
          <cell r="S1027" t="str">
            <v>No</v>
          </cell>
          <cell r="T1027" t="str">
            <v>N/A</v>
          </cell>
        </row>
        <row r="1028">
          <cell r="M1028" t="str">
            <v>Aluminium PelmetInside Window MountSunboss Chain Winder 38mm Tube</v>
          </cell>
          <cell r="N1028">
            <v>0</v>
          </cell>
          <cell r="O1028">
            <v>0</v>
          </cell>
          <cell r="P1028" t="str">
            <v>N/A</v>
          </cell>
          <cell r="Q1028" t="str">
            <v>N/A</v>
          </cell>
          <cell r="R1028" t="str">
            <v>No</v>
          </cell>
          <cell r="S1028" t="str">
            <v>No</v>
          </cell>
          <cell r="T1028" t="str">
            <v>Yes</v>
          </cell>
        </row>
        <row r="1029">
          <cell r="M1029" t="str">
            <v>Square CassetteInside Window MountSunboss Chain Winder 38mm Tube</v>
          </cell>
          <cell r="N1029">
            <v>10</v>
          </cell>
          <cell r="O1029">
            <v>14</v>
          </cell>
          <cell r="P1029">
            <v>14</v>
          </cell>
          <cell r="Q1029" t="str">
            <v>N/A</v>
          </cell>
          <cell r="R1029" t="str">
            <v>No</v>
          </cell>
          <cell r="S1029" t="str">
            <v>No</v>
          </cell>
          <cell r="T1029" t="str">
            <v>No</v>
          </cell>
        </row>
        <row r="1030">
          <cell r="M1030" t="str">
            <v>Square Cassette with Side ChannelsInside Window MountSunboss Chain Winder 38mm Tube</v>
          </cell>
          <cell r="N1030">
            <v>10</v>
          </cell>
          <cell r="O1030">
            <v>14</v>
          </cell>
          <cell r="P1030">
            <v>14</v>
          </cell>
          <cell r="Q1030">
            <v>88</v>
          </cell>
          <cell r="R1030" t="str">
            <v>No</v>
          </cell>
          <cell r="S1030" t="str">
            <v>Yes</v>
          </cell>
          <cell r="T1030" t="str">
            <v>No</v>
          </cell>
        </row>
        <row r="1031">
          <cell r="M1031" t="str">
            <v>Round CassetteInside Window MountSunboss Chain Winder 38mm Tube</v>
          </cell>
          <cell r="N1031">
            <v>10</v>
          </cell>
          <cell r="O1031">
            <v>14</v>
          </cell>
          <cell r="P1031">
            <v>14</v>
          </cell>
          <cell r="Q1031" t="str">
            <v>N/A</v>
          </cell>
          <cell r="R1031" t="str">
            <v>No</v>
          </cell>
          <cell r="S1031" t="str">
            <v>No</v>
          </cell>
          <cell r="T1031" t="str">
            <v>No</v>
          </cell>
        </row>
        <row r="1032">
          <cell r="M1032" t="str">
            <v>Round Cassette with Side ChannelsInside Window MountSunboss Chain Winder 38mm Tube</v>
          </cell>
          <cell r="N1032">
            <v>10</v>
          </cell>
          <cell r="O1032">
            <v>14</v>
          </cell>
          <cell r="P1032">
            <v>14</v>
          </cell>
          <cell r="Q1032">
            <v>88</v>
          </cell>
          <cell r="R1032" t="str">
            <v>No</v>
          </cell>
          <cell r="S1032" t="str">
            <v>Yes</v>
          </cell>
          <cell r="T1032" t="str">
            <v>No</v>
          </cell>
        </row>
        <row r="1033">
          <cell r="M1033" t="str">
            <v>Aluminium ValanceInside Window MountSunboss Chain Winder 38mm Tube</v>
          </cell>
          <cell r="N1033">
            <v>0</v>
          </cell>
          <cell r="O1033" t="str">
            <v>N/A</v>
          </cell>
          <cell r="P1033">
            <v>0</v>
          </cell>
          <cell r="Q1033" t="str">
            <v>N/A</v>
          </cell>
          <cell r="R1033" t="str">
            <v>No</v>
          </cell>
          <cell r="S1033" t="str">
            <v>No</v>
          </cell>
          <cell r="T1033" t="str">
            <v>Yes</v>
          </cell>
        </row>
        <row r="1034">
          <cell r="M1034" t="str">
            <v>Aluminium Valance - Fabric CoveredInside Window MountSunboss Chain Winder 38mm Tube</v>
          </cell>
          <cell r="N1034">
            <v>0</v>
          </cell>
          <cell r="O1034" t="str">
            <v>N/A</v>
          </cell>
          <cell r="P1034">
            <v>0</v>
          </cell>
          <cell r="Q1034" t="str">
            <v>N/A</v>
          </cell>
          <cell r="R1034" t="str">
            <v>No</v>
          </cell>
          <cell r="S1034" t="str">
            <v>No</v>
          </cell>
          <cell r="T1034" t="str">
            <v>Yes</v>
          </cell>
        </row>
        <row r="1035">
          <cell r="M1035" t="str">
            <v>Side ChannelsInside Window MountSunboss Chain Winder 38mm Tube</v>
          </cell>
          <cell r="N1035">
            <v>10</v>
          </cell>
          <cell r="O1035" t="str">
            <v>N/A</v>
          </cell>
          <cell r="P1035" t="str">
            <v>N/A</v>
          </cell>
          <cell r="Q1035">
            <v>60</v>
          </cell>
          <cell r="R1035" t="str">
            <v>N/A</v>
          </cell>
          <cell r="S1035" t="str">
            <v>No</v>
          </cell>
          <cell r="T1035" t="str">
            <v>N/A</v>
          </cell>
        </row>
        <row r="1036">
          <cell r="M1036" t="str">
            <v>Zipscreen HoodingInside Window MountSunboss Chain Winder 38mm Tube</v>
          </cell>
          <cell r="N1036">
            <v>17</v>
          </cell>
          <cell r="O1036">
            <v>66</v>
          </cell>
          <cell r="P1036">
            <v>66</v>
          </cell>
          <cell r="Q1036" t="str">
            <v>N/A</v>
          </cell>
          <cell r="R1036" t="str">
            <v>N/A</v>
          </cell>
          <cell r="S1036" t="str">
            <v>No</v>
          </cell>
          <cell r="T1036" t="str">
            <v>N/A</v>
          </cell>
        </row>
        <row r="1037">
          <cell r="M1037" t="str">
            <v>NoneInside Window MountSunboss Chain Winder 43mm Tube</v>
          </cell>
          <cell r="N1037">
            <v>0</v>
          </cell>
          <cell r="O1037" t="str">
            <v>N/A</v>
          </cell>
          <cell r="P1037" t="str">
            <v>N/A</v>
          </cell>
          <cell r="Q1037" t="str">
            <v>N/A</v>
          </cell>
          <cell r="R1037" t="str">
            <v>N/A</v>
          </cell>
          <cell r="S1037" t="str">
            <v>No</v>
          </cell>
          <cell r="T1037" t="str">
            <v>N/A</v>
          </cell>
        </row>
        <row r="1038">
          <cell r="M1038" t="str">
            <v>Straight Upholstered PelmetInside Window MountSunboss Chain Winder 43mm Tube</v>
          </cell>
          <cell r="N1038">
            <v>0</v>
          </cell>
          <cell r="O1038" t="str">
            <v>N/A</v>
          </cell>
          <cell r="P1038" t="str">
            <v>N/A</v>
          </cell>
          <cell r="Q1038" t="str">
            <v>N/A</v>
          </cell>
          <cell r="R1038" t="str">
            <v>N/A</v>
          </cell>
          <cell r="S1038" t="str">
            <v>No</v>
          </cell>
          <cell r="T1038" t="str">
            <v>N/A</v>
          </cell>
        </row>
        <row r="1039">
          <cell r="M1039" t="str">
            <v>Shaped Upholstered PelmetInside Window MountSunboss Chain Winder 43mm Tube</v>
          </cell>
          <cell r="N1039">
            <v>0</v>
          </cell>
          <cell r="O1039" t="str">
            <v>N/A</v>
          </cell>
          <cell r="P1039" t="str">
            <v>N/A</v>
          </cell>
          <cell r="Q1039" t="str">
            <v>N/A</v>
          </cell>
          <cell r="R1039" t="str">
            <v>N/A</v>
          </cell>
          <cell r="S1039" t="str">
            <v>No</v>
          </cell>
          <cell r="T1039" t="str">
            <v>N/A</v>
          </cell>
        </row>
        <row r="1040">
          <cell r="M1040" t="str">
            <v>Aluminium PelmetInside Window MountSunboss Chain Winder 43mm Tube</v>
          </cell>
          <cell r="N1040">
            <v>0</v>
          </cell>
          <cell r="O1040">
            <v>0</v>
          </cell>
          <cell r="P1040" t="str">
            <v>N/A</v>
          </cell>
          <cell r="Q1040" t="str">
            <v>N/A</v>
          </cell>
          <cell r="R1040" t="str">
            <v>No</v>
          </cell>
          <cell r="S1040" t="str">
            <v>No</v>
          </cell>
          <cell r="T1040" t="str">
            <v>Yes</v>
          </cell>
        </row>
        <row r="1041">
          <cell r="M1041" t="str">
            <v>Square CassetteInside Window MountSunboss Chain Winder 43mm Tube</v>
          </cell>
          <cell r="N1041">
            <v>10</v>
          </cell>
          <cell r="O1041">
            <v>14</v>
          </cell>
          <cell r="P1041">
            <v>14</v>
          </cell>
          <cell r="Q1041" t="str">
            <v>N/A</v>
          </cell>
          <cell r="R1041" t="str">
            <v>No</v>
          </cell>
          <cell r="S1041" t="str">
            <v>No</v>
          </cell>
          <cell r="T1041" t="str">
            <v>No</v>
          </cell>
        </row>
        <row r="1042">
          <cell r="M1042" t="str">
            <v>Square Cassette with Side ChannelsInside Window MountSunboss Chain Winder 43mm Tube</v>
          </cell>
          <cell r="N1042">
            <v>10</v>
          </cell>
          <cell r="O1042">
            <v>14</v>
          </cell>
          <cell r="P1042">
            <v>14</v>
          </cell>
          <cell r="Q1042">
            <v>88</v>
          </cell>
          <cell r="R1042" t="str">
            <v>No</v>
          </cell>
          <cell r="S1042" t="str">
            <v>Yes</v>
          </cell>
          <cell r="T1042" t="str">
            <v>No</v>
          </cell>
        </row>
        <row r="1043">
          <cell r="M1043" t="str">
            <v>Round CassetteInside Window MountSunboss Chain Winder 43mm Tube</v>
          </cell>
          <cell r="N1043">
            <v>10</v>
          </cell>
          <cell r="O1043">
            <v>14</v>
          </cell>
          <cell r="P1043">
            <v>14</v>
          </cell>
          <cell r="Q1043" t="str">
            <v>N/A</v>
          </cell>
          <cell r="R1043" t="str">
            <v>No</v>
          </cell>
          <cell r="S1043" t="str">
            <v>No</v>
          </cell>
          <cell r="T1043" t="str">
            <v>No</v>
          </cell>
        </row>
        <row r="1044">
          <cell r="M1044" t="str">
            <v>Round Cassette with Side ChannelsInside Window MountSunboss Chain Winder 43mm Tube</v>
          </cell>
          <cell r="N1044">
            <v>10</v>
          </cell>
          <cell r="O1044">
            <v>14</v>
          </cell>
          <cell r="P1044">
            <v>14</v>
          </cell>
          <cell r="Q1044">
            <v>88</v>
          </cell>
          <cell r="R1044" t="str">
            <v>No</v>
          </cell>
          <cell r="S1044" t="str">
            <v>Yes</v>
          </cell>
          <cell r="T1044" t="str">
            <v>No</v>
          </cell>
        </row>
        <row r="1045">
          <cell r="M1045" t="str">
            <v>Aluminium ValanceInside Window MountSunboss Chain Winder 43mm Tube</v>
          </cell>
          <cell r="N1045">
            <v>0</v>
          </cell>
          <cell r="O1045" t="str">
            <v>N/A</v>
          </cell>
          <cell r="P1045">
            <v>0</v>
          </cell>
          <cell r="Q1045" t="str">
            <v>N/A</v>
          </cell>
          <cell r="R1045" t="str">
            <v>No</v>
          </cell>
          <cell r="S1045" t="str">
            <v>No</v>
          </cell>
          <cell r="T1045" t="str">
            <v>Yes</v>
          </cell>
        </row>
        <row r="1046">
          <cell r="M1046" t="str">
            <v>Aluminium Valance - Fabric CoveredInside Window MountSunboss Chain Winder 43mm Tube</v>
          </cell>
          <cell r="N1046">
            <v>0</v>
          </cell>
          <cell r="O1046" t="str">
            <v>N/A</v>
          </cell>
          <cell r="P1046">
            <v>0</v>
          </cell>
          <cell r="Q1046" t="str">
            <v>N/A</v>
          </cell>
          <cell r="R1046" t="str">
            <v>No</v>
          </cell>
          <cell r="S1046" t="str">
            <v>No</v>
          </cell>
          <cell r="T1046" t="str">
            <v>Yes</v>
          </cell>
        </row>
        <row r="1047">
          <cell r="M1047" t="str">
            <v>Side ChannelsInside Window MountSunboss Chain Winder 43mm Tube</v>
          </cell>
          <cell r="N1047">
            <v>10</v>
          </cell>
          <cell r="O1047" t="str">
            <v>N/A</v>
          </cell>
          <cell r="P1047" t="str">
            <v>N/A</v>
          </cell>
          <cell r="Q1047">
            <v>60</v>
          </cell>
          <cell r="R1047" t="str">
            <v>N/A</v>
          </cell>
          <cell r="S1047" t="str">
            <v>No</v>
          </cell>
          <cell r="T1047" t="str">
            <v>N/A</v>
          </cell>
        </row>
        <row r="1048">
          <cell r="M1048" t="str">
            <v>Zipscreen HoodingInside Window MountSunboss Chain Winder 43mm Tube</v>
          </cell>
          <cell r="N1048">
            <v>17</v>
          </cell>
          <cell r="O1048">
            <v>66</v>
          </cell>
          <cell r="P1048">
            <v>66</v>
          </cell>
          <cell r="Q1048" t="str">
            <v>N/A</v>
          </cell>
          <cell r="R1048" t="str">
            <v>N/A</v>
          </cell>
          <cell r="S1048" t="str">
            <v>No</v>
          </cell>
          <cell r="T1048" t="str">
            <v>N/A</v>
          </cell>
        </row>
        <row r="1049">
          <cell r="M1049" t="str">
            <v>NoneInside Window MountTBS Remote Motor</v>
          </cell>
          <cell r="N1049">
            <v>0</v>
          </cell>
          <cell r="O1049" t="str">
            <v>N/A</v>
          </cell>
          <cell r="P1049" t="str">
            <v>N/A</v>
          </cell>
          <cell r="Q1049" t="str">
            <v>N/A</v>
          </cell>
          <cell r="R1049" t="str">
            <v>N/A</v>
          </cell>
          <cell r="S1049" t="str">
            <v>No</v>
          </cell>
          <cell r="T1049" t="str">
            <v>N/A</v>
          </cell>
        </row>
        <row r="1050">
          <cell r="M1050" t="str">
            <v>Straight Upholstered PelmetInside Window MountTBS Remote Motor</v>
          </cell>
          <cell r="N1050">
            <v>0</v>
          </cell>
          <cell r="O1050" t="str">
            <v>N/A</v>
          </cell>
          <cell r="P1050" t="str">
            <v>N/A</v>
          </cell>
          <cell r="Q1050" t="str">
            <v>N/A</v>
          </cell>
          <cell r="R1050" t="str">
            <v>N/A</v>
          </cell>
          <cell r="S1050" t="str">
            <v>No</v>
          </cell>
          <cell r="T1050" t="str">
            <v>N/A</v>
          </cell>
        </row>
        <row r="1051">
          <cell r="M1051" t="str">
            <v>Shaped Upholstered PelmetInside Window MountTBS Remote Motor</v>
          </cell>
          <cell r="N1051">
            <v>0</v>
          </cell>
          <cell r="O1051" t="str">
            <v>N/A</v>
          </cell>
          <cell r="P1051" t="str">
            <v>N/A</v>
          </cell>
          <cell r="Q1051" t="str">
            <v>N/A</v>
          </cell>
          <cell r="R1051" t="str">
            <v>N/A</v>
          </cell>
          <cell r="S1051" t="str">
            <v>No</v>
          </cell>
          <cell r="T1051" t="str">
            <v>N/A</v>
          </cell>
        </row>
        <row r="1052">
          <cell r="M1052" t="str">
            <v>Aluminium PelmetInside Window MountTBS Remote Motor</v>
          </cell>
          <cell r="N1052">
            <v>0</v>
          </cell>
          <cell r="O1052">
            <v>0</v>
          </cell>
          <cell r="P1052" t="str">
            <v>N/A</v>
          </cell>
          <cell r="Q1052" t="str">
            <v>N/A</v>
          </cell>
          <cell r="R1052" t="str">
            <v>No</v>
          </cell>
          <cell r="S1052" t="str">
            <v>No</v>
          </cell>
          <cell r="T1052" t="str">
            <v>Yes</v>
          </cell>
        </row>
        <row r="1053">
          <cell r="M1053" t="str">
            <v>Square CassetteInside Window MountTBS Remote Motor</v>
          </cell>
          <cell r="N1053">
            <v>10</v>
          </cell>
          <cell r="O1053">
            <v>14</v>
          </cell>
          <cell r="P1053">
            <v>14</v>
          </cell>
          <cell r="Q1053" t="str">
            <v>N/A</v>
          </cell>
          <cell r="R1053" t="str">
            <v>No</v>
          </cell>
          <cell r="S1053" t="str">
            <v>No</v>
          </cell>
          <cell r="T1053" t="str">
            <v>No</v>
          </cell>
        </row>
        <row r="1054">
          <cell r="M1054" t="str">
            <v>Square Cassette with Side ChannelsInside Window MountTBS Remote Motor</v>
          </cell>
          <cell r="N1054">
            <v>10</v>
          </cell>
          <cell r="O1054">
            <v>14</v>
          </cell>
          <cell r="P1054">
            <v>14</v>
          </cell>
          <cell r="Q1054">
            <v>88</v>
          </cell>
          <cell r="R1054" t="str">
            <v>No</v>
          </cell>
          <cell r="S1054" t="str">
            <v>Yes</v>
          </cell>
          <cell r="T1054" t="str">
            <v>No</v>
          </cell>
        </row>
        <row r="1055">
          <cell r="M1055" t="str">
            <v>Round CassetteInside Window MountTBS Remote Motor</v>
          </cell>
          <cell r="N1055">
            <v>10</v>
          </cell>
          <cell r="O1055">
            <v>14</v>
          </cell>
          <cell r="P1055">
            <v>14</v>
          </cell>
          <cell r="Q1055" t="str">
            <v>N/A</v>
          </cell>
          <cell r="R1055" t="str">
            <v>No</v>
          </cell>
          <cell r="S1055" t="str">
            <v>No</v>
          </cell>
          <cell r="T1055" t="str">
            <v>No</v>
          </cell>
        </row>
        <row r="1056">
          <cell r="M1056" t="str">
            <v>Round Cassette with Side ChannelsInside Window MountTBS Remote Motor</v>
          </cell>
          <cell r="N1056">
            <v>10</v>
          </cell>
          <cell r="O1056">
            <v>14</v>
          </cell>
          <cell r="P1056">
            <v>14</v>
          </cell>
          <cell r="Q1056">
            <v>88</v>
          </cell>
          <cell r="R1056" t="str">
            <v>No</v>
          </cell>
          <cell r="S1056" t="str">
            <v>Yes</v>
          </cell>
          <cell r="T1056" t="str">
            <v>No</v>
          </cell>
        </row>
        <row r="1057">
          <cell r="M1057" t="str">
            <v>Aluminium ValanceInside Window MountTBS Remote Motor</v>
          </cell>
          <cell r="N1057">
            <v>0</v>
          </cell>
          <cell r="O1057" t="str">
            <v>N/A</v>
          </cell>
          <cell r="P1057">
            <v>0</v>
          </cell>
          <cell r="Q1057" t="str">
            <v>N/A</v>
          </cell>
          <cell r="R1057" t="str">
            <v>No</v>
          </cell>
          <cell r="S1057" t="str">
            <v>No</v>
          </cell>
          <cell r="T1057" t="str">
            <v>Yes</v>
          </cell>
        </row>
        <row r="1058">
          <cell r="M1058" t="str">
            <v>Aluminium Valance - Fabric CoveredInside Window MountTBS Remote Motor</v>
          </cell>
          <cell r="N1058">
            <v>0</v>
          </cell>
          <cell r="O1058" t="str">
            <v>N/A</v>
          </cell>
          <cell r="P1058">
            <v>0</v>
          </cell>
          <cell r="Q1058" t="str">
            <v>N/A</v>
          </cell>
          <cell r="R1058" t="str">
            <v>No</v>
          </cell>
          <cell r="S1058" t="str">
            <v>No</v>
          </cell>
          <cell r="T1058" t="str">
            <v>Yes</v>
          </cell>
        </row>
        <row r="1059">
          <cell r="M1059" t="str">
            <v>Side ChannelsInside Window MountTBS Remote Motor</v>
          </cell>
          <cell r="N1059">
            <v>10</v>
          </cell>
          <cell r="O1059" t="str">
            <v>N/A</v>
          </cell>
          <cell r="P1059" t="str">
            <v>N/A</v>
          </cell>
          <cell r="Q1059">
            <v>60</v>
          </cell>
          <cell r="R1059" t="str">
            <v>N/A</v>
          </cell>
          <cell r="S1059" t="str">
            <v>No</v>
          </cell>
          <cell r="T1059" t="str">
            <v>N/A</v>
          </cell>
        </row>
        <row r="1060">
          <cell r="M1060" t="str">
            <v>Zipscreen HoodingInside Window MountTBS Remote Motor</v>
          </cell>
          <cell r="N1060">
            <v>17</v>
          </cell>
          <cell r="O1060">
            <v>66</v>
          </cell>
          <cell r="P1060">
            <v>66</v>
          </cell>
          <cell r="Q1060" t="str">
            <v>N/A</v>
          </cell>
          <cell r="R1060" t="str">
            <v>N/A</v>
          </cell>
          <cell r="S1060" t="str">
            <v>No</v>
          </cell>
          <cell r="T1060" t="str">
            <v>N/A</v>
          </cell>
        </row>
        <row r="1061">
          <cell r="M1061" t="str">
            <v>NoneInside Window MountTBS Cbus Motor</v>
          </cell>
          <cell r="N1061">
            <v>0</v>
          </cell>
          <cell r="O1061" t="str">
            <v>N/A</v>
          </cell>
          <cell r="P1061" t="str">
            <v>N/A</v>
          </cell>
          <cell r="Q1061" t="str">
            <v>N/A</v>
          </cell>
          <cell r="R1061" t="str">
            <v>N/A</v>
          </cell>
          <cell r="S1061" t="str">
            <v>No</v>
          </cell>
          <cell r="T1061" t="str">
            <v>N/A</v>
          </cell>
        </row>
        <row r="1062">
          <cell r="M1062" t="str">
            <v>Straight Upholstered PelmetInside Window MountTBS Cbus Motor</v>
          </cell>
          <cell r="N1062">
            <v>0</v>
          </cell>
          <cell r="O1062" t="str">
            <v>N/A</v>
          </cell>
          <cell r="P1062" t="str">
            <v>N/A</v>
          </cell>
          <cell r="Q1062" t="str">
            <v>N/A</v>
          </cell>
          <cell r="R1062" t="str">
            <v>N/A</v>
          </cell>
          <cell r="S1062" t="str">
            <v>No</v>
          </cell>
          <cell r="T1062" t="str">
            <v>N/A</v>
          </cell>
        </row>
        <row r="1063">
          <cell r="M1063" t="str">
            <v>Shaped Upholstered PelmetInside Window MountTBS Cbus Motor</v>
          </cell>
          <cell r="N1063">
            <v>0</v>
          </cell>
          <cell r="O1063" t="str">
            <v>N/A</v>
          </cell>
          <cell r="P1063" t="str">
            <v>N/A</v>
          </cell>
          <cell r="Q1063" t="str">
            <v>N/A</v>
          </cell>
          <cell r="R1063" t="str">
            <v>N/A</v>
          </cell>
          <cell r="S1063" t="str">
            <v>No</v>
          </cell>
          <cell r="T1063" t="str">
            <v>N/A</v>
          </cell>
        </row>
        <row r="1064">
          <cell r="M1064" t="str">
            <v>Aluminium PelmetInside Window MountTBS Cbus Motor</v>
          </cell>
          <cell r="N1064">
            <v>0</v>
          </cell>
          <cell r="O1064">
            <v>0</v>
          </cell>
          <cell r="P1064" t="str">
            <v>N/A</v>
          </cell>
          <cell r="Q1064" t="str">
            <v>N/A</v>
          </cell>
          <cell r="R1064" t="str">
            <v>No</v>
          </cell>
          <cell r="S1064" t="str">
            <v>No</v>
          </cell>
          <cell r="T1064" t="str">
            <v>Yes</v>
          </cell>
        </row>
        <row r="1065">
          <cell r="M1065" t="str">
            <v>Square CassetteInside Window MountTBS Cbus Motor</v>
          </cell>
          <cell r="N1065">
            <v>10</v>
          </cell>
          <cell r="O1065">
            <v>14</v>
          </cell>
          <cell r="P1065">
            <v>14</v>
          </cell>
          <cell r="Q1065" t="str">
            <v>N/A</v>
          </cell>
          <cell r="R1065" t="str">
            <v>No</v>
          </cell>
          <cell r="S1065" t="str">
            <v>No</v>
          </cell>
          <cell r="T1065" t="str">
            <v>No</v>
          </cell>
        </row>
        <row r="1066">
          <cell r="M1066" t="str">
            <v>Square Cassette with Side ChannelsInside Window MountTBS Cbus Motor</v>
          </cell>
          <cell r="N1066">
            <v>10</v>
          </cell>
          <cell r="O1066">
            <v>14</v>
          </cell>
          <cell r="P1066">
            <v>14</v>
          </cell>
          <cell r="Q1066">
            <v>88</v>
          </cell>
          <cell r="R1066" t="str">
            <v>No</v>
          </cell>
          <cell r="S1066" t="str">
            <v>Yes</v>
          </cell>
          <cell r="T1066" t="str">
            <v>No</v>
          </cell>
        </row>
        <row r="1067">
          <cell r="M1067" t="str">
            <v>Round CassetteInside Window MountTBS Cbus Motor</v>
          </cell>
          <cell r="N1067">
            <v>10</v>
          </cell>
          <cell r="O1067">
            <v>14</v>
          </cell>
          <cell r="P1067">
            <v>14</v>
          </cell>
          <cell r="Q1067" t="str">
            <v>N/A</v>
          </cell>
          <cell r="R1067" t="str">
            <v>No</v>
          </cell>
          <cell r="S1067" t="str">
            <v>No</v>
          </cell>
          <cell r="T1067" t="str">
            <v>No</v>
          </cell>
        </row>
        <row r="1068">
          <cell r="M1068" t="str">
            <v>Round Cassette with Side ChannelsInside Window MountTBS Cbus Motor</v>
          </cell>
          <cell r="N1068">
            <v>10</v>
          </cell>
          <cell r="O1068">
            <v>14</v>
          </cell>
          <cell r="P1068">
            <v>14</v>
          </cell>
          <cell r="Q1068">
            <v>88</v>
          </cell>
          <cell r="R1068" t="str">
            <v>No</v>
          </cell>
          <cell r="S1068" t="str">
            <v>Yes</v>
          </cell>
          <cell r="T1068" t="str">
            <v>No</v>
          </cell>
        </row>
        <row r="1069">
          <cell r="M1069" t="str">
            <v>Aluminium ValanceInside Window MountTBS Cbus Motor</v>
          </cell>
          <cell r="N1069">
            <v>0</v>
          </cell>
          <cell r="O1069" t="str">
            <v>N/A</v>
          </cell>
          <cell r="P1069">
            <v>0</v>
          </cell>
          <cell r="Q1069" t="str">
            <v>N/A</v>
          </cell>
          <cell r="R1069" t="str">
            <v>No</v>
          </cell>
          <cell r="S1069" t="str">
            <v>No</v>
          </cell>
          <cell r="T1069" t="str">
            <v>Yes</v>
          </cell>
        </row>
        <row r="1070">
          <cell r="M1070" t="str">
            <v>Aluminium Valance - Fabric CoveredInside Window MountTBS Cbus Motor</v>
          </cell>
          <cell r="N1070">
            <v>0</v>
          </cell>
          <cell r="O1070" t="str">
            <v>N/A</v>
          </cell>
          <cell r="P1070">
            <v>0</v>
          </cell>
          <cell r="Q1070" t="str">
            <v>N/A</v>
          </cell>
          <cell r="R1070" t="str">
            <v>No</v>
          </cell>
          <cell r="S1070" t="str">
            <v>No</v>
          </cell>
          <cell r="T1070" t="str">
            <v>Yes</v>
          </cell>
        </row>
        <row r="1071">
          <cell r="M1071" t="str">
            <v>Side ChannelsInside Window MountTBS Cbus Motor</v>
          </cell>
          <cell r="N1071">
            <v>10</v>
          </cell>
          <cell r="O1071" t="str">
            <v>N/A</v>
          </cell>
          <cell r="P1071" t="str">
            <v>N/A</v>
          </cell>
          <cell r="Q1071">
            <v>60</v>
          </cell>
          <cell r="R1071" t="str">
            <v>N/A</v>
          </cell>
          <cell r="S1071" t="str">
            <v>No</v>
          </cell>
          <cell r="T1071" t="str">
            <v>N/A</v>
          </cell>
        </row>
        <row r="1072">
          <cell r="M1072" t="str">
            <v>Zipscreen HoodingInside Window MountTBS Cbus Motor</v>
          </cell>
          <cell r="N1072">
            <v>17</v>
          </cell>
          <cell r="O1072">
            <v>66</v>
          </cell>
          <cell r="P1072">
            <v>66</v>
          </cell>
          <cell r="Q1072" t="str">
            <v>N/A</v>
          </cell>
          <cell r="R1072" t="str">
            <v>N/A</v>
          </cell>
          <cell r="S1072" t="str">
            <v>No</v>
          </cell>
          <cell r="T1072" t="str">
            <v>N/A</v>
          </cell>
        </row>
        <row r="1073">
          <cell r="M1073" t="str">
            <v>NoneInside Window MountAcmeda External Motor</v>
          </cell>
          <cell r="N1073">
            <v>0</v>
          </cell>
          <cell r="O1073" t="str">
            <v>N/A</v>
          </cell>
          <cell r="P1073" t="str">
            <v>N/A</v>
          </cell>
          <cell r="Q1073" t="str">
            <v>N/A</v>
          </cell>
          <cell r="R1073" t="str">
            <v>N/A</v>
          </cell>
          <cell r="S1073" t="str">
            <v>No</v>
          </cell>
          <cell r="T1073" t="str">
            <v>N/A</v>
          </cell>
        </row>
        <row r="1074">
          <cell r="M1074" t="str">
            <v>Straight Upholstered PelmetInside Window MountAcmeda External Motor</v>
          </cell>
          <cell r="N1074">
            <v>0</v>
          </cell>
          <cell r="O1074" t="str">
            <v>N/A</v>
          </cell>
          <cell r="P1074" t="str">
            <v>N/A</v>
          </cell>
          <cell r="Q1074" t="str">
            <v>N/A</v>
          </cell>
          <cell r="R1074" t="str">
            <v>N/A</v>
          </cell>
          <cell r="S1074" t="str">
            <v>No</v>
          </cell>
          <cell r="T1074" t="str">
            <v>N/A</v>
          </cell>
        </row>
        <row r="1075">
          <cell r="M1075" t="str">
            <v>Shaped Upholstered PelmetInside Window MountAcmeda External Motor</v>
          </cell>
          <cell r="N1075">
            <v>0</v>
          </cell>
          <cell r="O1075" t="str">
            <v>N/A</v>
          </cell>
          <cell r="P1075" t="str">
            <v>N/A</v>
          </cell>
          <cell r="Q1075" t="str">
            <v>N/A</v>
          </cell>
          <cell r="R1075" t="str">
            <v>N/A</v>
          </cell>
          <cell r="S1075" t="str">
            <v>No</v>
          </cell>
          <cell r="T1075" t="str">
            <v>N/A</v>
          </cell>
        </row>
        <row r="1076">
          <cell r="M1076" t="str">
            <v>Aluminium PelmetInside Window MountAcmeda External Motor</v>
          </cell>
          <cell r="N1076">
            <v>0</v>
          </cell>
          <cell r="O1076">
            <v>0</v>
          </cell>
          <cell r="P1076" t="str">
            <v>N/A</v>
          </cell>
          <cell r="Q1076" t="str">
            <v>N/A</v>
          </cell>
          <cell r="R1076" t="str">
            <v>No</v>
          </cell>
          <cell r="S1076" t="str">
            <v>No</v>
          </cell>
          <cell r="T1076" t="str">
            <v>Yes</v>
          </cell>
        </row>
        <row r="1077">
          <cell r="M1077" t="str">
            <v>Square CassetteInside Window MountAcmeda External Motor</v>
          </cell>
          <cell r="N1077">
            <v>10</v>
          </cell>
          <cell r="O1077">
            <v>14</v>
          </cell>
          <cell r="P1077">
            <v>14</v>
          </cell>
          <cell r="Q1077" t="str">
            <v>N/A</v>
          </cell>
          <cell r="R1077" t="str">
            <v>No</v>
          </cell>
          <cell r="S1077" t="str">
            <v>No</v>
          </cell>
          <cell r="T1077" t="str">
            <v>No</v>
          </cell>
        </row>
        <row r="1078">
          <cell r="M1078" t="str">
            <v>Square Cassette with Side ChannelsInside Window MountAcmeda External Motor</v>
          </cell>
          <cell r="N1078">
            <v>10</v>
          </cell>
          <cell r="O1078">
            <v>14</v>
          </cell>
          <cell r="P1078">
            <v>14</v>
          </cell>
          <cell r="Q1078">
            <v>88</v>
          </cell>
          <cell r="R1078" t="str">
            <v>No</v>
          </cell>
          <cell r="S1078" t="str">
            <v>Yes</v>
          </cell>
          <cell r="T1078" t="str">
            <v>No</v>
          </cell>
        </row>
        <row r="1079">
          <cell r="M1079" t="str">
            <v>Round CassetteInside Window MountAcmeda External Motor</v>
          </cell>
          <cell r="N1079">
            <v>10</v>
          </cell>
          <cell r="O1079">
            <v>14</v>
          </cell>
          <cell r="P1079">
            <v>14</v>
          </cell>
          <cell r="Q1079" t="str">
            <v>N/A</v>
          </cell>
          <cell r="R1079" t="str">
            <v>No</v>
          </cell>
          <cell r="S1079" t="str">
            <v>No</v>
          </cell>
          <cell r="T1079" t="str">
            <v>No</v>
          </cell>
        </row>
        <row r="1080">
          <cell r="M1080" t="str">
            <v>Round Cassette with Side ChannelsInside Window MountAcmeda External Motor</v>
          </cell>
          <cell r="N1080">
            <v>10</v>
          </cell>
          <cell r="O1080">
            <v>14</v>
          </cell>
          <cell r="P1080">
            <v>14</v>
          </cell>
          <cell r="Q1080">
            <v>88</v>
          </cell>
          <cell r="R1080" t="str">
            <v>No</v>
          </cell>
          <cell r="S1080" t="str">
            <v>Yes</v>
          </cell>
          <cell r="T1080" t="str">
            <v>No</v>
          </cell>
        </row>
        <row r="1081">
          <cell r="M1081" t="str">
            <v>Aluminium ValanceInside Window MountAcmeda External Motor</v>
          </cell>
          <cell r="N1081">
            <v>0</v>
          </cell>
          <cell r="O1081" t="str">
            <v>N/A</v>
          </cell>
          <cell r="P1081">
            <v>0</v>
          </cell>
          <cell r="Q1081" t="str">
            <v>N/A</v>
          </cell>
          <cell r="R1081" t="str">
            <v>No</v>
          </cell>
          <cell r="S1081" t="str">
            <v>No</v>
          </cell>
          <cell r="T1081" t="str">
            <v>Yes</v>
          </cell>
        </row>
        <row r="1082">
          <cell r="M1082" t="str">
            <v>Aluminium Valance - Fabric CoveredInside Window MountAcmeda External Motor</v>
          </cell>
          <cell r="N1082">
            <v>0</v>
          </cell>
          <cell r="O1082" t="str">
            <v>N/A</v>
          </cell>
          <cell r="P1082">
            <v>0</v>
          </cell>
          <cell r="Q1082" t="str">
            <v>N/A</v>
          </cell>
          <cell r="R1082" t="str">
            <v>No</v>
          </cell>
          <cell r="S1082" t="str">
            <v>No</v>
          </cell>
          <cell r="T1082" t="str">
            <v>Yes</v>
          </cell>
        </row>
        <row r="1083">
          <cell r="M1083" t="str">
            <v>Side ChannelsInside Window MountAcmeda External Motor</v>
          </cell>
          <cell r="N1083">
            <v>0</v>
          </cell>
          <cell r="O1083" t="str">
            <v>N/A</v>
          </cell>
          <cell r="P1083" t="str">
            <v>N/A</v>
          </cell>
          <cell r="Q1083">
            <v>60</v>
          </cell>
          <cell r="R1083" t="str">
            <v>N/A</v>
          </cell>
          <cell r="S1083" t="str">
            <v>No</v>
          </cell>
          <cell r="T1083" t="str">
            <v>N/A</v>
          </cell>
        </row>
        <row r="1084">
          <cell r="M1084" t="str">
            <v>Zipscreen HoodingInside Window MountAcmeda External Motor</v>
          </cell>
          <cell r="N1084">
            <v>17</v>
          </cell>
          <cell r="O1084">
            <v>66</v>
          </cell>
          <cell r="P1084">
            <v>66</v>
          </cell>
          <cell r="Q1084" t="str">
            <v>N/A</v>
          </cell>
          <cell r="R1084" t="str">
            <v>N/A</v>
          </cell>
          <cell r="S1084" t="str">
            <v>No</v>
          </cell>
          <cell r="T1084" t="str">
            <v>N/A</v>
          </cell>
        </row>
        <row r="1085">
          <cell r="M1085" t="str">
            <v>NoneOutside Window MountChain Winder</v>
          </cell>
          <cell r="N1085">
            <v>0</v>
          </cell>
          <cell r="O1085" t="str">
            <v>N/A</v>
          </cell>
          <cell r="P1085" t="str">
            <v>N/A</v>
          </cell>
          <cell r="Q1085" t="str">
            <v>N/A</v>
          </cell>
          <cell r="R1085" t="str">
            <v>N/A</v>
          </cell>
          <cell r="S1085" t="str">
            <v>No</v>
          </cell>
          <cell r="T1085" t="str">
            <v>N/A</v>
          </cell>
        </row>
        <row r="1086">
          <cell r="M1086" t="str">
            <v>Straight Upholstered PelmetOutside Window MountChain Winder</v>
          </cell>
          <cell r="N1086">
            <v>0</v>
          </cell>
          <cell r="O1086" t="str">
            <v>N/A</v>
          </cell>
          <cell r="P1086" t="str">
            <v>N/A</v>
          </cell>
          <cell r="Q1086" t="str">
            <v>N/A</v>
          </cell>
          <cell r="R1086" t="str">
            <v>N/A</v>
          </cell>
          <cell r="S1086" t="str">
            <v>No</v>
          </cell>
          <cell r="T1086" t="str">
            <v>N/A</v>
          </cell>
        </row>
        <row r="1087">
          <cell r="M1087" t="str">
            <v>Shaped Upholstered PelmetOutside Window MountChain Winder</v>
          </cell>
          <cell r="N1087">
            <v>0</v>
          </cell>
          <cell r="O1087" t="str">
            <v>N/A</v>
          </cell>
          <cell r="P1087" t="str">
            <v>N/A</v>
          </cell>
          <cell r="Q1087" t="str">
            <v>N/A</v>
          </cell>
          <cell r="R1087" t="str">
            <v>N/A</v>
          </cell>
          <cell r="S1087" t="str">
            <v>No</v>
          </cell>
          <cell r="T1087" t="str">
            <v>N/A</v>
          </cell>
        </row>
        <row r="1088">
          <cell r="M1088" t="str">
            <v>Aluminium PelmetOutside Window MountChain Winder</v>
          </cell>
          <cell r="N1088">
            <v>0</v>
          </cell>
          <cell r="O1088">
            <v>0</v>
          </cell>
          <cell r="P1088" t="str">
            <v>N/A</v>
          </cell>
          <cell r="Q1088" t="str">
            <v>N/A</v>
          </cell>
          <cell r="R1088" t="str">
            <v>No</v>
          </cell>
          <cell r="S1088" t="str">
            <v>No</v>
          </cell>
          <cell r="T1088" t="str">
            <v>Yes</v>
          </cell>
        </row>
        <row r="1089">
          <cell r="M1089" t="str">
            <v>Square CassetteOutside Window MountChain Winder</v>
          </cell>
          <cell r="N1089">
            <v>10</v>
          </cell>
          <cell r="O1089">
            <v>14</v>
          </cell>
          <cell r="P1089">
            <v>29</v>
          </cell>
          <cell r="Q1089" t="str">
            <v>N/A</v>
          </cell>
          <cell r="R1089" t="str">
            <v>No</v>
          </cell>
          <cell r="S1089" t="str">
            <v>No</v>
          </cell>
          <cell r="T1089" t="str">
            <v>No</v>
          </cell>
        </row>
        <row r="1090">
          <cell r="M1090" t="str">
            <v>Square Cassette with Side ChannelsOutside Window MountChain Winder</v>
          </cell>
          <cell r="N1090">
            <v>10</v>
          </cell>
          <cell r="O1090">
            <v>14</v>
          </cell>
          <cell r="P1090">
            <v>29</v>
          </cell>
          <cell r="Q1090">
            <v>88</v>
          </cell>
          <cell r="R1090" t="str">
            <v>No</v>
          </cell>
          <cell r="S1090" t="str">
            <v>Yes</v>
          </cell>
          <cell r="T1090" t="str">
            <v>No</v>
          </cell>
        </row>
        <row r="1091">
          <cell r="M1091" t="str">
            <v>Round CassetteOutside Window MountChain Winder</v>
          </cell>
          <cell r="N1091">
            <v>10</v>
          </cell>
          <cell r="O1091">
            <v>14</v>
          </cell>
          <cell r="P1091">
            <v>29</v>
          </cell>
          <cell r="Q1091" t="str">
            <v>N/A</v>
          </cell>
          <cell r="R1091" t="str">
            <v>No</v>
          </cell>
          <cell r="S1091" t="str">
            <v>No</v>
          </cell>
          <cell r="T1091" t="str">
            <v>No</v>
          </cell>
        </row>
        <row r="1092">
          <cell r="M1092" t="str">
            <v>Round Cassette with Side ChannelsOutside Window MountChain Winder</v>
          </cell>
          <cell r="N1092">
            <v>10</v>
          </cell>
          <cell r="O1092">
            <v>14</v>
          </cell>
          <cell r="P1092">
            <v>29</v>
          </cell>
          <cell r="Q1092">
            <v>88</v>
          </cell>
          <cell r="R1092" t="str">
            <v>No</v>
          </cell>
          <cell r="S1092" t="str">
            <v>Yes</v>
          </cell>
          <cell r="T1092" t="str">
            <v>No</v>
          </cell>
        </row>
        <row r="1093">
          <cell r="M1093" t="str">
            <v>Aluminium ValanceOutside Window MountChain Winder</v>
          </cell>
          <cell r="N1093">
            <v>0</v>
          </cell>
          <cell r="O1093" t="str">
            <v>N/A</v>
          </cell>
          <cell r="P1093">
            <v>0</v>
          </cell>
          <cell r="Q1093" t="str">
            <v>N/A</v>
          </cell>
          <cell r="R1093" t="str">
            <v>No</v>
          </cell>
          <cell r="S1093" t="str">
            <v>No</v>
          </cell>
          <cell r="T1093" t="str">
            <v>Yes</v>
          </cell>
        </row>
        <row r="1094">
          <cell r="M1094" t="str">
            <v>Aluminium Valance - Fabric CoveredOutside Window MountChain Winder</v>
          </cell>
          <cell r="N1094">
            <v>0</v>
          </cell>
          <cell r="O1094" t="str">
            <v>N/A</v>
          </cell>
          <cell r="P1094">
            <v>0</v>
          </cell>
          <cell r="Q1094" t="str">
            <v>N/A</v>
          </cell>
          <cell r="R1094" t="str">
            <v>No</v>
          </cell>
          <cell r="S1094" t="str">
            <v>No</v>
          </cell>
          <cell r="T1094" t="str">
            <v>Yes</v>
          </cell>
        </row>
        <row r="1095">
          <cell r="M1095" t="str">
            <v>Side ChannelsOutside Window MountChain Winder</v>
          </cell>
          <cell r="N1095">
            <v>0</v>
          </cell>
          <cell r="O1095" t="str">
            <v>N/A</v>
          </cell>
          <cell r="P1095" t="str">
            <v>N/A</v>
          </cell>
          <cell r="Q1095">
            <v>60</v>
          </cell>
          <cell r="R1095" t="str">
            <v>N/A</v>
          </cell>
          <cell r="S1095" t="str">
            <v>No</v>
          </cell>
          <cell r="T1095" t="str">
            <v>N/A</v>
          </cell>
        </row>
        <row r="1096">
          <cell r="M1096" t="str">
            <v>Zipscreen HoodingOutside Window MountChain Winder</v>
          </cell>
          <cell r="N1096">
            <v>17</v>
          </cell>
          <cell r="O1096">
            <v>66</v>
          </cell>
          <cell r="P1096">
            <v>66</v>
          </cell>
          <cell r="Q1096" t="str">
            <v>N/A</v>
          </cell>
          <cell r="R1096" t="str">
            <v>N/A</v>
          </cell>
          <cell r="S1096" t="str">
            <v>No</v>
          </cell>
          <cell r="T1096" t="str">
            <v>N/A</v>
          </cell>
        </row>
        <row r="1097">
          <cell r="M1097" t="str">
            <v>NoneOutside Window MountChain Winder 60mm</v>
          </cell>
          <cell r="N1097">
            <v>0</v>
          </cell>
          <cell r="O1097" t="str">
            <v>N/A</v>
          </cell>
          <cell r="P1097" t="str">
            <v>N/A</v>
          </cell>
          <cell r="Q1097" t="str">
            <v>N/A</v>
          </cell>
          <cell r="R1097" t="str">
            <v>N/A</v>
          </cell>
          <cell r="S1097" t="str">
            <v>No</v>
          </cell>
          <cell r="T1097" t="str">
            <v>N/A</v>
          </cell>
        </row>
        <row r="1098">
          <cell r="M1098" t="str">
            <v>Straight Upholstered PelmetOutside Window MountChain Winder 60mm</v>
          </cell>
          <cell r="N1098">
            <v>0</v>
          </cell>
          <cell r="O1098" t="str">
            <v>N/A</v>
          </cell>
          <cell r="P1098" t="str">
            <v>N/A</v>
          </cell>
          <cell r="Q1098" t="str">
            <v>N/A</v>
          </cell>
          <cell r="R1098" t="str">
            <v>N/A</v>
          </cell>
          <cell r="S1098" t="str">
            <v>No</v>
          </cell>
          <cell r="T1098" t="str">
            <v>N/A</v>
          </cell>
        </row>
        <row r="1099">
          <cell r="M1099" t="str">
            <v>Shaped Upholstered PelmetOutside Window MountChain Winder 60mm</v>
          </cell>
          <cell r="N1099">
            <v>0</v>
          </cell>
          <cell r="O1099" t="str">
            <v>N/A</v>
          </cell>
          <cell r="P1099" t="str">
            <v>N/A</v>
          </cell>
          <cell r="Q1099" t="str">
            <v>N/A</v>
          </cell>
          <cell r="R1099" t="str">
            <v>N/A</v>
          </cell>
          <cell r="S1099" t="str">
            <v>No</v>
          </cell>
          <cell r="T1099" t="str">
            <v>N/A</v>
          </cell>
        </row>
        <row r="1100">
          <cell r="M1100" t="str">
            <v>Aluminium PelmetOutside Window MountChain Winder 60mm</v>
          </cell>
          <cell r="N1100">
            <v>0</v>
          </cell>
          <cell r="O1100">
            <v>0</v>
          </cell>
          <cell r="P1100" t="str">
            <v>N/A</v>
          </cell>
          <cell r="Q1100" t="str">
            <v>N/A</v>
          </cell>
          <cell r="R1100" t="str">
            <v>No</v>
          </cell>
          <cell r="S1100" t="str">
            <v>No</v>
          </cell>
          <cell r="T1100" t="str">
            <v>Yes</v>
          </cell>
        </row>
        <row r="1101">
          <cell r="M1101" t="str">
            <v>Square CassetteOutside Window MountChain Winder 60mm</v>
          </cell>
          <cell r="N1101">
            <v>10</v>
          </cell>
          <cell r="O1101">
            <v>14</v>
          </cell>
          <cell r="P1101">
            <v>29</v>
          </cell>
          <cell r="Q1101" t="str">
            <v>N/A</v>
          </cell>
          <cell r="R1101" t="str">
            <v>No</v>
          </cell>
          <cell r="S1101" t="str">
            <v>No</v>
          </cell>
          <cell r="T1101" t="str">
            <v>No</v>
          </cell>
        </row>
        <row r="1102">
          <cell r="M1102" t="str">
            <v>Square Cassette with Side ChannelsOutside Window MountChain Winder 60mm</v>
          </cell>
          <cell r="N1102">
            <v>10</v>
          </cell>
          <cell r="O1102">
            <v>14</v>
          </cell>
          <cell r="P1102">
            <v>29</v>
          </cell>
          <cell r="Q1102">
            <v>88</v>
          </cell>
          <cell r="R1102" t="str">
            <v>No</v>
          </cell>
          <cell r="S1102" t="str">
            <v>Yes</v>
          </cell>
          <cell r="T1102" t="str">
            <v>No</v>
          </cell>
        </row>
        <row r="1103">
          <cell r="M1103" t="str">
            <v>Round CassetteOutside Window MountChain Winder 60mm</v>
          </cell>
          <cell r="N1103">
            <v>10</v>
          </cell>
          <cell r="O1103">
            <v>14</v>
          </cell>
          <cell r="P1103">
            <v>29</v>
          </cell>
          <cell r="Q1103" t="str">
            <v>N/A</v>
          </cell>
          <cell r="R1103" t="str">
            <v>No</v>
          </cell>
          <cell r="S1103" t="str">
            <v>No</v>
          </cell>
          <cell r="T1103" t="str">
            <v>No</v>
          </cell>
        </row>
        <row r="1104">
          <cell r="M1104" t="str">
            <v>Round Cassette with Side ChannelsOutside Window MountChain Winder 60mm</v>
          </cell>
          <cell r="N1104">
            <v>10</v>
          </cell>
          <cell r="O1104">
            <v>14</v>
          </cell>
          <cell r="P1104">
            <v>29</v>
          </cell>
          <cell r="Q1104">
            <v>88</v>
          </cell>
          <cell r="R1104" t="str">
            <v>No</v>
          </cell>
          <cell r="S1104" t="str">
            <v>Yes</v>
          </cell>
          <cell r="T1104" t="str">
            <v>No</v>
          </cell>
        </row>
        <row r="1105">
          <cell r="M1105" t="str">
            <v>Aluminium ValanceOutside Window MountChain Winder 60mm</v>
          </cell>
          <cell r="N1105">
            <v>0</v>
          </cell>
          <cell r="O1105" t="str">
            <v>N/A</v>
          </cell>
          <cell r="P1105">
            <v>0</v>
          </cell>
          <cell r="Q1105" t="str">
            <v>N/A</v>
          </cell>
          <cell r="R1105" t="str">
            <v>No</v>
          </cell>
          <cell r="S1105" t="str">
            <v>No</v>
          </cell>
          <cell r="T1105" t="str">
            <v>Yes</v>
          </cell>
        </row>
        <row r="1106">
          <cell r="M1106" t="str">
            <v>Aluminium Valance - Fabric CoveredOutside Window MountChain Winder 60mm</v>
          </cell>
          <cell r="N1106">
            <v>0</v>
          </cell>
          <cell r="O1106" t="str">
            <v>N/A</v>
          </cell>
          <cell r="P1106">
            <v>0</v>
          </cell>
          <cell r="Q1106" t="str">
            <v>N/A</v>
          </cell>
          <cell r="R1106" t="str">
            <v>No</v>
          </cell>
          <cell r="S1106" t="str">
            <v>No</v>
          </cell>
          <cell r="T1106" t="str">
            <v>Yes</v>
          </cell>
        </row>
        <row r="1107">
          <cell r="M1107" t="str">
            <v>Side ChannelsOutside Window MountChain Winder 60mm</v>
          </cell>
          <cell r="N1107">
            <v>10</v>
          </cell>
          <cell r="O1107" t="str">
            <v>N/A</v>
          </cell>
          <cell r="P1107" t="str">
            <v>N/A</v>
          </cell>
          <cell r="Q1107">
            <v>60</v>
          </cell>
          <cell r="R1107" t="str">
            <v>N/A</v>
          </cell>
          <cell r="S1107" t="str">
            <v>No</v>
          </cell>
          <cell r="T1107" t="str">
            <v>N/A</v>
          </cell>
        </row>
        <row r="1108">
          <cell r="M1108" t="str">
            <v>Zipscreen HoodingOutside Window MountChain Winder 60mm</v>
          </cell>
          <cell r="N1108">
            <v>17</v>
          </cell>
          <cell r="O1108">
            <v>66</v>
          </cell>
          <cell r="P1108">
            <v>66</v>
          </cell>
          <cell r="Q1108" t="str">
            <v>N/A</v>
          </cell>
          <cell r="R1108" t="str">
            <v>N/A</v>
          </cell>
          <cell r="S1108" t="str">
            <v>No</v>
          </cell>
          <cell r="T1108" t="str">
            <v>N/A</v>
          </cell>
        </row>
        <row r="1109">
          <cell r="M1109" t="str">
            <v>NoneOutside Window MountChain Winder Fixed Guide</v>
          </cell>
          <cell r="N1109">
            <v>0</v>
          </cell>
          <cell r="O1109" t="str">
            <v>N/A</v>
          </cell>
          <cell r="P1109" t="str">
            <v>N/A</v>
          </cell>
          <cell r="Q1109" t="str">
            <v>N/A</v>
          </cell>
          <cell r="R1109" t="str">
            <v>N/A</v>
          </cell>
          <cell r="S1109" t="str">
            <v>No</v>
          </cell>
          <cell r="T1109" t="str">
            <v>N/A</v>
          </cell>
        </row>
        <row r="1110">
          <cell r="M1110" t="str">
            <v>Straight Upholstered PelmetOutside Window MountChain Winder Fixed Guide</v>
          </cell>
          <cell r="N1110">
            <v>0</v>
          </cell>
          <cell r="O1110" t="str">
            <v>N/A</v>
          </cell>
          <cell r="P1110" t="str">
            <v>N/A</v>
          </cell>
          <cell r="Q1110" t="str">
            <v>N/A</v>
          </cell>
          <cell r="R1110" t="str">
            <v>N/A</v>
          </cell>
          <cell r="S1110" t="str">
            <v>No</v>
          </cell>
          <cell r="T1110" t="str">
            <v>N/A</v>
          </cell>
        </row>
        <row r="1111">
          <cell r="M1111" t="str">
            <v>Shaped Upholstered PelmetOutside Window MountChain Winder Fixed Guide</v>
          </cell>
          <cell r="N1111">
            <v>0</v>
          </cell>
          <cell r="O1111" t="str">
            <v>N/A</v>
          </cell>
          <cell r="P1111" t="str">
            <v>N/A</v>
          </cell>
          <cell r="Q1111" t="str">
            <v>N/A</v>
          </cell>
          <cell r="R1111" t="str">
            <v>N/A</v>
          </cell>
          <cell r="S1111" t="str">
            <v>No</v>
          </cell>
          <cell r="T1111" t="str">
            <v>N/A</v>
          </cell>
        </row>
        <row r="1112">
          <cell r="M1112" t="str">
            <v>Aluminium PelmetOutside Window MountChain Winder Fixed Guide</v>
          </cell>
          <cell r="N1112">
            <v>0</v>
          </cell>
          <cell r="O1112">
            <v>0</v>
          </cell>
          <cell r="P1112" t="str">
            <v>N/A</v>
          </cell>
          <cell r="Q1112" t="str">
            <v>N/A</v>
          </cell>
          <cell r="R1112" t="str">
            <v>No</v>
          </cell>
          <cell r="S1112" t="str">
            <v>No</v>
          </cell>
          <cell r="T1112" t="str">
            <v>Yes</v>
          </cell>
        </row>
        <row r="1113">
          <cell r="M1113" t="str">
            <v>Square CassetteOutside Window MountChain Winder Fixed Guide</v>
          </cell>
          <cell r="N1113">
            <v>10</v>
          </cell>
          <cell r="O1113">
            <v>14</v>
          </cell>
          <cell r="P1113">
            <v>29</v>
          </cell>
          <cell r="Q1113" t="str">
            <v>N/A</v>
          </cell>
          <cell r="R1113" t="str">
            <v>No</v>
          </cell>
          <cell r="S1113" t="str">
            <v>No</v>
          </cell>
          <cell r="T1113" t="str">
            <v>No</v>
          </cell>
        </row>
        <row r="1114">
          <cell r="M1114" t="str">
            <v>Square Cassette with Side ChannelsOutside Window MountChain Winder Fixed Guide</v>
          </cell>
          <cell r="N1114">
            <v>10</v>
          </cell>
          <cell r="O1114">
            <v>14</v>
          </cell>
          <cell r="P1114">
            <v>29</v>
          </cell>
          <cell r="Q1114">
            <v>88</v>
          </cell>
          <cell r="R1114" t="str">
            <v>No</v>
          </cell>
          <cell r="S1114" t="str">
            <v>Yes</v>
          </cell>
          <cell r="T1114" t="str">
            <v>No</v>
          </cell>
        </row>
        <row r="1115">
          <cell r="M1115" t="str">
            <v>Round CassetteOutside Window MountChain Winder Fixed Guide</v>
          </cell>
          <cell r="N1115">
            <v>10</v>
          </cell>
          <cell r="O1115">
            <v>14</v>
          </cell>
          <cell r="P1115">
            <v>29</v>
          </cell>
          <cell r="Q1115" t="str">
            <v>N/A</v>
          </cell>
          <cell r="R1115" t="str">
            <v>No</v>
          </cell>
          <cell r="S1115" t="str">
            <v>No</v>
          </cell>
          <cell r="T1115" t="str">
            <v>No</v>
          </cell>
        </row>
        <row r="1116">
          <cell r="M1116" t="str">
            <v>Round Cassette with Side ChannelsOutside Window MountChain Winder Fixed Guide</v>
          </cell>
          <cell r="N1116">
            <v>10</v>
          </cell>
          <cell r="O1116">
            <v>14</v>
          </cell>
          <cell r="P1116">
            <v>29</v>
          </cell>
          <cell r="Q1116">
            <v>88</v>
          </cell>
          <cell r="R1116" t="str">
            <v>No</v>
          </cell>
          <cell r="S1116" t="str">
            <v>Yes</v>
          </cell>
          <cell r="T1116" t="str">
            <v>No</v>
          </cell>
        </row>
        <row r="1117">
          <cell r="M1117" t="str">
            <v>Aluminium ValanceOutside Window MountChain Winder Fixed Guide</v>
          </cell>
          <cell r="N1117">
            <v>0</v>
          </cell>
          <cell r="O1117" t="str">
            <v>N/A</v>
          </cell>
          <cell r="P1117">
            <v>0</v>
          </cell>
          <cell r="Q1117" t="str">
            <v>N/A</v>
          </cell>
          <cell r="R1117" t="str">
            <v>No</v>
          </cell>
          <cell r="S1117" t="str">
            <v>No</v>
          </cell>
          <cell r="T1117" t="str">
            <v>Yes</v>
          </cell>
        </row>
        <row r="1118">
          <cell r="M1118" t="str">
            <v>Aluminium Valance - Fabric CoveredOutside Window MountChain Winder Fixed Guide</v>
          </cell>
          <cell r="N1118">
            <v>0</v>
          </cell>
          <cell r="O1118" t="str">
            <v>N/A</v>
          </cell>
          <cell r="P1118">
            <v>0</v>
          </cell>
          <cell r="Q1118" t="str">
            <v>N/A</v>
          </cell>
          <cell r="R1118" t="str">
            <v>No</v>
          </cell>
          <cell r="S1118" t="str">
            <v>No</v>
          </cell>
          <cell r="T1118" t="str">
            <v>Yes</v>
          </cell>
        </row>
        <row r="1119">
          <cell r="M1119" t="str">
            <v>Side ChannelsOutside Window MountChain Winder Fixed Guide</v>
          </cell>
          <cell r="N1119">
            <v>10</v>
          </cell>
          <cell r="O1119" t="str">
            <v>N/A</v>
          </cell>
          <cell r="P1119" t="str">
            <v>N/A</v>
          </cell>
          <cell r="Q1119">
            <v>60</v>
          </cell>
          <cell r="R1119" t="str">
            <v>N/A</v>
          </cell>
          <cell r="S1119" t="str">
            <v>No</v>
          </cell>
          <cell r="T1119" t="str">
            <v>N/A</v>
          </cell>
        </row>
        <row r="1120">
          <cell r="M1120" t="str">
            <v>Zipscreen HoodingOutside Window MountChain Winder Fixed Guide</v>
          </cell>
          <cell r="N1120">
            <v>17</v>
          </cell>
          <cell r="O1120">
            <v>66</v>
          </cell>
          <cell r="P1120">
            <v>66</v>
          </cell>
          <cell r="Q1120" t="str">
            <v>N/A</v>
          </cell>
          <cell r="R1120" t="str">
            <v>N/A</v>
          </cell>
          <cell r="S1120" t="str">
            <v>No</v>
          </cell>
          <cell r="T1120" t="str">
            <v>N/A</v>
          </cell>
        </row>
        <row r="1121">
          <cell r="M1121" t="str">
            <v>NoneOutside Window MountLinked</v>
          </cell>
          <cell r="N1121">
            <v>0</v>
          </cell>
          <cell r="O1121" t="str">
            <v>N/A</v>
          </cell>
          <cell r="P1121" t="str">
            <v>N/A</v>
          </cell>
          <cell r="Q1121" t="str">
            <v>N/A</v>
          </cell>
          <cell r="R1121" t="str">
            <v>N/A</v>
          </cell>
          <cell r="S1121" t="str">
            <v>No</v>
          </cell>
          <cell r="T1121" t="str">
            <v>N/A</v>
          </cell>
        </row>
        <row r="1122">
          <cell r="M1122" t="str">
            <v>Straight Upholstered PelmetOutside Window MountLinked</v>
          </cell>
          <cell r="N1122">
            <v>0</v>
          </cell>
          <cell r="O1122" t="str">
            <v>N/A</v>
          </cell>
          <cell r="P1122" t="str">
            <v>N/A</v>
          </cell>
          <cell r="Q1122" t="str">
            <v>N/A</v>
          </cell>
          <cell r="R1122" t="str">
            <v>N/A</v>
          </cell>
          <cell r="S1122" t="str">
            <v>No</v>
          </cell>
          <cell r="T1122" t="str">
            <v>N/A</v>
          </cell>
        </row>
        <row r="1123">
          <cell r="M1123" t="str">
            <v>Shaped Upholstered PelmetOutside Window MountLinked</v>
          </cell>
          <cell r="N1123">
            <v>0</v>
          </cell>
          <cell r="O1123" t="str">
            <v>N/A</v>
          </cell>
          <cell r="P1123" t="str">
            <v>N/A</v>
          </cell>
          <cell r="Q1123" t="str">
            <v>N/A</v>
          </cell>
          <cell r="R1123" t="str">
            <v>N/A</v>
          </cell>
          <cell r="S1123" t="str">
            <v>No</v>
          </cell>
          <cell r="T1123" t="str">
            <v>N/A</v>
          </cell>
        </row>
        <row r="1124">
          <cell r="M1124" t="str">
            <v>Aluminium PelmetOutside Window MountLinked</v>
          </cell>
          <cell r="N1124">
            <v>0</v>
          </cell>
          <cell r="O1124">
            <v>0</v>
          </cell>
          <cell r="P1124" t="str">
            <v>N/A</v>
          </cell>
          <cell r="Q1124" t="str">
            <v>N/A</v>
          </cell>
          <cell r="R1124" t="str">
            <v>No</v>
          </cell>
          <cell r="S1124" t="str">
            <v>No</v>
          </cell>
          <cell r="T1124" t="str">
            <v>Yes</v>
          </cell>
        </row>
        <row r="1125">
          <cell r="M1125" t="str">
            <v>Square CassetteOutside Window MountLinked</v>
          </cell>
          <cell r="N1125">
            <v>10</v>
          </cell>
          <cell r="O1125">
            <v>14</v>
          </cell>
          <cell r="P1125">
            <v>14</v>
          </cell>
          <cell r="Q1125" t="str">
            <v>N/A</v>
          </cell>
          <cell r="R1125" t="str">
            <v>No</v>
          </cell>
          <cell r="S1125" t="str">
            <v>No</v>
          </cell>
          <cell r="T1125" t="str">
            <v>No</v>
          </cell>
        </row>
        <row r="1126">
          <cell r="M1126" t="str">
            <v>Square Cassette with Side ChannelsOutside Window MountLinked</v>
          </cell>
          <cell r="N1126">
            <v>10</v>
          </cell>
          <cell r="O1126">
            <v>14</v>
          </cell>
          <cell r="P1126">
            <v>14</v>
          </cell>
          <cell r="Q1126">
            <v>88</v>
          </cell>
          <cell r="R1126" t="str">
            <v>No</v>
          </cell>
          <cell r="S1126" t="str">
            <v>Yes</v>
          </cell>
          <cell r="T1126" t="str">
            <v>No</v>
          </cell>
        </row>
        <row r="1127">
          <cell r="M1127" t="str">
            <v>Round CassetteOutside Window MountLinked</v>
          </cell>
          <cell r="N1127">
            <v>10</v>
          </cell>
          <cell r="O1127">
            <v>14</v>
          </cell>
          <cell r="P1127">
            <v>14</v>
          </cell>
          <cell r="Q1127" t="str">
            <v>N/A</v>
          </cell>
          <cell r="R1127" t="str">
            <v>No</v>
          </cell>
          <cell r="S1127" t="str">
            <v>No</v>
          </cell>
          <cell r="T1127" t="str">
            <v>No</v>
          </cell>
        </row>
        <row r="1128">
          <cell r="M1128" t="str">
            <v>Round Cassette with Side ChannelsOutside Window MountLinked</v>
          </cell>
          <cell r="N1128">
            <v>10</v>
          </cell>
          <cell r="O1128">
            <v>14</v>
          </cell>
          <cell r="P1128">
            <v>14</v>
          </cell>
          <cell r="Q1128">
            <v>88</v>
          </cell>
          <cell r="R1128" t="str">
            <v>No</v>
          </cell>
          <cell r="S1128" t="str">
            <v>Yes</v>
          </cell>
          <cell r="T1128" t="str">
            <v>No</v>
          </cell>
        </row>
        <row r="1129">
          <cell r="M1129" t="str">
            <v>Aluminium ValanceOutside Window MountLinked</v>
          </cell>
          <cell r="N1129">
            <v>0</v>
          </cell>
          <cell r="O1129" t="str">
            <v>N/A</v>
          </cell>
          <cell r="P1129">
            <v>0</v>
          </cell>
          <cell r="Q1129" t="str">
            <v>N/A</v>
          </cell>
          <cell r="R1129" t="str">
            <v>No</v>
          </cell>
          <cell r="S1129" t="str">
            <v>No</v>
          </cell>
          <cell r="T1129" t="str">
            <v>Yes</v>
          </cell>
        </row>
        <row r="1130">
          <cell r="M1130" t="str">
            <v>Aluminium Valance - Fabric CoveredOutside Window MountLinked</v>
          </cell>
          <cell r="N1130">
            <v>0</v>
          </cell>
          <cell r="O1130" t="str">
            <v>N/A</v>
          </cell>
          <cell r="P1130">
            <v>0</v>
          </cell>
          <cell r="Q1130" t="str">
            <v>N/A</v>
          </cell>
          <cell r="R1130" t="str">
            <v>No</v>
          </cell>
          <cell r="S1130" t="str">
            <v>No</v>
          </cell>
          <cell r="T1130" t="str">
            <v>Yes</v>
          </cell>
        </row>
        <row r="1131">
          <cell r="M1131" t="str">
            <v>Side ChannelsOutside Window MountLinked</v>
          </cell>
          <cell r="N1131">
            <v>10</v>
          </cell>
          <cell r="O1131" t="str">
            <v>N/A</v>
          </cell>
          <cell r="P1131" t="str">
            <v>N/A</v>
          </cell>
          <cell r="Q1131">
            <v>60</v>
          </cell>
          <cell r="R1131" t="str">
            <v>N/A</v>
          </cell>
          <cell r="S1131" t="str">
            <v>No</v>
          </cell>
          <cell r="T1131" t="str">
            <v>N/A</v>
          </cell>
        </row>
        <row r="1132">
          <cell r="M1132" t="str">
            <v>Zipscreen HoodingOutside Window MountLinked</v>
          </cell>
          <cell r="N1132">
            <v>17</v>
          </cell>
          <cell r="O1132">
            <v>66</v>
          </cell>
          <cell r="P1132">
            <v>66</v>
          </cell>
          <cell r="Q1132" t="str">
            <v>N/A</v>
          </cell>
          <cell r="R1132" t="str">
            <v>N/A</v>
          </cell>
          <cell r="S1132" t="str">
            <v>No</v>
          </cell>
          <cell r="T1132" t="str">
            <v>N/A</v>
          </cell>
        </row>
        <row r="1133">
          <cell r="M1133" t="str">
            <v>NoneOutside Window MountStandard Spring</v>
          </cell>
          <cell r="N1133">
            <v>0</v>
          </cell>
          <cell r="O1133" t="str">
            <v>N/A</v>
          </cell>
          <cell r="P1133" t="str">
            <v>N/A</v>
          </cell>
          <cell r="Q1133" t="str">
            <v>N/A</v>
          </cell>
          <cell r="R1133" t="str">
            <v>N/A</v>
          </cell>
          <cell r="S1133" t="str">
            <v>No</v>
          </cell>
          <cell r="T1133" t="str">
            <v>N/A</v>
          </cell>
        </row>
        <row r="1134">
          <cell r="M1134" t="str">
            <v>Straight Upholstered PelmetOutside Window MountStandard Spring</v>
          </cell>
          <cell r="N1134">
            <v>0</v>
          </cell>
          <cell r="O1134" t="str">
            <v>N/A</v>
          </cell>
          <cell r="P1134" t="str">
            <v>N/A</v>
          </cell>
          <cell r="Q1134" t="str">
            <v>N/A</v>
          </cell>
          <cell r="R1134" t="str">
            <v>N/A</v>
          </cell>
          <cell r="S1134" t="str">
            <v>No</v>
          </cell>
          <cell r="T1134" t="str">
            <v>N/A</v>
          </cell>
        </row>
        <row r="1135">
          <cell r="M1135" t="str">
            <v>Shaped Upholstered PelmetOutside Window MountStandard Spring</v>
          </cell>
          <cell r="N1135">
            <v>0</v>
          </cell>
          <cell r="O1135" t="str">
            <v>N/A</v>
          </cell>
          <cell r="P1135" t="str">
            <v>N/A</v>
          </cell>
          <cell r="Q1135" t="str">
            <v>N/A</v>
          </cell>
          <cell r="R1135" t="str">
            <v>N/A</v>
          </cell>
          <cell r="S1135" t="str">
            <v>No</v>
          </cell>
          <cell r="T1135" t="str">
            <v>N/A</v>
          </cell>
        </row>
        <row r="1136">
          <cell r="M1136" t="str">
            <v>Aluminium PelmetOutside Window MountStandard Spring</v>
          </cell>
          <cell r="N1136">
            <v>0</v>
          </cell>
          <cell r="O1136">
            <v>0</v>
          </cell>
          <cell r="P1136" t="str">
            <v>N/A</v>
          </cell>
          <cell r="Q1136" t="str">
            <v>N/A</v>
          </cell>
          <cell r="R1136" t="str">
            <v>No</v>
          </cell>
          <cell r="S1136" t="str">
            <v>No</v>
          </cell>
          <cell r="T1136" t="str">
            <v>Yes</v>
          </cell>
        </row>
        <row r="1137">
          <cell r="M1137" t="str">
            <v>Square CassetteOutside Window MountStandard Spring</v>
          </cell>
          <cell r="N1137">
            <v>10</v>
          </cell>
          <cell r="O1137">
            <v>14</v>
          </cell>
          <cell r="P1137">
            <v>14</v>
          </cell>
          <cell r="Q1137" t="str">
            <v>N/A</v>
          </cell>
          <cell r="R1137" t="str">
            <v>No</v>
          </cell>
          <cell r="S1137" t="str">
            <v>No</v>
          </cell>
          <cell r="T1137" t="str">
            <v>No</v>
          </cell>
        </row>
        <row r="1138">
          <cell r="M1138" t="str">
            <v>Square Cassette with Side ChannelsOutside Window MountStandard Spring</v>
          </cell>
          <cell r="N1138">
            <v>10</v>
          </cell>
          <cell r="O1138">
            <v>14</v>
          </cell>
          <cell r="P1138">
            <v>14</v>
          </cell>
          <cell r="Q1138">
            <v>88</v>
          </cell>
          <cell r="R1138" t="str">
            <v>No</v>
          </cell>
          <cell r="S1138" t="str">
            <v>Yes</v>
          </cell>
          <cell r="T1138" t="str">
            <v>No</v>
          </cell>
        </row>
        <row r="1139">
          <cell r="M1139" t="str">
            <v>Round CassetteOutside Window MountStandard Spring</v>
          </cell>
          <cell r="N1139">
            <v>10</v>
          </cell>
          <cell r="O1139">
            <v>14</v>
          </cell>
          <cell r="P1139">
            <v>14</v>
          </cell>
          <cell r="Q1139" t="str">
            <v>N/A</v>
          </cell>
          <cell r="R1139" t="str">
            <v>No</v>
          </cell>
          <cell r="S1139" t="str">
            <v>No</v>
          </cell>
          <cell r="T1139" t="str">
            <v>No</v>
          </cell>
        </row>
        <row r="1140">
          <cell r="M1140" t="str">
            <v>Round Cassette with Side ChannelsOutside Window MountStandard Spring</v>
          </cell>
          <cell r="N1140">
            <v>10</v>
          </cell>
          <cell r="O1140">
            <v>14</v>
          </cell>
          <cell r="P1140">
            <v>14</v>
          </cell>
          <cell r="Q1140">
            <v>88</v>
          </cell>
          <cell r="R1140" t="str">
            <v>No</v>
          </cell>
          <cell r="S1140" t="str">
            <v>Yes</v>
          </cell>
          <cell r="T1140" t="str">
            <v>No</v>
          </cell>
        </row>
        <row r="1141">
          <cell r="M1141" t="str">
            <v>Aluminium ValanceOutside Window MountStandard Spring</v>
          </cell>
          <cell r="N1141">
            <v>0</v>
          </cell>
          <cell r="O1141" t="str">
            <v>N/A</v>
          </cell>
          <cell r="P1141">
            <v>0</v>
          </cell>
          <cell r="Q1141" t="str">
            <v>N/A</v>
          </cell>
          <cell r="R1141" t="str">
            <v>No</v>
          </cell>
          <cell r="S1141" t="str">
            <v>No</v>
          </cell>
          <cell r="T1141" t="str">
            <v>Yes</v>
          </cell>
        </row>
        <row r="1142">
          <cell r="M1142" t="str">
            <v>Aluminium Valance - Fabric CoveredOutside Window MountStandard Spring</v>
          </cell>
          <cell r="N1142">
            <v>0</v>
          </cell>
          <cell r="O1142" t="str">
            <v>N/A</v>
          </cell>
          <cell r="P1142">
            <v>0</v>
          </cell>
          <cell r="Q1142" t="str">
            <v>N/A</v>
          </cell>
          <cell r="R1142" t="str">
            <v>No</v>
          </cell>
          <cell r="S1142" t="str">
            <v>No</v>
          </cell>
          <cell r="T1142" t="str">
            <v>Yes</v>
          </cell>
        </row>
        <row r="1143">
          <cell r="M1143" t="str">
            <v>Side ChannelsOutside Window MountStandard Spring</v>
          </cell>
          <cell r="N1143">
            <v>10</v>
          </cell>
          <cell r="O1143" t="str">
            <v>N/A</v>
          </cell>
          <cell r="P1143" t="str">
            <v>N/A</v>
          </cell>
          <cell r="Q1143">
            <v>60</v>
          </cell>
          <cell r="R1143" t="str">
            <v>N/A</v>
          </cell>
          <cell r="S1143" t="str">
            <v>No</v>
          </cell>
          <cell r="T1143" t="str">
            <v>N/A</v>
          </cell>
        </row>
        <row r="1144">
          <cell r="M1144" t="str">
            <v>Zipscreen HoodingOutside Window MountStandard Spring</v>
          </cell>
          <cell r="N1144">
            <v>17</v>
          </cell>
          <cell r="O1144">
            <v>66</v>
          </cell>
          <cell r="P1144">
            <v>66</v>
          </cell>
          <cell r="Q1144" t="str">
            <v>N/A</v>
          </cell>
          <cell r="R1144" t="str">
            <v>N/A</v>
          </cell>
          <cell r="S1144" t="str">
            <v>No</v>
          </cell>
          <cell r="T1144" t="str">
            <v>N/A</v>
          </cell>
        </row>
        <row r="1145">
          <cell r="M1145" t="str">
            <v>NoneOutside Window MountSmall Spring</v>
          </cell>
          <cell r="N1145">
            <v>0</v>
          </cell>
          <cell r="O1145" t="str">
            <v>N/A</v>
          </cell>
          <cell r="P1145" t="str">
            <v>N/A</v>
          </cell>
          <cell r="Q1145" t="str">
            <v>N/A</v>
          </cell>
          <cell r="R1145" t="str">
            <v>N/A</v>
          </cell>
          <cell r="S1145" t="str">
            <v>No</v>
          </cell>
          <cell r="T1145" t="str">
            <v>N/A</v>
          </cell>
        </row>
        <row r="1146">
          <cell r="M1146" t="str">
            <v>Straight Upholstered PelmetOutside Window MountSmall Spring</v>
          </cell>
          <cell r="N1146">
            <v>0</v>
          </cell>
          <cell r="O1146" t="str">
            <v>N/A</v>
          </cell>
          <cell r="P1146" t="str">
            <v>N/A</v>
          </cell>
          <cell r="Q1146" t="str">
            <v>N/A</v>
          </cell>
          <cell r="R1146" t="str">
            <v>N/A</v>
          </cell>
          <cell r="S1146" t="str">
            <v>No</v>
          </cell>
          <cell r="T1146" t="str">
            <v>N/A</v>
          </cell>
        </row>
        <row r="1147">
          <cell r="M1147" t="str">
            <v>Shaped Upholstered PelmetOutside Window MountSmall Spring</v>
          </cell>
          <cell r="N1147">
            <v>0</v>
          </cell>
          <cell r="O1147" t="str">
            <v>N/A</v>
          </cell>
          <cell r="P1147" t="str">
            <v>N/A</v>
          </cell>
          <cell r="Q1147" t="str">
            <v>N/A</v>
          </cell>
          <cell r="R1147" t="str">
            <v>N/A</v>
          </cell>
          <cell r="S1147" t="str">
            <v>No</v>
          </cell>
          <cell r="T1147" t="str">
            <v>N/A</v>
          </cell>
        </row>
        <row r="1148">
          <cell r="M1148" t="str">
            <v>Aluminium PelmetOutside Window MountSmall Spring</v>
          </cell>
          <cell r="N1148">
            <v>0</v>
          </cell>
          <cell r="O1148">
            <v>0</v>
          </cell>
          <cell r="P1148" t="str">
            <v>N/A</v>
          </cell>
          <cell r="Q1148" t="str">
            <v>N/A</v>
          </cell>
          <cell r="R1148" t="str">
            <v>No</v>
          </cell>
          <cell r="S1148" t="str">
            <v>No</v>
          </cell>
          <cell r="T1148" t="str">
            <v>Yes</v>
          </cell>
        </row>
        <row r="1149">
          <cell r="M1149" t="str">
            <v>Square CassetteOutside Window MountSmall Spring</v>
          </cell>
          <cell r="N1149">
            <v>10</v>
          </cell>
          <cell r="O1149">
            <v>14</v>
          </cell>
          <cell r="P1149">
            <v>14</v>
          </cell>
          <cell r="Q1149" t="str">
            <v>N/A</v>
          </cell>
          <cell r="R1149" t="str">
            <v>No</v>
          </cell>
          <cell r="S1149" t="str">
            <v>No</v>
          </cell>
          <cell r="T1149" t="str">
            <v>No</v>
          </cell>
        </row>
        <row r="1150">
          <cell r="M1150" t="str">
            <v>Square Cassette with Side ChannelsOutside Window MountSmall Spring</v>
          </cell>
          <cell r="N1150">
            <v>10</v>
          </cell>
          <cell r="O1150">
            <v>14</v>
          </cell>
          <cell r="P1150">
            <v>14</v>
          </cell>
          <cell r="Q1150">
            <v>88</v>
          </cell>
          <cell r="R1150" t="str">
            <v>No</v>
          </cell>
          <cell r="S1150" t="str">
            <v>Yes</v>
          </cell>
          <cell r="T1150" t="str">
            <v>No</v>
          </cell>
        </row>
        <row r="1151">
          <cell r="M1151" t="str">
            <v>Round CassetteOutside Window MountSmall Spring</v>
          </cell>
          <cell r="N1151">
            <v>10</v>
          </cell>
          <cell r="O1151">
            <v>14</v>
          </cell>
          <cell r="P1151">
            <v>14</v>
          </cell>
          <cell r="Q1151" t="str">
            <v>N/A</v>
          </cell>
          <cell r="R1151" t="str">
            <v>No</v>
          </cell>
          <cell r="S1151" t="str">
            <v>No</v>
          </cell>
          <cell r="T1151" t="str">
            <v>No</v>
          </cell>
        </row>
        <row r="1152">
          <cell r="M1152" t="str">
            <v>Round Cassette with Side ChannelsOutside Window MountSmall Spring</v>
          </cell>
          <cell r="N1152">
            <v>10</v>
          </cell>
          <cell r="O1152">
            <v>14</v>
          </cell>
          <cell r="P1152">
            <v>14</v>
          </cell>
          <cell r="Q1152">
            <v>88</v>
          </cell>
          <cell r="R1152" t="str">
            <v>No</v>
          </cell>
          <cell r="S1152" t="str">
            <v>Yes</v>
          </cell>
          <cell r="T1152" t="str">
            <v>No</v>
          </cell>
        </row>
        <row r="1153">
          <cell r="M1153" t="str">
            <v>Aluminium ValanceOutside Window MountSmall Spring</v>
          </cell>
          <cell r="N1153">
            <v>0</v>
          </cell>
          <cell r="O1153" t="str">
            <v>N/A</v>
          </cell>
          <cell r="P1153">
            <v>0</v>
          </cell>
          <cell r="Q1153" t="str">
            <v>N/A</v>
          </cell>
          <cell r="R1153" t="str">
            <v>No</v>
          </cell>
          <cell r="S1153" t="str">
            <v>No</v>
          </cell>
          <cell r="T1153" t="str">
            <v>Yes</v>
          </cell>
        </row>
        <row r="1154">
          <cell r="M1154" t="str">
            <v>Aluminium Valance - Fabric CoveredOutside Window MountSmall Spring</v>
          </cell>
          <cell r="N1154">
            <v>0</v>
          </cell>
          <cell r="O1154" t="str">
            <v>N/A</v>
          </cell>
          <cell r="P1154">
            <v>0</v>
          </cell>
          <cell r="Q1154" t="str">
            <v>N/A</v>
          </cell>
          <cell r="R1154" t="str">
            <v>No</v>
          </cell>
          <cell r="S1154" t="str">
            <v>No</v>
          </cell>
          <cell r="T1154" t="str">
            <v>Yes</v>
          </cell>
        </row>
        <row r="1155">
          <cell r="M1155" t="str">
            <v>Side ChannelsOutside Window MountSmall Spring</v>
          </cell>
          <cell r="N1155">
            <v>10</v>
          </cell>
          <cell r="O1155" t="str">
            <v>N/A</v>
          </cell>
          <cell r="P1155" t="str">
            <v>N/A</v>
          </cell>
          <cell r="Q1155">
            <v>60</v>
          </cell>
          <cell r="R1155" t="str">
            <v>N/A</v>
          </cell>
          <cell r="S1155" t="str">
            <v>No</v>
          </cell>
          <cell r="T1155" t="str">
            <v>N/A</v>
          </cell>
        </row>
        <row r="1156">
          <cell r="M1156" t="str">
            <v>Zipscreen HoodingOutside Window MountSmall Spring</v>
          </cell>
          <cell r="N1156">
            <v>17</v>
          </cell>
          <cell r="O1156">
            <v>66</v>
          </cell>
          <cell r="P1156">
            <v>66</v>
          </cell>
          <cell r="Q1156" t="str">
            <v>N/A</v>
          </cell>
          <cell r="R1156" t="str">
            <v>N/A</v>
          </cell>
          <cell r="S1156" t="str">
            <v>No</v>
          </cell>
          <cell r="T1156" t="str">
            <v>N/A</v>
          </cell>
        </row>
        <row r="1157">
          <cell r="M1157" t="str">
            <v>NoneOutside Window MountUniline Spring (Old Style)</v>
          </cell>
          <cell r="N1157">
            <v>0</v>
          </cell>
          <cell r="O1157" t="str">
            <v>N/A</v>
          </cell>
          <cell r="P1157" t="str">
            <v>N/A</v>
          </cell>
          <cell r="Q1157" t="str">
            <v>N/A</v>
          </cell>
          <cell r="R1157" t="str">
            <v>N/A</v>
          </cell>
          <cell r="S1157" t="str">
            <v>No</v>
          </cell>
          <cell r="T1157" t="str">
            <v>N/A</v>
          </cell>
        </row>
        <row r="1158">
          <cell r="M1158" t="str">
            <v>Straight Upholstered PelmetOutside Window MountUniline Spring (Old Style)</v>
          </cell>
          <cell r="N1158">
            <v>0</v>
          </cell>
          <cell r="O1158" t="str">
            <v>N/A</v>
          </cell>
          <cell r="P1158" t="str">
            <v>N/A</v>
          </cell>
          <cell r="Q1158" t="str">
            <v>N/A</v>
          </cell>
          <cell r="R1158" t="str">
            <v>N/A</v>
          </cell>
          <cell r="S1158" t="str">
            <v>No</v>
          </cell>
          <cell r="T1158" t="str">
            <v>N/A</v>
          </cell>
        </row>
        <row r="1159">
          <cell r="M1159" t="str">
            <v>Shaped Upholstered PelmetOutside Window MountUniline Spring (Old Style)</v>
          </cell>
          <cell r="N1159">
            <v>0</v>
          </cell>
          <cell r="O1159" t="str">
            <v>N/A</v>
          </cell>
          <cell r="P1159" t="str">
            <v>N/A</v>
          </cell>
          <cell r="Q1159" t="str">
            <v>N/A</v>
          </cell>
          <cell r="R1159" t="str">
            <v>N/A</v>
          </cell>
          <cell r="S1159" t="str">
            <v>No</v>
          </cell>
          <cell r="T1159" t="str">
            <v>N/A</v>
          </cell>
        </row>
        <row r="1160">
          <cell r="M1160" t="str">
            <v>Aluminium PelmetOutside Window MountUniline Spring (Old Style)</v>
          </cell>
          <cell r="N1160">
            <v>0</v>
          </cell>
          <cell r="O1160">
            <v>0</v>
          </cell>
          <cell r="P1160" t="str">
            <v>N/A</v>
          </cell>
          <cell r="Q1160" t="str">
            <v>N/A</v>
          </cell>
          <cell r="R1160" t="str">
            <v>No</v>
          </cell>
          <cell r="S1160" t="str">
            <v>No</v>
          </cell>
          <cell r="T1160" t="str">
            <v>Yes</v>
          </cell>
        </row>
        <row r="1161">
          <cell r="M1161" t="str">
            <v>Square CassetteOutside Window MountUniline Spring (Old Style)</v>
          </cell>
          <cell r="N1161">
            <v>10</v>
          </cell>
          <cell r="O1161">
            <v>14</v>
          </cell>
          <cell r="P1161">
            <v>14</v>
          </cell>
          <cell r="Q1161" t="str">
            <v>N/A</v>
          </cell>
          <cell r="R1161" t="str">
            <v>No</v>
          </cell>
          <cell r="S1161" t="str">
            <v>No</v>
          </cell>
          <cell r="T1161" t="str">
            <v>No</v>
          </cell>
        </row>
        <row r="1162">
          <cell r="M1162" t="str">
            <v>Square Cassette with Side ChannelsOutside Window MountUniline Spring (Old Style)</v>
          </cell>
          <cell r="N1162">
            <v>10</v>
          </cell>
          <cell r="O1162">
            <v>14</v>
          </cell>
          <cell r="P1162">
            <v>14</v>
          </cell>
          <cell r="Q1162">
            <v>88</v>
          </cell>
          <cell r="R1162" t="str">
            <v>No</v>
          </cell>
          <cell r="S1162" t="str">
            <v>Yes</v>
          </cell>
          <cell r="T1162" t="str">
            <v>No</v>
          </cell>
        </row>
        <row r="1163">
          <cell r="M1163" t="str">
            <v>Round CassetteOutside Window MountUniline Spring (Old Style)</v>
          </cell>
          <cell r="N1163">
            <v>10</v>
          </cell>
          <cell r="O1163">
            <v>14</v>
          </cell>
          <cell r="P1163">
            <v>14</v>
          </cell>
          <cell r="Q1163" t="str">
            <v>N/A</v>
          </cell>
          <cell r="R1163" t="str">
            <v>No</v>
          </cell>
          <cell r="S1163" t="str">
            <v>No</v>
          </cell>
          <cell r="T1163" t="str">
            <v>No</v>
          </cell>
        </row>
        <row r="1164">
          <cell r="M1164" t="str">
            <v>Round Cassette with Side ChannelsOutside Window MountUniline Spring (Old Style)</v>
          </cell>
          <cell r="N1164">
            <v>10</v>
          </cell>
          <cell r="O1164">
            <v>14</v>
          </cell>
          <cell r="P1164">
            <v>14</v>
          </cell>
          <cell r="Q1164">
            <v>88</v>
          </cell>
          <cell r="R1164" t="str">
            <v>No</v>
          </cell>
          <cell r="S1164" t="str">
            <v>Yes</v>
          </cell>
          <cell r="T1164" t="str">
            <v>No</v>
          </cell>
        </row>
        <row r="1165">
          <cell r="M1165" t="str">
            <v>Aluminium ValanceOutside Window MountUniline Spring (Old Style)</v>
          </cell>
          <cell r="N1165">
            <v>0</v>
          </cell>
          <cell r="O1165" t="str">
            <v>N/A</v>
          </cell>
          <cell r="P1165">
            <v>0</v>
          </cell>
          <cell r="Q1165" t="str">
            <v>N/A</v>
          </cell>
          <cell r="R1165" t="str">
            <v>No</v>
          </cell>
          <cell r="S1165" t="str">
            <v>No</v>
          </cell>
          <cell r="T1165" t="str">
            <v>Yes</v>
          </cell>
        </row>
        <row r="1166">
          <cell r="M1166" t="str">
            <v>Aluminium Valance - Fabric CoveredOutside Window MountUniline Spring (Old Style)</v>
          </cell>
          <cell r="N1166">
            <v>0</v>
          </cell>
          <cell r="O1166" t="str">
            <v>N/A</v>
          </cell>
          <cell r="P1166">
            <v>0</v>
          </cell>
          <cell r="Q1166" t="str">
            <v>N/A</v>
          </cell>
          <cell r="R1166" t="str">
            <v>No</v>
          </cell>
          <cell r="S1166" t="str">
            <v>No</v>
          </cell>
          <cell r="T1166" t="str">
            <v>Yes</v>
          </cell>
        </row>
        <row r="1167">
          <cell r="M1167" t="str">
            <v>Side ChannelsOutside Window MountUniline Spring (Old Style)</v>
          </cell>
          <cell r="N1167">
            <v>10</v>
          </cell>
          <cell r="O1167" t="str">
            <v>N/A</v>
          </cell>
          <cell r="P1167" t="str">
            <v>N/A</v>
          </cell>
          <cell r="Q1167">
            <v>60</v>
          </cell>
          <cell r="R1167" t="str">
            <v>N/A</v>
          </cell>
          <cell r="S1167" t="str">
            <v>No</v>
          </cell>
          <cell r="T1167" t="str">
            <v>N/A</v>
          </cell>
        </row>
        <row r="1168">
          <cell r="M1168" t="str">
            <v>Zipscreen HoodingOutside Window MountUniline Spring (Old Style)</v>
          </cell>
          <cell r="N1168">
            <v>17</v>
          </cell>
          <cell r="O1168">
            <v>66</v>
          </cell>
          <cell r="P1168">
            <v>66</v>
          </cell>
          <cell r="Q1168" t="str">
            <v>N/A</v>
          </cell>
          <cell r="R1168" t="str">
            <v>N/A</v>
          </cell>
          <cell r="S1168" t="str">
            <v>No</v>
          </cell>
          <cell r="T1168" t="str">
            <v>N/A</v>
          </cell>
        </row>
        <row r="1169">
          <cell r="M1169" t="str">
            <v>NoneOutside Window MountBecker Remote Motor</v>
          </cell>
          <cell r="N1169">
            <v>0</v>
          </cell>
          <cell r="O1169" t="str">
            <v>N/A</v>
          </cell>
          <cell r="P1169" t="str">
            <v>N/A</v>
          </cell>
          <cell r="Q1169" t="str">
            <v>N/A</v>
          </cell>
          <cell r="R1169" t="str">
            <v>N/A</v>
          </cell>
          <cell r="S1169" t="str">
            <v>No</v>
          </cell>
          <cell r="T1169" t="str">
            <v>N/A</v>
          </cell>
        </row>
        <row r="1170">
          <cell r="M1170" t="str">
            <v>Straight Upholstered PelmetOutside Window MountBecker Remote Motor</v>
          </cell>
          <cell r="N1170">
            <v>0</v>
          </cell>
          <cell r="O1170" t="str">
            <v>N/A</v>
          </cell>
          <cell r="P1170" t="str">
            <v>N/A</v>
          </cell>
          <cell r="Q1170" t="str">
            <v>N/A</v>
          </cell>
          <cell r="R1170" t="str">
            <v>N/A</v>
          </cell>
          <cell r="S1170" t="str">
            <v>No</v>
          </cell>
          <cell r="T1170" t="str">
            <v>N/A</v>
          </cell>
        </row>
        <row r="1171">
          <cell r="M1171" t="str">
            <v>Shaped Upholstered PelmetOutside Window MountBecker Remote Motor</v>
          </cell>
          <cell r="N1171">
            <v>0</v>
          </cell>
          <cell r="O1171" t="str">
            <v>N/A</v>
          </cell>
          <cell r="P1171" t="str">
            <v>N/A</v>
          </cell>
          <cell r="Q1171" t="str">
            <v>N/A</v>
          </cell>
          <cell r="R1171" t="str">
            <v>N/A</v>
          </cell>
          <cell r="S1171" t="str">
            <v>No</v>
          </cell>
          <cell r="T1171" t="str">
            <v>N/A</v>
          </cell>
        </row>
        <row r="1172">
          <cell r="M1172" t="str">
            <v>Aluminium PelmetOutside Window MountBecker Remote Motor</v>
          </cell>
          <cell r="N1172">
            <v>0</v>
          </cell>
          <cell r="O1172">
            <v>0</v>
          </cell>
          <cell r="P1172" t="str">
            <v>N/A</v>
          </cell>
          <cell r="Q1172" t="str">
            <v>N/A</v>
          </cell>
          <cell r="R1172" t="str">
            <v>No</v>
          </cell>
          <cell r="S1172" t="str">
            <v>No</v>
          </cell>
          <cell r="T1172" t="str">
            <v>Yes</v>
          </cell>
        </row>
        <row r="1173">
          <cell r="M1173" t="str">
            <v>Square CassetteOutside Window MountBecker Remote Motor</v>
          </cell>
          <cell r="N1173">
            <v>10</v>
          </cell>
          <cell r="O1173">
            <v>14</v>
          </cell>
          <cell r="P1173">
            <v>14</v>
          </cell>
          <cell r="Q1173" t="str">
            <v>N/A</v>
          </cell>
          <cell r="R1173" t="str">
            <v>No</v>
          </cell>
          <cell r="S1173" t="str">
            <v>No</v>
          </cell>
          <cell r="T1173" t="str">
            <v>No</v>
          </cell>
        </row>
        <row r="1174">
          <cell r="M1174" t="str">
            <v>Square Cassette with Side ChannelsOutside Window MountBecker Remote Motor</v>
          </cell>
          <cell r="N1174">
            <v>10</v>
          </cell>
          <cell r="O1174">
            <v>14</v>
          </cell>
          <cell r="P1174">
            <v>14</v>
          </cell>
          <cell r="Q1174">
            <v>88</v>
          </cell>
          <cell r="R1174" t="str">
            <v>No</v>
          </cell>
          <cell r="S1174" t="str">
            <v>Yes</v>
          </cell>
          <cell r="T1174" t="str">
            <v>No</v>
          </cell>
        </row>
        <row r="1175">
          <cell r="M1175" t="str">
            <v>Round CassetteOutside Window MountBecker Remote Motor</v>
          </cell>
          <cell r="N1175">
            <v>10</v>
          </cell>
          <cell r="O1175">
            <v>14</v>
          </cell>
          <cell r="P1175">
            <v>14</v>
          </cell>
          <cell r="Q1175" t="str">
            <v>N/A</v>
          </cell>
          <cell r="R1175" t="str">
            <v>No</v>
          </cell>
          <cell r="S1175" t="str">
            <v>No</v>
          </cell>
          <cell r="T1175" t="str">
            <v>No</v>
          </cell>
        </row>
        <row r="1176">
          <cell r="M1176" t="str">
            <v>Round Cassette with Side ChannelsOutside Window MountBecker Remote Motor</v>
          </cell>
          <cell r="N1176">
            <v>10</v>
          </cell>
          <cell r="O1176">
            <v>14</v>
          </cell>
          <cell r="P1176">
            <v>14</v>
          </cell>
          <cell r="Q1176">
            <v>88</v>
          </cell>
          <cell r="R1176" t="str">
            <v>No</v>
          </cell>
          <cell r="S1176" t="str">
            <v>Yes</v>
          </cell>
          <cell r="T1176" t="str">
            <v>No</v>
          </cell>
        </row>
        <row r="1177">
          <cell r="M1177" t="str">
            <v>Aluminium ValanceOutside Window MountBecker Remote Motor</v>
          </cell>
          <cell r="N1177">
            <v>0</v>
          </cell>
          <cell r="O1177" t="str">
            <v>N/A</v>
          </cell>
          <cell r="P1177">
            <v>0</v>
          </cell>
          <cell r="Q1177" t="str">
            <v>N/A</v>
          </cell>
          <cell r="R1177" t="str">
            <v>No</v>
          </cell>
          <cell r="S1177" t="str">
            <v>No</v>
          </cell>
          <cell r="T1177" t="str">
            <v>Yes</v>
          </cell>
        </row>
        <row r="1178">
          <cell r="M1178" t="str">
            <v>Aluminium Valance - Fabric CoveredOutside Window MountBecker Remote Motor</v>
          </cell>
          <cell r="N1178">
            <v>0</v>
          </cell>
          <cell r="O1178" t="str">
            <v>N/A</v>
          </cell>
          <cell r="P1178">
            <v>0</v>
          </cell>
          <cell r="Q1178" t="str">
            <v>N/A</v>
          </cell>
          <cell r="R1178" t="str">
            <v>No</v>
          </cell>
          <cell r="S1178" t="str">
            <v>No</v>
          </cell>
          <cell r="T1178" t="str">
            <v>Yes</v>
          </cell>
        </row>
        <row r="1179">
          <cell r="M1179" t="str">
            <v>Side ChannelsOutside Window MountBecker Remote Motor</v>
          </cell>
          <cell r="N1179">
            <v>10</v>
          </cell>
          <cell r="O1179" t="str">
            <v>N/A</v>
          </cell>
          <cell r="P1179" t="str">
            <v>N/A</v>
          </cell>
          <cell r="Q1179">
            <v>60</v>
          </cell>
          <cell r="R1179" t="str">
            <v>N/A</v>
          </cell>
          <cell r="S1179" t="str">
            <v>No</v>
          </cell>
          <cell r="T1179" t="str">
            <v>N/A</v>
          </cell>
        </row>
        <row r="1180">
          <cell r="M1180" t="str">
            <v>Zipscreen HoodingOutside Window MountBecker Remote Motor</v>
          </cell>
          <cell r="N1180">
            <v>17</v>
          </cell>
          <cell r="O1180">
            <v>66</v>
          </cell>
          <cell r="P1180">
            <v>66</v>
          </cell>
          <cell r="Q1180" t="str">
            <v>N/A</v>
          </cell>
          <cell r="R1180" t="str">
            <v>N/A</v>
          </cell>
          <cell r="S1180" t="str">
            <v>No</v>
          </cell>
          <cell r="T1180" t="str">
            <v>N/A</v>
          </cell>
        </row>
        <row r="1181">
          <cell r="M1181" t="str">
            <v>NoneOutside Window MountBecker CBUS Motor</v>
          </cell>
          <cell r="N1181">
            <v>0</v>
          </cell>
          <cell r="O1181" t="str">
            <v>N/A</v>
          </cell>
          <cell r="P1181" t="str">
            <v>N/A</v>
          </cell>
          <cell r="Q1181" t="str">
            <v>N/A</v>
          </cell>
          <cell r="R1181" t="str">
            <v>N/A</v>
          </cell>
          <cell r="S1181" t="str">
            <v>No</v>
          </cell>
          <cell r="T1181" t="str">
            <v>N/A</v>
          </cell>
        </row>
        <row r="1182">
          <cell r="M1182" t="str">
            <v>Straight Upholstered PelmetOutside Window MountBecker CBUS Motor</v>
          </cell>
          <cell r="N1182">
            <v>0</v>
          </cell>
          <cell r="O1182" t="str">
            <v>N/A</v>
          </cell>
          <cell r="P1182" t="str">
            <v>N/A</v>
          </cell>
          <cell r="Q1182" t="str">
            <v>N/A</v>
          </cell>
          <cell r="R1182" t="str">
            <v>N/A</v>
          </cell>
          <cell r="S1182" t="str">
            <v>No</v>
          </cell>
          <cell r="T1182" t="str">
            <v>N/A</v>
          </cell>
        </row>
        <row r="1183">
          <cell r="M1183" t="str">
            <v>Shaped Upholstered PelmetOutside Window MountBecker CBUS Motor</v>
          </cell>
          <cell r="N1183">
            <v>0</v>
          </cell>
          <cell r="O1183" t="str">
            <v>N/A</v>
          </cell>
          <cell r="P1183" t="str">
            <v>N/A</v>
          </cell>
          <cell r="Q1183" t="str">
            <v>N/A</v>
          </cell>
          <cell r="R1183" t="str">
            <v>N/A</v>
          </cell>
          <cell r="S1183" t="str">
            <v>No</v>
          </cell>
          <cell r="T1183" t="str">
            <v>N/A</v>
          </cell>
        </row>
        <row r="1184">
          <cell r="M1184" t="str">
            <v>Aluminium PelmetOutside Window MountBecker CBUS Motor</v>
          </cell>
          <cell r="N1184">
            <v>0</v>
          </cell>
          <cell r="O1184">
            <v>0</v>
          </cell>
          <cell r="P1184" t="str">
            <v>N/A</v>
          </cell>
          <cell r="Q1184" t="str">
            <v>N/A</v>
          </cell>
          <cell r="R1184" t="str">
            <v>No</v>
          </cell>
          <cell r="S1184" t="str">
            <v>No</v>
          </cell>
          <cell r="T1184" t="str">
            <v>Yes</v>
          </cell>
        </row>
        <row r="1185">
          <cell r="M1185" t="str">
            <v>Square CassetteOutside Window MountBecker CBUS Motor</v>
          </cell>
          <cell r="N1185">
            <v>10</v>
          </cell>
          <cell r="O1185">
            <v>14</v>
          </cell>
          <cell r="P1185">
            <v>14</v>
          </cell>
          <cell r="Q1185" t="str">
            <v>N/A</v>
          </cell>
          <cell r="R1185" t="str">
            <v>No</v>
          </cell>
          <cell r="S1185" t="str">
            <v>No</v>
          </cell>
          <cell r="T1185" t="str">
            <v>No</v>
          </cell>
        </row>
        <row r="1186">
          <cell r="M1186" t="str">
            <v>Square Cassette with Side ChannelsOutside Window MountBecker CBUS Motor</v>
          </cell>
          <cell r="N1186">
            <v>10</v>
          </cell>
          <cell r="O1186">
            <v>14</v>
          </cell>
          <cell r="P1186">
            <v>14</v>
          </cell>
          <cell r="Q1186">
            <v>88</v>
          </cell>
          <cell r="R1186" t="str">
            <v>No</v>
          </cell>
          <cell r="S1186" t="str">
            <v>Yes</v>
          </cell>
          <cell r="T1186" t="str">
            <v>No</v>
          </cell>
        </row>
        <row r="1187">
          <cell r="M1187" t="str">
            <v>Round CassetteOutside Window MountBecker CBUS Motor</v>
          </cell>
          <cell r="N1187">
            <v>10</v>
          </cell>
          <cell r="O1187">
            <v>14</v>
          </cell>
          <cell r="P1187">
            <v>14</v>
          </cell>
          <cell r="Q1187" t="str">
            <v>N/A</v>
          </cell>
          <cell r="R1187" t="str">
            <v>No</v>
          </cell>
          <cell r="S1187" t="str">
            <v>No</v>
          </cell>
          <cell r="T1187" t="str">
            <v>No</v>
          </cell>
        </row>
        <row r="1188">
          <cell r="M1188" t="str">
            <v>Round Cassette with Side ChannelsOutside Window MountBecker CBUS Motor</v>
          </cell>
          <cell r="N1188">
            <v>10</v>
          </cell>
          <cell r="O1188">
            <v>14</v>
          </cell>
          <cell r="P1188">
            <v>14</v>
          </cell>
          <cell r="Q1188">
            <v>88</v>
          </cell>
          <cell r="R1188" t="str">
            <v>No</v>
          </cell>
          <cell r="S1188" t="str">
            <v>Yes</v>
          </cell>
          <cell r="T1188" t="str">
            <v>No</v>
          </cell>
        </row>
        <row r="1189">
          <cell r="M1189" t="str">
            <v>Aluminium ValanceOutside Window MountBecker CBUS Motor</v>
          </cell>
          <cell r="N1189">
            <v>0</v>
          </cell>
          <cell r="O1189" t="str">
            <v>N/A</v>
          </cell>
          <cell r="P1189">
            <v>0</v>
          </cell>
          <cell r="Q1189" t="str">
            <v>N/A</v>
          </cell>
          <cell r="R1189" t="str">
            <v>No</v>
          </cell>
          <cell r="S1189" t="str">
            <v>No</v>
          </cell>
          <cell r="T1189" t="str">
            <v>Yes</v>
          </cell>
        </row>
        <row r="1190">
          <cell r="M1190" t="str">
            <v>Aluminium Valance - Fabric CoveredOutside Window MountBecker CBUS Motor</v>
          </cell>
          <cell r="N1190">
            <v>0</v>
          </cell>
          <cell r="O1190" t="str">
            <v>N/A</v>
          </cell>
          <cell r="P1190">
            <v>0</v>
          </cell>
          <cell r="Q1190" t="str">
            <v>N/A</v>
          </cell>
          <cell r="R1190" t="str">
            <v>No</v>
          </cell>
          <cell r="S1190" t="str">
            <v>No</v>
          </cell>
          <cell r="T1190" t="str">
            <v>Yes</v>
          </cell>
        </row>
        <row r="1191">
          <cell r="M1191" t="str">
            <v>Side ChannelsOutside Window MountBecker CBUS Motor</v>
          </cell>
          <cell r="N1191">
            <v>10</v>
          </cell>
          <cell r="O1191" t="str">
            <v>N/A</v>
          </cell>
          <cell r="P1191" t="str">
            <v>N/A</v>
          </cell>
          <cell r="Q1191">
            <v>60</v>
          </cell>
          <cell r="R1191" t="str">
            <v>N/A</v>
          </cell>
          <cell r="S1191" t="str">
            <v>No</v>
          </cell>
          <cell r="T1191" t="str">
            <v>N/A</v>
          </cell>
        </row>
        <row r="1192">
          <cell r="M1192" t="str">
            <v>Zipscreen HoodingOutside Window MountBecker CBUS Motor</v>
          </cell>
          <cell r="N1192">
            <v>17</v>
          </cell>
          <cell r="O1192">
            <v>66</v>
          </cell>
          <cell r="P1192">
            <v>66</v>
          </cell>
          <cell r="Q1192" t="str">
            <v>N/A</v>
          </cell>
          <cell r="R1192" t="str">
            <v>N/A</v>
          </cell>
          <cell r="S1192" t="str">
            <v>No</v>
          </cell>
          <cell r="T1192" t="str">
            <v>N/A</v>
          </cell>
        </row>
        <row r="1193">
          <cell r="M1193" t="str">
            <v>NoneOutside Window Mount1.1nm 12v Acmeda Motor</v>
          </cell>
          <cell r="N1193">
            <v>0</v>
          </cell>
          <cell r="O1193" t="str">
            <v>N/A</v>
          </cell>
          <cell r="P1193" t="str">
            <v>N/A</v>
          </cell>
          <cell r="Q1193" t="str">
            <v>N/A</v>
          </cell>
          <cell r="R1193" t="str">
            <v>N/A</v>
          </cell>
          <cell r="S1193" t="str">
            <v>No</v>
          </cell>
          <cell r="T1193" t="str">
            <v>N/A</v>
          </cell>
        </row>
        <row r="1194">
          <cell r="M1194" t="str">
            <v>Straight Upholstered PelmetOutside Window Mount1.1nm 12v Acmeda Motor</v>
          </cell>
          <cell r="N1194">
            <v>0</v>
          </cell>
          <cell r="O1194" t="str">
            <v>N/A</v>
          </cell>
          <cell r="P1194" t="str">
            <v>N/A</v>
          </cell>
          <cell r="Q1194" t="str">
            <v>N/A</v>
          </cell>
          <cell r="R1194" t="str">
            <v>N/A</v>
          </cell>
          <cell r="S1194" t="str">
            <v>No</v>
          </cell>
          <cell r="T1194" t="str">
            <v>N/A</v>
          </cell>
        </row>
        <row r="1195">
          <cell r="M1195" t="str">
            <v>Shaped Upholstered PelmetOutside Window Mount1.1nm 12v Acmeda Motor</v>
          </cell>
          <cell r="N1195">
            <v>0</v>
          </cell>
          <cell r="O1195" t="str">
            <v>N/A</v>
          </cell>
          <cell r="P1195" t="str">
            <v>N/A</v>
          </cell>
          <cell r="Q1195" t="str">
            <v>N/A</v>
          </cell>
          <cell r="R1195" t="str">
            <v>N/A</v>
          </cell>
          <cell r="S1195" t="str">
            <v>No</v>
          </cell>
          <cell r="T1195" t="str">
            <v>N/A</v>
          </cell>
        </row>
        <row r="1196">
          <cell r="M1196" t="str">
            <v>Aluminium PelmetOutside Window Mount1.1nm 12v Acmeda Motor</v>
          </cell>
          <cell r="N1196">
            <v>0</v>
          </cell>
          <cell r="O1196">
            <v>0</v>
          </cell>
          <cell r="P1196" t="str">
            <v>N/A</v>
          </cell>
          <cell r="Q1196" t="str">
            <v>N/A</v>
          </cell>
          <cell r="R1196" t="str">
            <v>No</v>
          </cell>
          <cell r="S1196" t="str">
            <v>No</v>
          </cell>
          <cell r="T1196" t="str">
            <v>Yes</v>
          </cell>
        </row>
        <row r="1197">
          <cell r="M1197" t="str">
            <v>Square CassetteOutside Window Mount1.1nm 12v Acmeda Motor</v>
          </cell>
          <cell r="N1197">
            <v>10</v>
          </cell>
          <cell r="O1197">
            <v>14</v>
          </cell>
          <cell r="P1197">
            <v>14</v>
          </cell>
          <cell r="Q1197" t="str">
            <v>N/A</v>
          </cell>
          <cell r="R1197" t="str">
            <v>No</v>
          </cell>
          <cell r="S1197" t="str">
            <v>No</v>
          </cell>
          <cell r="T1197" t="str">
            <v>No</v>
          </cell>
        </row>
        <row r="1198">
          <cell r="M1198" t="str">
            <v>Square Cassette with Side ChannelsOutside Window Mount1.1nm 12v Acmeda Motor</v>
          </cell>
          <cell r="N1198">
            <v>10</v>
          </cell>
          <cell r="O1198">
            <v>14</v>
          </cell>
          <cell r="P1198">
            <v>14</v>
          </cell>
          <cell r="Q1198">
            <v>88</v>
          </cell>
          <cell r="R1198" t="str">
            <v>No</v>
          </cell>
          <cell r="S1198" t="str">
            <v>Yes</v>
          </cell>
          <cell r="T1198" t="str">
            <v>No</v>
          </cell>
        </row>
        <row r="1199">
          <cell r="M1199" t="str">
            <v>Round CassetteOutside Window Mount1.1nm 12v Acmeda Motor</v>
          </cell>
          <cell r="N1199">
            <v>10</v>
          </cell>
          <cell r="O1199">
            <v>14</v>
          </cell>
          <cell r="P1199">
            <v>14</v>
          </cell>
          <cell r="Q1199" t="str">
            <v>N/A</v>
          </cell>
          <cell r="R1199" t="str">
            <v>No</v>
          </cell>
          <cell r="S1199" t="str">
            <v>No</v>
          </cell>
          <cell r="T1199" t="str">
            <v>No</v>
          </cell>
        </row>
        <row r="1200">
          <cell r="M1200" t="str">
            <v>Round Cassette with Side ChannelsOutside Window Mount1.1nm 12v Acmeda Motor</v>
          </cell>
          <cell r="N1200">
            <v>10</v>
          </cell>
          <cell r="O1200">
            <v>14</v>
          </cell>
          <cell r="P1200">
            <v>14</v>
          </cell>
          <cell r="Q1200">
            <v>88</v>
          </cell>
          <cell r="R1200" t="str">
            <v>No</v>
          </cell>
          <cell r="S1200" t="str">
            <v>Yes</v>
          </cell>
          <cell r="T1200" t="str">
            <v>No</v>
          </cell>
        </row>
        <row r="1201">
          <cell r="M1201" t="str">
            <v>Aluminium ValanceOutside Window Mount1.1nm 12v Acmeda Motor</v>
          </cell>
          <cell r="N1201">
            <v>0</v>
          </cell>
          <cell r="O1201" t="str">
            <v>N/A</v>
          </cell>
          <cell r="P1201">
            <v>0</v>
          </cell>
          <cell r="Q1201" t="str">
            <v>N/A</v>
          </cell>
          <cell r="R1201" t="str">
            <v>No</v>
          </cell>
          <cell r="S1201" t="str">
            <v>No</v>
          </cell>
          <cell r="T1201" t="str">
            <v>Yes</v>
          </cell>
        </row>
        <row r="1202">
          <cell r="M1202" t="str">
            <v>Aluminium Valance - Fabric CoveredOutside Window Mount1.1nm 12v Acmeda Motor</v>
          </cell>
          <cell r="N1202">
            <v>0</v>
          </cell>
          <cell r="O1202" t="str">
            <v>N/A</v>
          </cell>
          <cell r="P1202">
            <v>0</v>
          </cell>
          <cell r="Q1202" t="str">
            <v>N/A</v>
          </cell>
          <cell r="R1202" t="str">
            <v>No</v>
          </cell>
          <cell r="S1202" t="str">
            <v>No</v>
          </cell>
          <cell r="T1202" t="str">
            <v>Yes</v>
          </cell>
        </row>
        <row r="1203">
          <cell r="M1203" t="str">
            <v>Side ChannelsOutside Window Mount1.1nm 12v Acmeda Motor</v>
          </cell>
          <cell r="N1203">
            <v>10</v>
          </cell>
          <cell r="O1203" t="str">
            <v>N/A</v>
          </cell>
          <cell r="P1203" t="str">
            <v>N/A</v>
          </cell>
          <cell r="Q1203">
            <v>60</v>
          </cell>
          <cell r="R1203" t="str">
            <v>N/A</v>
          </cell>
          <cell r="S1203" t="str">
            <v>No</v>
          </cell>
          <cell r="T1203" t="str">
            <v>N/A</v>
          </cell>
        </row>
        <row r="1204">
          <cell r="M1204" t="str">
            <v>Zipscreen HoodingOutside Window Mount1.1nm 12v Acmeda Motor</v>
          </cell>
          <cell r="N1204">
            <v>17</v>
          </cell>
          <cell r="O1204">
            <v>66</v>
          </cell>
          <cell r="P1204">
            <v>66</v>
          </cell>
          <cell r="Q1204" t="str">
            <v>N/A</v>
          </cell>
          <cell r="R1204" t="str">
            <v>N/A</v>
          </cell>
          <cell r="S1204" t="str">
            <v>No</v>
          </cell>
          <cell r="T1204" t="str">
            <v>N/A</v>
          </cell>
        </row>
        <row r="1205">
          <cell r="M1205" t="str">
            <v>NoneOutside Window Mount2nm 12v Acmeda Motor</v>
          </cell>
          <cell r="N1205">
            <v>0</v>
          </cell>
          <cell r="O1205" t="str">
            <v>N/A</v>
          </cell>
          <cell r="P1205" t="str">
            <v>N/A</v>
          </cell>
          <cell r="Q1205" t="str">
            <v>N/A</v>
          </cell>
          <cell r="R1205" t="str">
            <v>N/A</v>
          </cell>
          <cell r="S1205" t="str">
            <v>No</v>
          </cell>
          <cell r="T1205" t="str">
            <v>N/A</v>
          </cell>
        </row>
        <row r="1206">
          <cell r="M1206" t="str">
            <v>Straight Upholstered PelmetOutside Window Mount2nm 12v Acmeda Motor</v>
          </cell>
          <cell r="N1206">
            <v>0</v>
          </cell>
          <cell r="O1206" t="str">
            <v>N/A</v>
          </cell>
          <cell r="P1206" t="str">
            <v>N/A</v>
          </cell>
          <cell r="Q1206" t="str">
            <v>N/A</v>
          </cell>
          <cell r="R1206" t="str">
            <v>N/A</v>
          </cell>
          <cell r="S1206" t="str">
            <v>No</v>
          </cell>
          <cell r="T1206" t="str">
            <v>N/A</v>
          </cell>
        </row>
        <row r="1207">
          <cell r="M1207" t="str">
            <v>Shaped Upholstered PelmetOutside Window Mount2nm 12v Acmeda Motor</v>
          </cell>
          <cell r="N1207">
            <v>0</v>
          </cell>
          <cell r="O1207" t="str">
            <v>N/A</v>
          </cell>
          <cell r="P1207" t="str">
            <v>N/A</v>
          </cell>
          <cell r="Q1207" t="str">
            <v>N/A</v>
          </cell>
          <cell r="R1207" t="str">
            <v>N/A</v>
          </cell>
          <cell r="S1207" t="str">
            <v>No</v>
          </cell>
          <cell r="T1207" t="str">
            <v>N/A</v>
          </cell>
        </row>
        <row r="1208">
          <cell r="M1208" t="str">
            <v>Aluminium PelmetOutside Window Mount2nm 12v Acmeda Motor</v>
          </cell>
          <cell r="N1208">
            <v>0</v>
          </cell>
          <cell r="O1208">
            <v>0</v>
          </cell>
          <cell r="P1208" t="str">
            <v>N/A</v>
          </cell>
          <cell r="Q1208" t="str">
            <v>N/A</v>
          </cell>
          <cell r="R1208" t="str">
            <v>No</v>
          </cell>
          <cell r="S1208" t="str">
            <v>No</v>
          </cell>
          <cell r="T1208" t="str">
            <v>Yes</v>
          </cell>
        </row>
        <row r="1209">
          <cell r="M1209" t="str">
            <v>Square CassetteOutside Window Mount2nm 12v Acmeda Motor</v>
          </cell>
          <cell r="N1209">
            <v>10</v>
          </cell>
          <cell r="O1209">
            <v>14</v>
          </cell>
          <cell r="P1209">
            <v>14</v>
          </cell>
          <cell r="Q1209" t="str">
            <v>N/A</v>
          </cell>
          <cell r="R1209" t="str">
            <v>No</v>
          </cell>
          <cell r="S1209" t="str">
            <v>No</v>
          </cell>
          <cell r="T1209" t="str">
            <v>No</v>
          </cell>
        </row>
        <row r="1210">
          <cell r="M1210" t="str">
            <v>Square Cassette with Side ChannelsOutside Window Mount2nm 12v Acmeda Motor</v>
          </cell>
          <cell r="N1210">
            <v>10</v>
          </cell>
          <cell r="O1210">
            <v>14</v>
          </cell>
          <cell r="P1210">
            <v>14</v>
          </cell>
          <cell r="Q1210">
            <v>88</v>
          </cell>
          <cell r="R1210" t="str">
            <v>No</v>
          </cell>
          <cell r="S1210" t="str">
            <v>Yes</v>
          </cell>
          <cell r="T1210" t="str">
            <v>No</v>
          </cell>
        </row>
        <row r="1211">
          <cell r="M1211" t="str">
            <v>Round CassetteOutside Window Mount2nm 12v Acmeda Motor</v>
          </cell>
          <cell r="N1211">
            <v>10</v>
          </cell>
          <cell r="O1211">
            <v>14</v>
          </cell>
          <cell r="P1211">
            <v>14</v>
          </cell>
          <cell r="Q1211" t="str">
            <v>N/A</v>
          </cell>
          <cell r="R1211" t="str">
            <v>No</v>
          </cell>
          <cell r="S1211" t="str">
            <v>No</v>
          </cell>
          <cell r="T1211" t="str">
            <v>No</v>
          </cell>
        </row>
        <row r="1212">
          <cell r="M1212" t="str">
            <v>Round Cassette with Side ChannelsOutside Window Mount2nm 12v Acmeda Motor</v>
          </cell>
          <cell r="N1212">
            <v>10</v>
          </cell>
          <cell r="O1212">
            <v>14</v>
          </cell>
          <cell r="P1212">
            <v>14</v>
          </cell>
          <cell r="Q1212">
            <v>88</v>
          </cell>
          <cell r="R1212" t="str">
            <v>No</v>
          </cell>
          <cell r="S1212" t="str">
            <v>Yes</v>
          </cell>
          <cell r="T1212" t="str">
            <v>No</v>
          </cell>
        </row>
        <row r="1213">
          <cell r="M1213" t="str">
            <v>Aluminium ValanceOutside Window Mount2nm 12v Acmeda Motor</v>
          </cell>
          <cell r="N1213">
            <v>0</v>
          </cell>
          <cell r="O1213" t="str">
            <v>N/A</v>
          </cell>
          <cell r="P1213">
            <v>0</v>
          </cell>
          <cell r="Q1213" t="str">
            <v>N/A</v>
          </cell>
          <cell r="R1213" t="str">
            <v>No</v>
          </cell>
          <cell r="S1213" t="str">
            <v>No</v>
          </cell>
          <cell r="T1213" t="str">
            <v>Yes</v>
          </cell>
        </row>
        <row r="1214">
          <cell r="M1214" t="str">
            <v>Aluminium Valance - Fabric CoveredOutside Window Mount2nm 12v Acmeda Motor</v>
          </cell>
          <cell r="N1214">
            <v>0</v>
          </cell>
          <cell r="O1214" t="str">
            <v>N/A</v>
          </cell>
          <cell r="P1214">
            <v>0</v>
          </cell>
          <cell r="Q1214" t="str">
            <v>N/A</v>
          </cell>
          <cell r="R1214" t="str">
            <v>No</v>
          </cell>
          <cell r="S1214" t="str">
            <v>No</v>
          </cell>
          <cell r="T1214" t="str">
            <v>Yes</v>
          </cell>
        </row>
        <row r="1215">
          <cell r="M1215" t="str">
            <v>Side ChannelsOutside Window Mount2nm 12v Acmeda Motor</v>
          </cell>
          <cell r="N1215">
            <v>10</v>
          </cell>
          <cell r="O1215" t="str">
            <v>N/A</v>
          </cell>
          <cell r="P1215" t="str">
            <v>N/A</v>
          </cell>
          <cell r="Q1215">
            <v>60</v>
          </cell>
          <cell r="R1215" t="str">
            <v>N/A</v>
          </cell>
          <cell r="S1215" t="str">
            <v>No</v>
          </cell>
          <cell r="T1215" t="str">
            <v>N/A</v>
          </cell>
        </row>
        <row r="1216">
          <cell r="M1216" t="str">
            <v>Zipscreen HoodingOutside Window Mount2nm 12v Acmeda Motor</v>
          </cell>
          <cell r="N1216">
            <v>17</v>
          </cell>
          <cell r="O1216">
            <v>66</v>
          </cell>
          <cell r="P1216">
            <v>66</v>
          </cell>
          <cell r="Q1216" t="str">
            <v>N/A</v>
          </cell>
          <cell r="R1216" t="str">
            <v>N/A</v>
          </cell>
          <cell r="S1216" t="str">
            <v>No</v>
          </cell>
          <cell r="T1216" t="str">
            <v>N/A</v>
          </cell>
        </row>
        <row r="1217">
          <cell r="M1217" t="str">
            <v>NoneOutside Window Mount3nm 12v Acmeda Motor</v>
          </cell>
          <cell r="N1217">
            <v>0</v>
          </cell>
          <cell r="O1217" t="str">
            <v>N/A</v>
          </cell>
          <cell r="P1217" t="str">
            <v>N/A</v>
          </cell>
          <cell r="Q1217" t="str">
            <v>N/A</v>
          </cell>
          <cell r="R1217" t="str">
            <v>N/A</v>
          </cell>
          <cell r="S1217" t="str">
            <v>No</v>
          </cell>
          <cell r="T1217" t="str">
            <v>N/A</v>
          </cell>
        </row>
        <row r="1218">
          <cell r="M1218" t="str">
            <v>Straight Upholstered PelmetOutside Window Mount3nm 12v Acmeda Motor</v>
          </cell>
          <cell r="N1218">
            <v>0</v>
          </cell>
          <cell r="O1218" t="str">
            <v>N/A</v>
          </cell>
          <cell r="P1218" t="str">
            <v>N/A</v>
          </cell>
          <cell r="Q1218" t="str">
            <v>N/A</v>
          </cell>
          <cell r="R1218" t="str">
            <v>N/A</v>
          </cell>
          <cell r="S1218" t="str">
            <v>No</v>
          </cell>
          <cell r="T1218" t="str">
            <v>N/A</v>
          </cell>
        </row>
        <row r="1219">
          <cell r="M1219" t="str">
            <v>Shaped Upholstered PelmetOutside Window Mount3nm 12v Acmeda Motor</v>
          </cell>
          <cell r="N1219">
            <v>0</v>
          </cell>
          <cell r="O1219" t="str">
            <v>N/A</v>
          </cell>
          <cell r="P1219" t="str">
            <v>N/A</v>
          </cell>
          <cell r="Q1219" t="str">
            <v>N/A</v>
          </cell>
          <cell r="R1219" t="str">
            <v>N/A</v>
          </cell>
          <cell r="S1219" t="str">
            <v>No</v>
          </cell>
          <cell r="T1219" t="str">
            <v>N/A</v>
          </cell>
        </row>
        <row r="1220">
          <cell r="M1220" t="str">
            <v>Aluminium PelmetOutside Window Mount3nm 12v Acmeda Motor</v>
          </cell>
          <cell r="N1220">
            <v>0</v>
          </cell>
          <cell r="O1220">
            <v>0</v>
          </cell>
          <cell r="P1220" t="str">
            <v>N/A</v>
          </cell>
          <cell r="Q1220" t="str">
            <v>N/A</v>
          </cell>
          <cell r="R1220" t="str">
            <v>No</v>
          </cell>
          <cell r="S1220" t="str">
            <v>No</v>
          </cell>
          <cell r="T1220" t="str">
            <v>Yes</v>
          </cell>
        </row>
        <row r="1221">
          <cell r="M1221" t="str">
            <v>Square CassetteOutside Window Mount3nm 12v Acmeda Motor</v>
          </cell>
          <cell r="N1221">
            <v>10</v>
          </cell>
          <cell r="O1221">
            <v>14</v>
          </cell>
          <cell r="P1221">
            <v>14</v>
          </cell>
          <cell r="Q1221" t="str">
            <v>N/A</v>
          </cell>
          <cell r="R1221" t="str">
            <v>No</v>
          </cell>
          <cell r="S1221" t="str">
            <v>No</v>
          </cell>
          <cell r="T1221" t="str">
            <v>No</v>
          </cell>
        </row>
        <row r="1222">
          <cell r="M1222" t="str">
            <v>Square Cassette with Side ChannelsOutside Window Mount3nm 12v Acmeda Motor</v>
          </cell>
          <cell r="N1222">
            <v>10</v>
          </cell>
          <cell r="O1222">
            <v>14</v>
          </cell>
          <cell r="P1222">
            <v>14</v>
          </cell>
          <cell r="Q1222">
            <v>88</v>
          </cell>
          <cell r="R1222" t="str">
            <v>No</v>
          </cell>
          <cell r="S1222" t="str">
            <v>Yes</v>
          </cell>
          <cell r="T1222" t="str">
            <v>No</v>
          </cell>
        </row>
        <row r="1223">
          <cell r="M1223" t="str">
            <v>Round CassetteOutside Window Mount3nm 12v Acmeda Motor</v>
          </cell>
          <cell r="N1223">
            <v>10</v>
          </cell>
          <cell r="O1223">
            <v>14</v>
          </cell>
          <cell r="P1223">
            <v>14</v>
          </cell>
          <cell r="Q1223" t="str">
            <v>N/A</v>
          </cell>
          <cell r="R1223" t="str">
            <v>No</v>
          </cell>
          <cell r="S1223" t="str">
            <v>No</v>
          </cell>
          <cell r="T1223" t="str">
            <v>No</v>
          </cell>
        </row>
        <row r="1224">
          <cell r="M1224" t="str">
            <v>Round Cassette with Side ChannelsOutside Window Mount3nm 12v Acmeda Motor</v>
          </cell>
          <cell r="N1224">
            <v>10</v>
          </cell>
          <cell r="O1224">
            <v>14</v>
          </cell>
          <cell r="P1224">
            <v>14</v>
          </cell>
          <cell r="Q1224">
            <v>88</v>
          </cell>
          <cell r="R1224" t="str">
            <v>No</v>
          </cell>
          <cell r="S1224" t="str">
            <v>Yes</v>
          </cell>
          <cell r="T1224" t="str">
            <v>No</v>
          </cell>
        </row>
        <row r="1225">
          <cell r="M1225" t="str">
            <v>Aluminium ValanceOutside Window Mount3nm 12v Acmeda Motor</v>
          </cell>
          <cell r="N1225">
            <v>0</v>
          </cell>
          <cell r="O1225" t="str">
            <v>N/A</v>
          </cell>
          <cell r="P1225">
            <v>0</v>
          </cell>
          <cell r="Q1225" t="str">
            <v>N/A</v>
          </cell>
          <cell r="R1225" t="str">
            <v>No</v>
          </cell>
          <cell r="S1225" t="str">
            <v>No</v>
          </cell>
          <cell r="T1225" t="str">
            <v>Yes</v>
          </cell>
        </row>
        <row r="1226">
          <cell r="M1226" t="str">
            <v>Aluminium Valance - Fabric CoveredOutside Window Mount3nm 12v Acmeda Motor</v>
          </cell>
          <cell r="N1226">
            <v>0</v>
          </cell>
          <cell r="O1226" t="str">
            <v>N/A</v>
          </cell>
          <cell r="P1226">
            <v>0</v>
          </cell>
          <cell r="Q1226" t="str">
            <v>N/A</v>
          </cell>
          <cell r="R1226" t="str">
            <v>No</v>
          </cell>
          <cell r="S1226" t="str">
            <v>No</v>
          </cell>
          <cell r="T1226" t="str">
            <v>Yes</v>
          </cell>
        </row>
        <row r="1227">
          <cell r="M1227" t="str">
            <v>Side ChannelsOutside Window Mount3nm 12v Acmeda Motor</v>
          </cell>
          <cell r="N1227">
            <v>10</v>
          </cell>
          <cell r="O1227" t="str">
            <v>N/A</v>
          </cell>
          <cell r="P1227" t="str">
            <v>N/A</v>
          </cell>
          <cell r="Q1227">
            <v>60</v>
          </cell>
          <cell r="R1227" t="str">
            <v>N/A</v>
          </cell>
          <cell r="S1227" t="str">
            <v>No</v>
          </cell>
          <cell r="T1227" t="str">
            <v>N/A</v>
          </cell>
        </row>
        <row r="1228">
          <cell r="M1228" t="str">
            <v>Zipscreen HoodingOutside Window Mount3nm 12v Acmeda Motor</v>
          </cell>
          <cell r="N1228">
            <v>17</v>
          </cell>
          <cell r="O1228">
            <v>66</v>
          </cell>
          <cell r="P1228">
            <v>66</v>
          </cell>
          <cell r="Q1228" t="str">
            <v>N/A</v>
          </cell>
          <cell r="R1228" t="str">
            <v>N/A</v>
          </cell>
          <cell r="S1228" t="str">
            <v>No</v>
          </cell>
          <cell r="T1228" t="str">
            <v>N/A</v>
          </cell>
        </row>
        <row r="1229">
          <cell r="M1229" t="str">
            <v>NoneOutside Window Mount1.1nm 12v Acmeda Short Motor</v>
          </cell>
          <cell r="N1229">
            <v>0</v>
          </cell>
          <cell r="O1229" t="str">
            <v>N/A</v>
          </cell>
          <cell r="P1229" t="str">
            <v>N/A</v>
          </cell>
          <cell r="Q1229" t="str">
            <v>N/A</v>
          </cell>
          <cell r="R1229" t="str">
            <v>N/A</v>
          </cell>
          <cell r="S1229" t="str">
            <v>No</v>
          </cell>
          <cell r="T1229" t="str">
            <v>N/A</v>
          </cell>
        </row>
        <row r="1230">
          <cell r="M1230" t="str">
            <v>Straight Upholstered PelmetOutside Window Mount1.1nm 12v Acmeda Short Motor</v>
          </cell>
          <cell r="N1230">
            <v>0</v>
          </cell>
          <cell r="O1230" t="str">
            <v>N/A</v>
          </cell>
          <cell r="P1230" t="str">
            <v>N/A</v>
          </cell>
          <cell r="Q1230" t="str">
            <v>N/A</v>
          </cell>
          <cell r="R1230" t="str">
            <v>N/A</v>
          </cell>
          <cell r="S1230" t="str">
            <v>No</v>
          </cell>
          <cell r="T1230" t="str">
            <v>N/A</v>
          </cell>
        </row>
        <row r="1231">
          <cell r="M1231" t="str">
            <v>Shaped Upholstered PelmetOutside Window Mount1.1nm 12v Acmeda Short Motor</v>
          </cell>
          <cell r="N1231">
            <v>0</v>
          </cell>
          <cell r="O1231" t="str">
            <v>N/A</v>
          </cell>
          <cell r="P1231" t="str">
            <v>N/A</v>
          </cell>
          <cell r="Q1231" t="str">
            <v>N/A</v>
          </cell>
          <cell r="R1231" t="str">
            <v>N/A</v>
          </cell>
          <cell r="S1231" t="str">
            <v>No</v>
          </cell>
          <cell r="T1231" t="str">
            <v>N/A</v>
          </cell>
        </row>
        <row r="1232">
          <cell r="M1232" t="str">
            <v>Aluminium PelmetOutside Window Mount1.1nm 12v Acmeda Short Motor</v>
          </cell>
          <cell r="N1232">
            <v>0</v>
          </cell>
          <cell r="O1232">
            <v>0</v>
          </cell>
          <cell r="P1232" t="str">
            <v>N/A</v>
          </cell>
          <cell r="Q1232" t="str">
            <v>N/A</v>
          </cell>
          <cell r="R1232" t="str">
            <v>No</v>
          </cell>
          <cell r="S1232" t="str">
            <v>No</v>
          </cell>
          <cell r="T1232" t="str">
            <v>Yes</v>
          </cell>
        </row>
        <row r="1233">
          <cell r="M1233" t="str">
            <v>Square CassetteOutside Window Mount1.1nm 12v Acmeda Short Motor</v>
          </cell>
          <cell r="N1233">
            <v>10</v>
          </cell>
          <cell r="O1233">
            <v>14</v>
          </cell>
          <cell r="P1233">
            <v>14</v>
          </cell>
          <cell r="Q1233" t="str">
            <v>N/A</v>
          </cell>
          <cell r="R1233" t="str">
            <v>No</v>
          </cell>
          <cell r="S1233" t="str">
            <v>No</v>
          </cell>
          <cell r="T1233" t="str">
            <v>No</v>
          </cell>
        </row>
        <row r="1234">
          <cell r="M1234" t="str">
            <v>Square Cassette with Side ChannelsOutside Window Mount1.1nm 12v Acmeda Short Motor</v>
          </cell>
          <cell r="N1234">
            <v>10</v>
          </cell>
          <cell r="O1234">
            <v>14</v>
          </cell>
          <cell r="P1234">
            <v>14</v>
          </cell>
          <cell r="Q1234">
            <v>88</v>
          </cell>
          <cell r="R1234" t="str">
            <v>No</v>
          </cell>
          <cell r="S1234" t="str">
            <v>Yes</v>
          </cell>
          <cell r="T1234" t="str">
            <v>No</v>
          </cell>
        </row>
        <row r="1235">
          <cell r="M1235" t="str">
            <v>Round CassetteOutside Window Mount1.1nm 12v Acmeda Short Motor</v>
          </cell>
          <cell r="N1235">
            <v>10</v>
          </cell>
          <cell r="O1235">
            <v>14</v>
          </cell>
          <cell r="P1235">
            <v>14</v>
          </cell>
          <cell r="Q1235" t="str">
            <v>N/A</v>
          </cell>
          <cell r="R1235" t="str">
            <v>No</v>
          </cell>
          <cell r="S1235" t="str">
            <v>No</v>
          </cell>
          <cell r="T1235" t="str">
            <v>No</v>
          </cell>
        </row>
        <row r="1236">
          <cell r="M1236" t="str">
            <v>Round Cassette with Side ChannelsOutside Window Mount1.1nm 12v Acmeda Short Motor</v>
          </cell>
          <cell r="N1236">
            <v>10</v>
          </cell>
          <cell r="O1236">
            <v>14</v>
          </cell>
          <cell r="P1236">
            <v>14</v>
          </cell>
          <cell r="Q1236">
            <v>88</v>
          </cell>
          <cell r="R1236" t="str">
            <v>No</v>
          </cell>
          <cell r="S1236" t="str">
            <v>Yes</v>
          </cell>
          <cell r="T1236" t="str">
            <v>No</v>
          </cell>
        </row>
        <row r="1237">
          <cell r="M1237" t="str">
            <v>Aluminium ValanceOutside Window Mount1.1nm 12v Acmeda Short Motor</v>
          </cell>
          <cell r="N1237">
            <v>0</v>
          </cell>
          <cell r="O1237" t="str">
            <v>N/A</v>
          </cell>
          <cell r="P1237">
            <v>0</v>
          </cell>
          <cell r="Q1237" t="str">
            <v>N/A</v>
          </cell>
          <cell r="R1237" t="str">
            <v>No</v>
          </cell>
          <cell r="S1237" t="str">
            <v>No</v>
          </cell>
          <cell r="T1237" t="str">
            <v>Yes</v>
          </cell>
        </row>
        <row r="1238">
          <cell r="M1238" t="str">
            <v>Aluminium Valance - Fabric CoveredOutside Window Mount1.1nm 12v Acmeda Short Motor</v>
          </cell>
          <cell r="N1238">
            <v>0</v>
          </cell>
          <cell r="O1238" t="str">
            <v>N/A</v>
          </cell>
          <cell r="P1238">
            <v>0</v>
          </cell>
          <cell r="Q1238" t="str">
            <v>N/A</v>
          </cell>
          <cell r="R1238" t="str">
            <v>No</v>
          </cell>
          <cell r="S1238" t="str">
            <v>No</v>
          </cell>
          <cell r="T1238" t="str">
            <v>Yes</v>
          </cell>
        </row>
        <row r="1239">
          <cell r="M1239" t="str">
            <v>Side ChannelsOutside Window Mount1.1nm 12v Acmeda Short Motor</v>
          </cell>
          <cell r="N1239">
            <v>10</v>
          </cell>
          <cell r="O1239" t="str">
            <v>N/A</v>
          </cell>
          <cell r="P1239" t="str">
            <v>N/A</v>
          </cell>
          <cell r="Q1239">
            <v>60</v>
          </cell>
          <cell r="R1239" t="str">
            <v>N/A</v>
          </cell>
          <cell r="S1239" t="str">
            <v>No</v>
          </cell>
          <cell r="T1239" t="str">
            <v>N/A</v>
          </cell>
        </row>
        <row r="1240">
          <cell r="M1240" t="str">
            <v>Zipscreen HoodingOutside Window Mount1.1nm 12v Acmeda Short Motor</v>
          </cell>
          <cell r="N1240">
            <v>17</v>
          </cell>
          <cell r="O1240">
            <v>66</v>
          </cell>
          <cell r="P1240">
            <v>66</v>
          </cell>
          <cell r="Q1240" t="str">
            <v>N/A</v>
          </cell>
          <cell r="R1240" t="str">
            <v>N/A</v>
          </cell>
          <cell r="S1240" t="str">
            <v>No</v>
          </cell>
          <cell r="T1240" t="str">
            <v>N/A</v>
          </cell>
        </row>
        <row r="1241">
          <cell r="M1241" t="str">
            <v>NoneOutside Window Mount1.1nm 12v Acmeda DCRF Motor with External Battery</v>
          </cell>
          <cell r="N1241">
            <v>0</v>
          </cell>
          <cell r="O1241" t="str">
            <v>N/A</v>
          </cell>
          <cell r="P1241" t="str">
            <v>N/A</v>
          </cell>
          <cell r="Q1241" t="str">
            <v>N/A</v>
          </cell>
          <cell r="R1241" t="str">
            <v>N/A</v>
          </cell>
          <cell r="S1241" t="str">
            <v>No</v>
          </cell>
          <cell r="T1241" t="str">
            <v>N/A</v>
          </cell>
        </row>
        <row r="1242">
          <cell r="M1242" t="str">
            <v>Straight Upholstered PelmetOutside Window Mount1.1nm 12v Acmeda DCRF Motor with External Battery</v>
          </cell>
          <cell r="N1242">
            <v>0</v>
          </cell>
          <cell r="O1242" t="str">
            <v>N/A</v>
          </cell>
          <cell r="P1242" t="str">
            <v>N/A</v>
          </cell>
          <cell r="Q1242" t="str">
            <v>N/A</v>
          </cell>
          <cell r="R1242" t="str">
            <v>N/A</v>
          </cell>
          <cell r="S1242" t="str">
            <v>No</v>
          </cell>
          <cell r="T1242" t="str">
            <v>N/A</v>
          </cell>
        </row>
        <row r="1243">
          <cell r="M1243" t="str">
            <v>Shaped Upholstered PelmetOutside Window Mount1.1nm 12v Acmeda DCRF Motor with External Battery</v>
          </cell>
          <cell r="N1243">
            <v>0</v>
          </cell>
          <cell r="O1243" t="str">
            <v>N/A</v>
          </cell>
          <cell r="P1243" t="str">
            <v>N/A</v>
          </cell>
          <cell r="Q1243" t="str">
            <v>N/A</v>
          </cell>
          <cell r="R1243" t="str">
            <v>N/A</v>
          </cell>
          <cell r="S1243" t="str">
            <v>No</v>
          </cell>
          <cell r="T1243" t="str">
            <v>N/A</v>
          </cell>
        </row>
        <row r="1244">
          <cell r="M1244" t="str">
            <v>Aluminium PelmetOutside Window Mount1.1nm 12v Acmeda DCRF Motor with External Battery</v>
          </cell>
          <cell r="N1244">
            <v>0</v>
          </cell>
          <cell r="O1244">
            <v>0</v>
          </cell>
          <cell r="P1244" t="str">
            <v>N/A</v>
          </cell>
          <cell r="Q1244" t="str">
            <v>N/A</v>
          </cell>
          <cell r="R1244" t="str">
            <v>No</v>
          </cell>
          <cell r="S1244" t="str">
            <v>No</v>
          </cell>
          <cell r="T1244" t="str">
            <v>Yes</v>
          </cell>
        </row>
        <row r="1245">
          <cell r="M1245" t="str">
            <v>Square CassetteOutside Window Mount1.1nm 12v Acmeda DCRF Motor with External Battery</v>
          </cell>
          <cell r="N1245">
            <v>10</v>
          </cell>
          <cell r="O1245">
            <v>14</v>
          </cell>
          <cell r="P1245">
            <v>14</v>
          </cell>
          <cell r="Q1245" t="str">
            <v>N/A</v>
          </cell>
          <cell r="R1245" t="str">
            <v>No</v>
          </cell>
          <cell r="S1245" t="str">
            <v>No</v>
          </cell>
          <cell r="T1245" t="str">
            <v>No</v>
          </cell>
        </row>
        <row r="1246">
          <cell r="M1246" t="str">
            <v>Square Cassette with Side ChannelsOutside Window Mount1.1nm 12v Acmeda DCRF Motor with External Battery</v>
          </cell>
          <cell r="N1246">
            <v>10</v>
          </cell>
          <cell r="O1246">
            <v>14</v>
          </cell>
          <cell r="P1246">
            <v>14</v>
          </cell>
          <cell r="Q1246">
            <v>88</v>
          </cell>
          <cell r="R1246" t="str">
            <v>No</v>
          </cell>
          <cell r="S1246" t="str">
            <v>Yes</v>
          </cell>
          <cell r="T1246" t="str">
            <v>No</v>
          </cell>
        </row>
        <row r="1247">
          <cell r="M1247" t="str">
            <v>Round CassetteOutside Window Mount1.1nm 12v Acmeda DCRF Motor with External Battery</v>
          </cell>
          <cell r="N1247">
            <v>10</v>
          </cell>
          <cell r="O1247">
            <v>14</v>
          </cell>
          <cell r="P1247">
            <v>14</v>
          </cell>
          <cell r="Q1247" t="str">
            <v>N/A</v>
          </cell>
          <cell r="R1247" t="str">
            <v>No</v>
          </cell>
          <cell r="S1247" t="str">
            <v>No</v>
          </cell>
          <cell r="T1247" t="str">
            <v>No</v>
          </cell>
        </row>
        <row r="1248">
          <cell r="M1248" t="str">
            <v>Round Cassette with Side ChannelsOutside Window Mount1.1nm 12v Acmeda DCRF Motor with External Battery</v>
          </cell>
          <cell r="N1248">
            <v>10</v>
          </cell>
          <cell r="O1248">
            <v>14</v>
          </cell>
          <cell r="P1248">
            <v>14</v>
          </cell>
          <cell r="Q1248">
            <v>88</v>
          </cell>
          <cell r="R1248" t="str">
            <v>No</v>
          </cell>
          <cell r="S1248" t="str">
            <v>Yes</v>
          </cell>
          <cell r="T1248" t="str">
            <v>No</v>
          </cell>
        </row>
        <row r="1249">
          <cell r="M1249" t="str">
            <v>Aluminium ValanceOutside Window Mount1.1nm 12v Acmeda DCRF Motor with External Battery</v>
          </cell>
          <cell r="N1249">
            <v>0</v>
          </cell>
          <cell r="O1249" t="str">
            <v>N/A</v>
          </cell>
          <cell r="P1249">
            <v>0</v>
          </cell>
          <cell r="Q1249" t="str">
            <v>N/A</v>
          </cell>
          <cell r="R1249" t="str">
            <v>No</v>
          </cell>
          <cell r="S1249" t="str">
            <v>No</v>
          </cell>
          <cell r="T1249" t="str">
            <v>Yes</v>
          </cell>
        </row>
        <row r="1250">
          <cell r="M1250" t="str">
            <v>Aluminium Valance - Fabric CoveredOutside Window Mount1.1nm 12v Acmeda DCRF Motor with External Battery</v>
          </cell>
          <cell r="N1250">
            <v>0</v>
          </cell>
          <cell r="O1250" t="str">
            <v>N/A</v>
          </cell>
          <cell r="P1250">
            <v>0</v>
          </cell>
          <cell r="Q1250" t="str">
            <v>N/A</v>
          </cell>
          <cell r="R1250" t="str">
            <v>No</v>
          </cell>
          <cell r="S1250" t="str">
            <v>No</v>
          </cell>
          <cell r="T1250" t="str">
            <v>Yes</v>
          </cell>
        </row>
        <row r="1251">
          <cell r="M1251" t="str">
            <v>Side ChannelsOutside Window Mount1.1nm 12v Acmeda DCRF Motor with External Battery</v>
          </cell>
          <cell r="N1251">
            <v>10</v>
          </cell>
          <cell r="O1251" t="str">
            <v>N/A</v>
          </cell>
          <cell r="P1251" t="str">
            <v>N/A</v>
          </cell>
          <cell r="Q1251">
            <v>60</v>
          </cell>
          <cell r="R1251" t="str">
            <v>N/A</v>
          </cell>
          <cell r="S1251" t="str">
            <v>No</v>
          </cell>
          <cell r="T1251" t="str">
            <v>N/A</v>
          </cell>
        </row>
        <row r="1252">
          <cell r="M1252" t="str">
            <v>Zipscreen HoodingOutside Window Mount1.1nm 12v Acmeda DCRF Motor with External Battery</v>
          </cell>
          <cell r="N1252">
            <v>17</v>
          </cell>
          <cell r="O1252">
            <v>66</v>
          </cell>
          <cell r="P1252">
            <v>66</v>
          </cell>
          <cell r="Q1252" t="str">
            <v>N/A</v>
          </cell>
          <cell r="R1252" t="str">
            <v>N/A</v>
          </cell>
          <cell r="S1252" t="str">
            <v>No</v>
          </cell>
          <cell r="T1252" t="str">
            <v>N/A</v>
          </cell>
        </row>
        <row r="1253">
          <cell r="M1253" t="str">
            <v>NoneOutside Window Mount1.1nm 12v Acmeda DCRF Motor</v>
          </cell>
          <cell r="N1253">
            <v>0</v>
          </cell>
          <cell r="O1253" t="str">
            <v>N/A</v>
          </cell>
          <cell r="P1253" t="str">
            <v>N/A</v>
          </cell>
          <cell r="Q1253" t="str">
            <v>N/A</v>
          </cell>
          <cell r="R1253" t="str">
            <v>N/A</v>
          </cell>
          <cell r="S1253" t="str">
            <v>No</v>
          </cell>
          <cell r="T1253" t="str">
            <v>N/A</v>
          </cell>
        </row>
        <row r="1254">
          <cell r="M1254" t="str">
            <v>Straight Upholstered PelmetOutside Window Mount1.1nm 12v Acmeda DCRF Motor</v>
          </cell>
          <cell r="N1254">
            <v>0</v>
          </cell>
          <cell r="O1254" t="str">
            <v>N/A</v>
          </cell>
          <cell r="P1254" t="str">
            <v>N/A</v>
          </cell>
          <cell r="Q1254" t="str">
            <v>N/A</v>
          </cell>
          <cell r="R1254" t="str">
            <v>N/A</v>
          </cell>
          <cell r="S1254" t="str">
            <v>No</v>
          </cell>
          <cell r="T1254" t="str">
            <v>N/A</v>
          </cell>
        </row>
        <row r="1255">
          <cell r="M1255" t="str">
            <v>Shaped Upholstered PelmetOutside Window Mount1.1nm 12v Acmeda DCRF Motor</v>
          </cell>
          <cell r="N1255">
            <v>0</v>
          </cell>
          <cell r="O1255" t="str">
            <v>N/A</v>
          </cell>
          <cell r="P1255" t="str">
            <v>N/A</v>
          </cell>
          <cell r="Q1255" t="str">
            <v>N/A</v>
          </cell>
          <cell r="R1255" t="str">
            <v>N/A</v>
          </cell>
          <cell r="S1255" t="str">
            <v>No</v>
          </cell>
          <cell r="T1255" t="str">
            <v>N/A</v>
          </cell>
        </row>
        <row r="1256">
          <cell r="M1256" t="str">
            <v>Aluminium PelmetOutside Window Mount1.1nm 12v Acmeda DCRF Motor</v>
          </cell>
          <cell r="N1256">
            <v>0</v>
          </cell>
          <cell r="O1256">
            <v>0</v>
          </cell>
          <cell r="P1256" t="str">
            <v>N/A</v>
          </cell>
          <cell r="Q1256" t="str">
            <v>N/A</v>
          </cell>
          <cell r="R1256" t="str">
            <v>No</v>
          </cell>
          <cell r="S1256" t="str">
            <v>No</v>
          </cell>
          <cell r="T1256" t="str">
            <v>Yes</v>
          </cell>
        </row>
        <row r="1257">
          <cell r="M1257" t="str">
            <v>Square CassetteOutside Window Mount1.1nm 12v Acmeda DCRF Motor</v>
          </cell>
          <cell r="N1257">
            <v>10</v>
          </cell>
          <cell r="O1257">
            <v>14</v>
          </cell>
          <cell r="P1257">
            <v>14</v>
          </cell>
          <cell r="Q1257" t="str">
            <v>N/A</v>
          </cell>
          <cell r="R1257" t="str">
            <v>No</v>
          </cell>
          <cell r="S1257" t="str">
            <v>No</v>
          </cell>
          <cell r="T1257" t="str">
            <v>No</v>
          </cell>
        </row>
        <row r="1258">
          <cell r="M1258" t="str">
            <v>Square Cassette with Side ChannelsOutside Window Mount1.1nm 12v Acmeda DCRF Motor</v>
          </cell>
          <cell r="N1258">
            <v>10</v>
          </cell>
          <cell r="O1258">
            <v>14</v>
          </cell>
          <cell r="P1258">
            <v>14</v>
          </cell>
          <cell r="Q1258">
            <v>88</v>
          </cell>
          <cell r="R1258" t="str">
            <v>No</v>
          </cell>
          <cell r="S1258" t="str">
            <v>Yes</v>
          </cell>
          <cell r="T1258" t="str">
            <v>No</v>
          </cell>
        </row>
        <row r="1259">
          <cell r="M1259" t="str">
            <v>Round CassetteOutside Window Mount1.1nm 12v Acmeda DCRF Motor</v>
          </cell>
          <cell r="N1259">
            <v>10</v>
          </cell>
          <cell r="O1259">
            <v>14</v>
          </cell>
          <cell r="P1259">
            <v>14</v>
          </cell>
          <cell r="Q1259" t="str">
            <v>N/A</v>
          </cell>
          <cell r="R1259" t="str">
            <v>No</v>
          </cell>
          <cell r="S1259" t="str">
            <v>No</v>
          </cell>
          <cell r="T1259" t="str">
            <v>No</v>
          </cell>
        </row>
        <row r="1260">
          <cell r="M1260" t="str">
            <v>Round Cassette with Side ChannelsOutside Window Mount1.1nm 12v Acmeda DCRF Motor</v>
          </cell>
          <cell r="N1260">
            <v>10</v>
          </cell>
          <cell r="O1260">
            <v>14</v>
          </cell>
          <cell r="P1260">
            <v>14</v>
          </cell>
          <cell r="Q1260">
            <v>88</v>
          </cell>
          <cell r="R1260" t="str">
            <v>No</v>
          </cell>
          <cell r="S1260" t="str">
            <v>Yes</v>
          </cell>
          <cell r="T1260" t="str">
            <v>No</v>
          </cell>
        </row>
        <row r="1261">
          <cell r="M1261" t="str">
            <v>Aluminium ValanceOutside Window Mount1.1nm 12v Acmeda DCRF Motor</v>
          </cell>
          <cell r="N1261">
            <v>0</v>
          </cell>
          <cell r="O1261" t="str">
            <v>N/A</v>
          </cell>
          <cell r="P1261">
            <v>0</v>
          </cell>
          <cell r="Q1261" t="str">
            <v>N/A</v>
          </cell>
          <cell r="R1261" t="str">
            <v>No</v>
          </cell>
          <cell r="S1261" t="str">
            <v>No</v>
          </cell>
          <cell r="T1261" t="str">
            <v>Yes</v>
          </cell>
        </row>
        <row r="1262">
          <cell r="M1262" t="str">
            <v>Aluminium Valance - Fabric CoveredOutside Window Mount1.1nm 12v Acmeda DCRF Motor</v>
          </cell>
          <cell r="N1262">
            <v>0</v>
          </cell>
          <cell r="O1262" t="str">
            <v>N/A</v>
          </cell>
          <cell r="P1262">
            <v>0</v>
          </cell>
          <cell r="Q1262" t="str">
            <v>N/A</v>
          </cell>
          <cell r="R1262" t="str">
            <v>No</v>
          </cell>
          <cell r="S1262" t="str">
            <v>No</v>
          </cell>
          <cell r="T1262" t="str">
            <v>Yes</v>
          </cell>
        </row>
        <row r="1263">
          <cell r="M1263" t="str">
            <v>Side ChannelsOutside Window Mount1.1nm 12v Acmeda DCRF Motor</v>
          </cell>
          <cell r="N1263">
            <v>10</v>
          </cell>
          <cell r="O1263" t="str">
            <v>N/A</v>
          </cell>
          <cell r="P1263" t="str">
            <v>N/A</v>
          </cell>
          <cell r="Q1263">
            <v>60</v>
          </cell>
          <cell r="R1263" t="str">
            <v>N/A</v>
          </cell>
          <cell r="S1263" t="str">
            <v>No</v>
          </cell>
          <cell r="T1263" t="str">
            <v>N/A</v>
          </cell>
        </row>
        <row r="1264">
          <cell r="M1264" t="str">
            <v>Zipscreen HoodingOutside Window Mount1.1nm 12v Acmeda DCRF Motor</v>
          </cell>
          <cell r="N1264">
            <v>17</v>
          </cell>
          <cell r="O1264">
            <v>66</v>
          </cell>
          <cell r="P1264">
            <v>66</v>
          </cell>
          <cell r="Q1264" t="str">
            <v>N/A</v>
          </cell>
          <cell r="R1264" t="str">
            <v>N/A</v>
          </cell>
          <cell r="S1264" t="str">
            <v>No</v>
          </cell>
          <cell r="T1264" t="str">
            <v>N/A</v>
          </cell>
        </row>
        <row r="1265">
          <cell r="M1265" t="str">
            <v>NoneOutside Window Mount2nm 12v Acmeda DCRF Motor</v>
          </cell>
          <cell r="N1265">
            <v>0</v>
          </cell>
          <cell r="O1265" t="str">
            <v>N/A</v>
          </cell>
          <cell r="P1265" t="str">
            <v>N/A</v>
          </cell>
          <cell r="Q1265" t="str">
            <v>N/A</v>
          </cell>
          <cell r="R1265" t="str">
            <v>N/A</v>
          </cell>
          <cell r="S1265" t="str">
            <v>No</v>
          </cell>
          <cell r="T1265" t="str">
            <v>N/A</v>
          </cell>
        </row>
        <row r="1266">
          <cell r="M1266" t="str">
            <v>Straight Upholstered PelmetOutside Window Mount2nm 12v Acmeda DCRF Motor</v>
          </cell>
          <cell r="N1266">
            <v>0</v>
          </cell>
          <cell r="O1266" t="str">
            <v>N/A</v>
          </cell>
          <cell r="P1266" t="str">
            <v>N/A</v>
          </cell>
          <cell r="Q1266" t="str">
            <v>N/A</v>
          </cell>
          <cell r="R1266" t="str">
            <v>N/A</v>
          </cell>
          <cell r="S1266" t="str">
            <v>No</v>
          </cell>
          <cell r="T1266" t="str">
            <v>N/A</v>
          </cell>
        </row>
        <row r="1267">
          <cell r="M1267" t="str">
            <v>Shaped Upholstered PelmetOutside Window Mount2nm 12v Acmeda DCRF Motor</v>
          </cell>
          <cell r="N1267">
            <v>0</v>
          </cell>
          <cell r="O1267" t="str">
            <v>N/A</v>
          </cell>
          <cell r="P1267" t="str">
            <v>N/A</v>
          </cell>
          <cell r="Q1267" t="str">
            <v>N/A</v>
          </cell>
          <cell r="R1267" t="str">
            <v>N/A</v>
          </cell>
          <cell r="S1267" t="str">
            <v>No</v>
          </cell>
          <cell r="T1267" t="str">
            <v>N/A</v>
          </cell>
        </row>
        <row r="1268">
          <cell r="M1268" t="str">
            <v>Aluminium PelmetOutside Window Mount2nm 12v Acmeda DCRF Motor</v>
          </cell>
          <cell r="N1268">
            <v>0</v>
          </cell>
          <cell r="O1268">
            <v>0</v>
          </cell>
          <cell r="P1268" t="str">
            <v>N/A</v>
          </cell>
          <cell r="Q1268" t="str">
            <v>N/A</v>
          </cell>
          <cell r="R1268" t="str">
            <v>No</v>
          </cell>
          <cell r="S1268" t="str">
            <v>No</v>
          </cell>
          <cell r="T1268" t="str">
            <v>Yes</v>
          </cell>
        </row>
        <row r="1269">
          <cell r="M1269" t="str">
            <v>Square CassetteOutside Window Mount2nm 12v Acmeda DCRF Motor</v>
          </cell>
          <cell r="N1269">
            <v>10</v>
          </cell>
          <cell r="O1269">
            <v>14</v>
          </cell>
          <cell r="P1269">
            <v>14</v>
          </cell>
          <cell r="Q1269" t="str">
            <v>N/A</v>
          </cell>
          <cell r="R1269" t="str">
            <v>No</v>
          </cell>
          <cell r="S1269" t="str">
            <v>No</v>
          </cell>
          <cell r="T1269" t="str">
            <v>No</v>
          </cell>
        </row>
        <row r="1270">
          <cell r="M1270" t="str">
            <v>Square Cassette with Side ChannelsOutside Window Mount2nm 12v Acmeda DCRF Motor</v>
          </cell>
          <cell r="N1270">
            <v>10</v>
          </cell>
          <cell r="O1270">
            <v>14</v>
          </cell>
          <cell r="P1270">
            <v>14</v>
          </cell>
          <cell r="Q1270">
            <v>88</v>
          </cell>
          <cell r="R1270" t="str">
            <v>No</v>
          </cell>
          <cell r="S1270" t="str">
            <v>Yes</v>
          </cell>
          <cell r="T1270" t="str">
            <v>No</v>
          </cell>
        </row>
        <row r="1271">
          <cell r="M1271" t="str">
            <v>Round CassetteOutside Window Mount2nm 12v Acmeda DCRF Motor</v>
          </cell>
          <cell r="N1271">
            <v>10</v>
          </cell>
          <cell r="O1271">
            <v>14</v>
          </cell>
          <cell r="P1271">
            <v>14</v>
          </cell>
          <cell r="Q1271" t="str">
            <v>N/A</v>
          </cell>
          <cell r="R1271" t="str">
            <v>No</v>
          </cell>
          <cell r="S1271" t="str">
            <v>No</v>
          </cell>
          <cell r="T1271" t="str">
            <v>No</v>
          </cell>
        </row>
        <row r="1272">
          <cell r="M1272" t="str">
            <v>Round Cassette with Side ChannelsOutside Window Mount2nm 12v Acmeda DCRF Motor</v>
          </cell>
          <cell r="N1272">
            <v>10</v>
          </cell>
          <cell r="O1272">
            <v>14</v>
          </cell>
          <cell r="P1272">
            <v>14</v>
          </cell>
          <cell r="Q1272">
            <v>88</v>
          </cell>
          <cell r="R1272" t="str">
            <v>No</v>
          </cell>
          <cell r="S1272" t="str">
            <v>Yes</v>
          </cell>
          <cell r="T1272" t="str">
            <v>No</v>
          </cell>
        </row>
        <row r="1273">
          <cell r="M1273" t="str">
            <v>Aluminium ValanceOutside Window Mount2nm 12v Acmeda DCRF Motor</v>
          </cell>
          <cell r="N1273">
            <v>0</v>
          </cell>
          <cell r="O1273" t="str">
            <v>N/A</v>
          </cell>
          <cell r="P1273">
            <v>0</v>
          </cell>
          <cell r="Q1273" t="str">
            <v>N/A</v>
          </cell>
          <cell r="R1273" t="str">
            <v>No</v>
          </cell>
          <cell r="S1273" t="str">
            <v>No</v>
          </cell>
          <cell r="T1273" t="str">
            <v>Yes</v>
          </cell>
        </row>
        <row r="1274">
          <cell r="M1274" t="str">
            <v>Aluminium Valance - Fabric CoveredOutside Window Mount2nm 12v Acmeda DCRF Motor</v>
          </cell>
          <cell r="N1274">
            <v>0</v>
          </cell>
          <cell r="O1274" t="str">
            <v>N/A</v>
          </cell>
          <cell r="P1274">
            <v>0</v>
          </cell>
          <cell r="Q1274" t="str">
            <v>N/A</v>
          </cell>
          <cell r="R1274" t="str">
            <v>No</v>
          </cell>
          <cell r="S1274" t="str">
            <v>No</v>
          </cell>
          <cell r="T1274" t="str">
            <v>Yes</v>
          </cell>
        </row>
        <row r="1275">
          <cell r="M1275" t="str">
            <v>Side ChannelsOutside Window Mount2nm 12v Acmeda DCRF Motor</v>
          </cell>
          <cell r="N1275">
            <v>10</v>
          </cell>
          <cell r="O1275" t="str">
            <v>N/A</v>
          </cell>
          <cell r="P1275" t="str">
            <v>N/A</v>
          </cell>
          <cell r="Q1275">
            <v>60</v>
          </cell>
          <cell r="R1275" t="str">
            <v>N/A</v>
          </cell>
          <cell r="S1275" t="str">
            <v>No</v>
          </cell>
          <cell r="T1275" t="str">
            <v>N/A</v>
          </cell>
        </row>
        <row r="1276">
          <cell r="M1276" t="str">
            <v>Zipscreen HoodingOutside Window Mount2nm 12v Acmeda DCRF Motor</v>
          </cell>
          <cell r="N1276">
            <v>17</v>
          </cell>
          <cell r="O1276">
            <v>66</v>
          </cell>
          <cell r="P1276">
            <v>66</v>
          </cell>
          <cell r="Q1276" t="str">
            <v>N/A</v>
          </cell>
          <cell r="R1276" t="str">
            <v>N/A</v>
          </cell>
          <cell r="S1276" t="str">
            <v>No</v>
          </cell>
          <cell r="T1276" t="str">
            <v>N/A</v>
          </cell>
        </row>
        <row r="1277">
          <cell r="M1277" t="str">
            <v>NoneOutside Window MountSomfy Remote Sonesse Motor</v>
          </cell>
          <cell r="N1277">
            <v>0</v>
          </cell>
          <cell r="O1277" t="str">
            <v>N/A</v>
          </cell>
          <cell r="P1277" t="str">
            <v>N/A</v>
          </cell>
          <cell r="Q1277" t="str">
            <v>N/A</v>
          </cell>
          <cell r="R1277" t="str">
            <v>N/A</v>
          </cell>
          <cell r="S1277" t="str">
            <v>No</v>
          </cell>
          <cell r="T1277" t="str">
            <v>N/A</v>
          </cell>
        </row>
        <row r="1278">
          <cell r="M1278" t="str">
            <v>Straight Upholstered PelmetOutside Window MountSomfy Remote Sonesse Motor</v>
          </cell>
          <cell r="N1278">
            <v>0</v>
          </cell>
          <cell r="O1278" t="str">
            <v>N/A</v>
          </cell>
          <cell r="P1278" t="str">
            <v>N/A</v>
          </cell>
          <cell r="Q1278" t="str">
            <v>N/A</v>
          </cell>
          <cell r="R1278" t="str">
            <v>N/A</v>
          </cell>
          <cell r="S1278" t="str">
            <v>No</v>
          </cell>
          <cell r="T1278" t="str">
            <v>N/A</v>
          </cell>
        </row>
        <row r="1279">
          <cell r="M1279" t="str">
            <v>Shaped Upholstered PelmetOutside Window MountSomfy Remote Sonesse Motor</v>
          </cell>
          <cell r="N1279">
            <v>0</v>
          </cell>
          <cell r="O1279" t="str">
            <v>N/A</v>
          </cell>
          <cell r="P1279" t="str">
            <v>N/A</v>
          </cell>
          <cell r="Q1279" t="str">
            <v>N/A</v>
          </cell>
          <cell r="R1279" t="str">
            <v>N/A</v>
          </cell>
          <cell r="S1279" t="str">
            <v>No</v>
          </cell>
          <cell r="T1279" t="str">
            <v>N/A</v>
          </cell>
        </row>
        <row r="1280">
          <cell r="M1280" t="str">
            <v>Aluminium PelmetOutside Window MountSomfy Remote Sonesse Motor</v>
          </cell>
          <cell r="N1280">
            <v>0</v>
          </cell>
          <cell r="O1280">
            <v>0</v>
          </cell>
          <cell r="P1280" t="str">
            <v>N/A</v>
          </cell>
          <cell r="Q1280" t="str">
            <v>N/A</v>
          </cell>
          <cell r="R1280" t="str">
            <v>No</v>
          </cell>
          <cell r="S1280" t="str">
            <v>No</v>
          </cell>
          <cell r="T1280" t="str">
            <v>Yes</v>
          </cell>
        </row>
        <row r="1281">
          <cell r="M1281" t="str">
            <v>Square CassetteOutside Window MountSomfy Remote Sonesse Motor</v>
          </cell>
          <cell r="N1281">
            <v>10</v>
          </cell>
          <cell r="O1281">
            <v>14</v>
          </cell>
          <cell r="P1281">
            <v>14</v>
          </cell>
          <cell r="Q1281" t="str">
            <v>N/A</v>
          </cell>
          <cell r="R1281" t="str">
            <v>No</v>
          </cell>
          <cell r="S1281" t="str">
            <v>No</v>
          </cell>
          <cell r="T1281" t="str">
            <v>No</v>
          </cell>
        </row>
        <row r="1282">
          <cell r="M1282" t="str">
            <v>Square Cassette with Side ChannelsOutside Window MountSomfy Remote Sonesse Motor</v>
          </cell>
          <cell r="N1282">
            <v>10</v>
          </cell>
          <cell r="O1282">
            <v>14</v>
          </cell>
          <cell r="P1282">
            <v>14</v>
          </cell>
          <cell r="Q1282">
            <v>88</v>
          </cell>
          <cell r="R1282" t="str">
            <v>No</v>
          </cell>
          <cell r="S1282" t="str">
            <v>Yes</v>
          </cell>
          <cell r="T1282" t="str">
            <v>No</v>
          </cell>
        </row>
        <row r="1283">
          <cell r="M1283" t="str">
            <v>Round CassetteOutside Window MountSomfy Remote Sonesse Motor</v>
          </cell>
          <cell r="N1283">
            <v>10</v>
          </cell>
          <cell r="O1283">
            <v>14</v>
          </cell>
          <cell r="P1283">
            <v>14</v>
          </cell>
          <cell r="Q1283" t="str">
            <v>N/A</v>
          </cell>
          <cell r="R1283" t="str">
            <v>No</v>
          </cell>
          <cell r="S1283" t="str">
            <v>No</v>
          </cell>
          <cell r="T1283" t="str">
            <v>No</v>
          </cell>
        </row>
        <row r="1284">
          <cell r="M1284" t="str">
            <v>Round Cassette with Side ChannelsOutside Window MountSomfy Remote Sonesse Motor</v>
          </cell>
          <cell r="N1284">
            <v>10</v>
          </cell>
          <cell r="O1284">
            <v>14</v>
          </cell>
          <cell r="P1284">
            <v>14</v>
          </cell>
          <cell r="Q1284">
            <v>88</v>
          </cell>
          <cell r="R1284" t="str">
            <v>No</v>
          </cell>
          <cell r="S1284" t="str">
            <v>Yes</v>
          </cell>
          <cell r="T1284" t="str">
            <v>No</v>
          </cell>
        </row>
        <row r="1285">
          <cell r="M1285" t="str">
            <v>Aluminium ValanceOutside Window MountSomfy Remote Sonesse Motor</v>
          </cell>
          <cell r="N1285">
            <v>0</v>
          </cell>
          <cell r="O1285" t="str">
            <v>N/A</v>
          </cell>
          <cell r="P1285">
            <v>0</v>
          </cell>
          <cell r="Q1285" t="str">
            <v>N/A</v>
          </cell>
          <cell r="R1285" t="str">
            <v>No</v>
          </cell>
          <cell r="S1285" t="str">
            <v>No</v>
          </cell>
          <cell r="T1285" t="str">
            <v>Yes</v>
          </cell>
        </row>
        <row r="1286">
          <cell r="M1286" t="str">
            <v>Aluminium Valance - Fabric CoveredOutside Window MountSomfy Remote Sonesse Motor</v>
          </cell>
          <cell r="N1286">
            <v>0</v>
          </cell>
          <cell r="O1286" t="str">
            <v>N/A</v>
          </cell>
          <cell r="P1286">
            <v>0</v>
          </cell>
          <cell r="Q1286" t="str">
            <v>N/A</v>
          </cell>
          <cell r="R1286" t="str">
            <v>No</v>
          </cell>
          <cell r="S1286" t="str">
            <v>No</v>
          </cell>
          <cell r="T1286" t="str">
            <v>Yes</v>
          </cell>
        </row>
        <row r="1287">
          <cell r="M1287" t="str">
            <v>Side ChannelsOutside Window MountSomfy Remote Sonesse Motor</v>
          </cell>
          <cell r="N1287">
            <v>10</v>
          </cell>
          <cell r="O1287" t="str">
            <v>N/A</v>
          </cell>
          <cell r="P1287" t="str">
            <v>N/A</v>
          </cell>
          <cell r="Q1287">
            <v>60</v>
          </cell>
          <cell r="R1287" t="str">
            <v>N/A</v>
          </cell>
          <cell r="S1287" t="str">
            <v>No</v>
          </cell>
          <cell r="T1287" t="str">
            <v>N/A</v>
          </cell>
        </row>
        <row r="1288">
          <cell r="M1288" t="str">
            <v>Zipscreen HoodingOutside Window MountSomfy Remote Sonesse Motor</v>
          </cell>
          <cell r="N1288">
            <v>17</v>
          </cell>
          <cell r="O1288">
            <v>66</v>
          </cell>
          <cell r="P1288">
            <v>66</v>
          </cell>
          <cell r="Q1288" t="str">
            <v>N/A</v>
          </cell>
          <cell r="R1288" t="str">
            <v>N/A</v>
          </cell>
          <cell r="S1288" t="str">
            <v>No</v>
          </cell>
          <cell r="T1288" t="str">
            <v>N/A</v>
          </cell>
        </row>
        <row r="1289">
          <cell r="M1289" t="str">
            <v>NoneOutside Window MountSomfy 12v Remote Sonesse Motor</v>
          </cell>
          <cell r="N1289">
            <v>0</v>
          </cell>
          <cell r="O1289" t="str">
            <v>N/A</v>
          </cell>
          <cell r="P1289" t="str">
            <v>N/A</v>
          </cell>
          <cell r="Q1289" t="str">
            <v>N/A</v>
          </cell>
          <cell r="R1289" t="str">
            <v>N/A</v>
          </cell>
          <cell r="S1289" t="str">
            <v>No</v>
          </cell>
          <cell r="T1289" t="str">
            <v>N/A</v>
          </cell>
        </row>
        <row r="1290">
          <cell r="M1290" t="str">
            <v>Straight Upholstered PelmetOutside Window MountSomfy 12v Remote Sonesse Motor</v>
          </cell>
          <cell r="N1290">
            <v>0</v>
          </cell>
          <cell r="O1290" t="str">
            <v>N/A</v>
          </cell>
          <cell r="P1290" t="str">
            <v>N/A</v>
          </cell>
          <cell r="Q1290" t="str">
            <v>N/A</v>
          </cell>
          <cell r="R1290" t="str">
            <v>N/A</v>
          </cell>
          <cell r="S1290" t="str">
            <v>No</v>
          </cell>
          <cell r="T1290" t="str">
            <v>N/A</v>
          </cell>
        </row>
        <row r="1291">
          <cell r="M1291" t="str">
            <v>Shaped Upholstered PelmetOutside Window MountSomfy 12v Remote Sonesse Motor</v>
          </cell>
          <cell r="N1291">
            <v>0</v>
          </cell>
          <cell r="O1291" t="str">
            <v>N/A</v>
          </cell>
          <cell r="P1291" t="str">
            <v>N/A</v>
          </cell>
          <cell r="Q1291" t="str">
            <v>N/A</v>
          </cell>
          <cell r="R1291" t="str">
            <v>N/A</v>
          </cell>
          <cell r="S1291" t="str">
            <v>No</v>
          </cell>
          <cell r="T1291" t="str">
            <v>N/A</v>
          </cell>
        </row>
        <row r="1292">
          <cell r="M1292" t="str">
            <v>Aluminium PelmetOutside Window MountSomfy 12v Remote Sonesse Motor</v>
          </cell>
          <cell r="N1292">
            <v>0</v>
          </cell>
          <cell r="O1292">
            <v>0</v>
          </cell>
          <cell r="P1292" t="str">
            <v>N/A</v>
          </cell>
          <cell r="Q1292" t="str">
            <v>N/A</v>
          </cell>
          <cell r="R1292" t="str">
            <v>No</v>
          </cell>
          <cell r="S1292" t="str">
            <v>No</v>
          </cell>
          <cell r="T1292" t="str">
            <v>Yes</v>
          </cell>
        </row>
        <row r="1293">
          <cell r="M1293" t="str">
            <v>Square CassetteOutside Window MountSomfy 12v Remote Sonesse Motor</v>
          </cell>
          <cell r="N1293">
            <v>10</v>
          </cell>
          <cell r="O1293">
            <v>14</v>
          </cell>
          <cell r="P1293">
            <v>14</v>
          </cell>
          <cell r="Q1293" t="str">
            <v>N/A</v>
          </cell>
          <cell r="R1293" t="str">
            <v>No</v>
          </cell>
          <cell r="S1293" t="str">
            <v>No</v>
          </cell>
          <cell r="T1293" t="str">
            <v>No</v>
          </cell>
        </row>
        <row r="1294">
          <cell r="M1294" t="str">
            <v>Square Cassette with Side ChannelsOutside Window MountSomfy 12v Remote Sonesse Motor</v>
          </cell>
          <cell r="N1294">
            <v>10</v>
          </cell>
          <cell r="O1294">
            <v>14</v>
          </cell>
          <cell r="P1294">
            <v>14</v>
          </cell>
          <cell r="Q1294">
            <v>88</v>
          </cell>
          <cell r="R1294" t="str">
            <v>No</v>
          </cell>
          <cell r="S1294" t="str">
            <v>Yes</v>
          </cell>
          <cell r="T1294" t="str">
            <v>No</v>
          </cell>
        </row>
        <row r="1295">
          <cell r="M1295" t="str">
            <v>Round CassetteOutside Window MountSomfy 12v Remote Sonesse Motor</v>
          </cell>
          <cell r="N1295">
            <v>10</v>
          </cell>
          <cell r="O1295">
            <v>14</v>
          </cell>
          <cell r="P1295">
            <v>14</v>
          </cell>
          <cell r="Q1295" t="str">
            <v>N/A</v>
          </cell>
          <cell r="R1295" t="str">
            <v>No</v>
          </cell>
          <cell r="S1295" t="str">
            <v>No</v>
          </cell>
          <cell r="T1295" t="str">
            <v>No</v>
          </cell>
        </row>
        <row r="1296">
          <cell r="M1296" t="str">
            <v>Round Cassette with Side ChannelsOutside Window MountSomfy 12v Remote Sonesse Motor</v>
          </cell>
          <cell r="N1296">
            <v>10</v>
          </cell>
          <cell r="O1296">
            <v>14</v>
          </cell>
          <cell r="P1296">
            <v>14</v>
          </cell>
          <cell r="Q1296">
            <v>88</v>
          </cell>
          <cell r="R1296" t="str">
            <v>No</v>
          </cell>
          <cell r="S1296" t="str">
            <v>Yes</v>
          </cell>
          <cell r="T1296" t="str">
            <v>No</v>
          </cell>
        </row>
        <row r="1297">
          <cell r="M1297" t="str">
            <v>Aluminium ValanceOutside Window MountSomfy 12v Remote Sonesse Motor</v>
          </cell>
          <cell r="N1297">
            <v>0</v>
          </cell>
          <cell r="O1297" t="str">
            <v>N/A</v>
          </cell>
          <cell r="P1297">
            <v>0</v>
          </cell>
          <cell r="Q1297" t="str">
            <v>N/A</v>
          </cell>
          <cell r="R1297" t="str">
            <v>No</v>
          </cell>
          <cell r="S1297" t="str">
            <v>No</v>
          </cell>
          <cell r="T1297" t="str">
            <v>Yes</v>
          </cell>
        </row>
        <row r="1298">
          <cell r="M1298" t="str">
            <v>Aluminium Valance - Fabric CoveredOutside Window MountSomfy 12v Remote Sonesse Motor</v>
          </cell>
          <cell r="N1298">
            <v>0</v>
          </cell>
          <cell r="O1298" t="str">
            <v>N/A</v>
          </cell>
          <cell r="P1298">
            <v>0</v>
          </cell>
          <cell r="Q1298" t="str">
            <v>N/A</v>
          </cell>
          <cell r="R1298" t="str">
            <v>No</v>
          </cell>
          <cell r="S1298" t="str">
            <v>No</v>
          </cell>
          <cell r="T1298" t="str">
            <v>Yes</v>
          </cell>
        </row>
        <row r="1299">
          <cell r="M1299" t="str">
            <v>Side ChannelsOutside Window MountSomfy 12v Remote Sonesse Motor</v>
          </cell>
          <cell r="N1299">
            <v>10</v>
          </cell>
          <cell r="O1299" t="str">
            <v>N/A</v>
          </cell>
          <cell r="P1299" t="str">
            <v>N/A</v>
          </cell>
          <cell r="Q1299">
            <v>60</v>
          </cell>
          <cell r="R1299" t="str">
            <v>N/A</v>
          </cell>
          <cell r="S1299" t="str">
            <v>No</v>
          </cell>
          <cell r="T1299" t="str">
            <v>N/A</v>
          </cell>
        </row>
        <row r="1300">
          <cell r="M1300" t="str">
            <v>Zipscreen HoodingOutside Window MountSomfy 12v Remote Sonesse Motor</v>
          </cell>
          <cell r="N1300">
            <v>17</v>
          </cell>
          <cell r="O1300">
            <v>66</v>
          </cell>
          <cell r="P1300">
            <v>66</v>
          </cell>
          <cell r="Q1300" t="str">
            <v>N/A</v>
          </cell>
          <cell r="R1300" t="str">
            <v>N/A</v>
          </cell>
          <cell r="S1300" t="str">
            <v>No</v>
          </cell>
          <cell r="T1300" t="str">
            <v>N/A</v>
          </cell>
        </row>
        <row r="1301">
          <cell r="M1301" t="str">
            <v>NoneOutside Window MountSomfy CBUS Motor</v>
          </cell>
          <cell r="N1301">
            <v>0</v>
          </cell>
          <cell r="O1301" t="str">
            <v>N/A</v>
          </cell>
          <cell r="P1301" t="str">
            <v>N/A</v>
          </cell>
          <cell r="Q1301" t="str">
            <v>N/A</v>
          </cell>
          <cell r="R1301" t="str">
            <v>N/A</v>
          </cell>
          <cell r="S1301" t="str">
            <v>No</v>
          </cell>
          <cell r="T1301" t="str">
            <v>N/A</v>
          </cell>
        </row>
        <row r="1302">
          <cell r="M1302" t="str">
            <v>Straight Upholstered PelmetOutside Window MountSomfy CBUS Motor</v>
          </cell>
          <cell r="N1302">
            <v>0</v>
          </cell>
          <cell r="O1302" t="str">
            <v>N/A</v>
          </cell>
          <cell r="P1302" t="str">
            <v>N/A</v>
          </cell>
          <cell r="Q1302" t="str">
            <v>N/A</v>
          </cell>
          <cell r="R1302" t="str">
            <v>N/A</v>
          </cell>
          <cell r="S1302" t="str">
            <v>No</v>
          </cell>
          <cell r="T1302" t="str">
            <v>N/A</v>
          </cell>
        </row>
        <row r="1303">
          <cell r="M1303" t="str">
            <v>Shaped Upholstered PelmetOutside Window MountSomfy CBUS Motor</v>
          </cell>
          <cell r="N1303">
            <v>0</v>
          </cell>
          <cell r="O1303" t="str">
            <v>N/A</v>
          </cell>
          <cell r="P1303" t="str">
            <v>N/A</v>
          </cell>
          <cell r="Q1303" t="str">
            <v>N/A</v>
          </cell>
          <cell r="R1303" t="str">
            <v>N/A</v>
          </cell>
          <cell r="S1303" t="str">
            <v>No</v>
          </cell>
          <cell r="T1303" t="str">
            <v>N/A</v>
          </cell>
        </row>
        <row r="1304">
          <cell r="M1304" t="str">
            <v>Aluminium PelmetOutside Window MountSomfy CBUS Motor</v>
          </cell>
          <cell r="N1304">
            <v>0</v>
          </cell>
          <cell r="O1304">
            <v>0</v>
          </cell>
          <cell r="P1304" t="str">
            <v>N/A</v>
          </cell>
          <cell r="Q1304" t="str">
            <v>N/A</v>
          </cell>
          <cell r="R1304" t="str">
            <v>No</v>
          </cell>
          <cell r="S1304" t="str">
            <v>No</v>
          </cell>
          <cell r="T1304" t="str">
            <v>Yes</v>
          </cell>
        </row>
        <row r="1305">
          <cell r="M1305" t="str">
            <v>Square CassetteOutside Window MountSomfy CBUS Motor</v>
          </cell>
          <cell r="N1305">
            <v>10</v>
          </cell>
          <cell r="O1305">
            <v>14</v>
          </cell>
          <cell r="P1305">
            <v>14</v>
          </cell>
          <cell r="Q1305" t="str">
            <v>N/A</v>
          </cell>
          <cell r="R1305" t="str">
            <v>No</v>
          </cell>
          <cell r="S1305" t="str">
            <v>No</v>
          </cell>
          <cell r="T1305" t="str">
            <v>No</v>
          </cell>
        </row>
        <row r="1306">
          <cell r="M1306" t="str">
            <v>Square Cassette with Side ChannelsOutside Window MountSomfy CBUS Motor</v>
          </cell>
          <cell r="N1306">
            <v>10</v>
          </cell>
          <cell r="O1306">
            <v>14</v>
          </cell>
          <cell r="P1306">
            <v>14</v>
          </cell>
          <cell r="Q1306">
            <v>88</v>
          </cell>
          <cell r="R1306" t="str">
            <v>No</v>
          </cell>
          <cell r="S1306" t="str">
            <v>Yes</v>
          </cell>
          <cell r="T1306" t="str">
            <v>No</v>
          </cell>
        </row>
        <row r="1307">
          <cell r="M1307" t="str">
            <v>Round CassetteOutside Window MountSomfy CBUS Motor</v>
          </cell>
          <cell r="N1307">
            <v>10</v>
          </cell>
          <cell r="O1307">
            <v>14</v>
          </cell>
          <cell r="P1307">
            <v>14</v>
          </cell>
          <cell r="Q1307" t="str">
            <v>N/A</v>
          </cell>
          <cell r="R1307" t="str">
            <v>No</v>
          </cell>
          <cell r="S1307" t="str">
            <v>No</v>
          </cell>
          <cell r="T1307" t="str">
            <v>No</v>
          </cell>
        </row>
        <row r="1308">
          <cell r="M1308" t="str">
            <v>Round Cassette with Side ChannelsOutside Window MountSomfy CBUS Motor</v>
          </cell>
          <cell r="N1308">
            <v>10</v>
          </cell>
          <cell r="O1308">
            <v>14</v>
          </cell>
          <cell r="P1308">
            <v>14</v>
          </cell>
          <cell r="Q1308">
            <v>88</v>
          </cell>
          <cell r="R1308" t="str">
            <v>No</v>
          </cell>
          <cell r="S1308" t="str">
            <v>Yes</v>
          </cell>
          <cell r="T1308" t="str">
            <v>No</v>
          </cell>
        </row>
        <row r="1309">
          <cell r="M1309" t="str">
            <v>Aluminium ValanceOutside Window MountSomfy CBUS Motor</v>
          </cell>
          <cell r="N1309">
            <v>0</v>
          </cell>
          <cell r="O1309" t="str">
            <v>N/A</v>
          </cell>
          <cell r="P1309">
            <v>0</v>
          </cell>
          <cell r="Q1309" t="str">
            <v>N/A</v>
          </cell>
          <cell r="R1309" t="str">
            <v>No</v>
          </cell>
          <cell r="S1309" t="str">
            <v>No</v>
          </cell>
          <cell r="T1309" t="str">
            <v>Yes</v>
          </cell>
        </row>
        <row r="1310">
          <cell r="M1310" t="str">
            <v>Aluminium Valance - Fabric CoveredOutside Window MountSomfy CBUS Motor</v>
          </cell>
          <cell r="N1310">
            <v>0</v>
          </cell>
          <cell r="O1310" t="str">
            <v>N/A</v>
          </cell>
          <cell r="P1310">
            <v>0</v>
          </cell>
          <cell r="Q1310" t="str">
            <v>N/A</v>
          </cell>
          <cell r="R1310" t="str">
            <v>No</v>
          </cell>
          <cell r="S1310" t="str">
            <v>No</v>
          </cell>
          <cell r="T1310" t="str">
            <v>Yes</v>
          </cell>
        </row>
        <row r="1311">
          <cell r="M1311" t="str">
            <v>Side ChannelsOutside Window MountSomfy CBUS Motor</v>
          </cell>
          <cell r="N1311">
            <v>10</v>
          </cell>
          <cell r="O1311" t="str">
            <v>N/A</v>
          </cell>
          <cell r="P1311" t="str">
            <v>N/A</v>
          </cell>
          <cell r="Q1311">
            <v>60</v>
          </cell>
          <cell r="R1311" t="str">
            <v>N/A</v>
          </cell>
          <cell r="S1311" t="str">
            <v>No</v>
          </cell>
          <cell r="T1311" t="str">
            <v>N/A</v>
          </cell>
        </row>
        <row r="1312">
          <cell r="M1312" t="str">
            <v>Zipscreen HoodingOutside Window MountSomfy CBUS Motor</v>
          </cell>
          <cell r="N1312">
            <v>17</v>
          </cell>
          <cell r="O1312">
            <v>66</v>
          </cell>
          <cell r="P1312">
            <v>66</v>
          </cell>
          <cell r="Q1312" t="str">
            <v>N/A</v>
          </cell>
          <cell r="R1312" t="str">
            <v>N/A</v>
          </cell>
          <cell r="S1312" t="str">
            <v>No</v>
          </cell>
          <cell r="T1312" t="str">
            <v>N/A</v>
          </cell>
        </row>
        <row r="1313">
          <cell r="M1313" t="str">
            <v>NoneOutside Window MountAcmeda E6 Motor</v>
          </cell>
          <cell r="N1313">
            <v>0</v>
          </cell>
          <cell r="O1313" t="str">
            <v>N/A</v>
          </cell>
          <cell r="P1313" t="str">
            <v>N/A</v>
          </cell>
          <cell r="Q1313" t="str">
            <v>N/A</v>
          </cell>
          <cell r="R1313" t="str">
            <v>N/A</v>
          </cell>
          <cell r="S1313" t="str">
            <v>No</v>
          </cell>
          <cell r="T1313" t="str">
            <v>N/A</v>
          </cell>
        </row>
        <row r="1314">
          <cell r="M1314" t="str">
            <v>Straight Upholstered PelmetOutside Window MountAcmeda E6 Motor</v>
          </cell>
          <cell r="N1314">
            <v>0</v>
          </cell>
          <cell r="O1314" t="str">
            <v>N/A</v>
          </cell>
          <cell r="P1314" t="str">
            <v>N/A</v>
          </cell>
          <cell r="Q1314" t="str">
            <v>N/A</v>
          </cell>
          <cell r="R1314" t="str">
            <v>N/A</v>
          </cell>
          <cell r="S1314" t="str">
            <v>No</v>
          </cell>
          <cell r="T1314" t="str">
            <v>N/A</v>
          </cell>
        </row>
        <row r="1315">
          <cell r="M1315" t="str">
            <v>Shaped Upholstered PelmetOutside Window MountAcmeda E6 Motor</v>
          </cell>
          <cell r="N1315">
            <v>0</v>
          </cell>
          <cell r="O1315" t="str">
            <v>N/A</v>
          </cell>
          <cell r="P1315" t="str">
            <v>N/A</v>
          </cell>
          <cell r="Q1315" t="str">
            <v>N/A</v>
          </cell>
          <cell r="R1315" t="str">
            <v>N/A</v>
          </cell>
          <cell r="S1315" t="str">
            <v>No</v>
          </cell>
          <cell r="T1315" t="str">
            <v>N/A</v>
          </cell>
        </row>
        <row r="1316">
          <cell r="M1316" t="str">
            <v>Aluminium PelmetOutside Window MountAcmeda E6 Motor</v>
          </cell>
          <cell r="N1316">
            <v>0</v>
          </cell>
          <cell r="O1316">
            <v>0</v>
          </cell>
          <cell r="P1316" t="str">
            <v>N/A</v>
          </cell>
          <cell r="Q1316" t="str">
            <v>N/A</v>
          </cell>
          <cell r="R1316" t="str">
            <v>No</v>
          </cell>
          <cell r="S1316" t="str">
            <v>No</v>
          </cell>
          <cell r="T1316" t="str">
            <v>Yes</v>
          </cell>
        </row>
        <row r="1317">
          <cell r="M1317" t="str">
            <v>Square CassetteOutside Window MountAcmeda E6 Motor</v>
          </cell>
          <cell r="N1317">
            <v>10</v>
          </cell>
          <cell r="O1317">
            <v>14</v>
          </cell>
          <cell r="P1317">
            <v>14</v>
          </cell>
          <cell r="Q1317" t="str">
            <v>N/A</v>
          </cell>
          <cell r="R1317" t="str">
            <v>No</v>
          </cell>
          <cell r="S1317" t="str">
            <v>No</v>
          </cell>
          <cell r="T1317" t="str">
            <v>No</v>
          </cell>
        </row>
        <row r="1318">
          <cell r="M1318" t="str">
            <v>Square Cassette with Side ChannelsOutside Window MountAcmeda E6 Motor</v>
          </cell>
          <cell r="N1318">
            <v>10</v>
          </cell>
          <cell r="O1318">
            <v>14</v>
          </cell>
          <cell r="P1318">
            <v>14</v>
          </cell>
          <cell r="Q1318">
            <v>88</v>
          </cell>
          <cell r="R1318" t="str">
            <v>No</v>
          </cell>
          <cell r="S1318" t="str">
            <v>Yes</v>
          </cell>
          <cell r="T1318" t="str">
            <v>No</v>
          </cell>
        </row>
        <row r="1319">
          <cell r="M1319" t="str">
            <v>Round CassetteOutside Window MountAcmeda E6 Motor</v>
          </cell>
          <cell r="N1319">
            <v>10</v>
          </cell>
          <cell r="O1319">
            <v>14</v>
          </cell>
          <cell r="P1319">
            <v>14</v>
          </cell>
          <cell r="Q1319" t="str">
            <v>N/A</v>
          </cell>
          <cell r="R1319" t="str">
            <v>No</v>
          </cell>
          <cell r="S1319" t="str">
            <v>No</v>
          </cell>
          <cell r="T1319" t="str">
            <v>No</v>
          </cell>
        </row>
        <row r="1320">
          <cell r="M1320" t="str">
            <v>Round Cassette with Side ChannelsOutside Window MountAcmeda E6 Motor</v>
          </cell>
          <cell r="N1320">
            <v>10</v>
          </cell>
          <cell r="O1320">
            <v>14</v>
          </cell>
          <cell r="P1320">
            <v>14</v>
          </cell>
          <cell r="Q1320">
            <v>88</v>
          </cell>
          <cell r="R1320" t="str">
            <v>No</v>
          </cell>
          <cell r="S1320" t="str">
            <v>Yes</v>
          </cell>
          <cell r="T1320" t="str">
            <v>No</v>
          </cell>
        </row>
        <row r="1321">
          <cell r="M1321" t="str">
            <v>Aluminium ValanceOutside Window MountAcmeda E6 Motor</v>
          </cell>
          <cell r="N1321">
            <v>0</v>
          </cell>
          <cell r="O1321" t="str">
            <v>N/A</v>
          </cell>
          <cell r="P1321">
            <v>0</v>
          </cell>
          <cell r="Q1321" t="str">
            <v>N/A</v>
          </cell>
          <cell r="R1321" t="str">
            <v>No</v>
          </cell>
          <cell r="S1321" t="str">
            <v>No</v>
          </cell>
          <cell r="T1321" t="str">
            <v>Yes</v>
          </cell>
        </row>
        <row r="1322">
          <cell r="M1322" t="str">
            <v>Aluminium Valance - Fabric CoveredOutside Window MountAcmeda E6 Motor</v>
          </cell>
          <cell r="N1322">
            <v>0</v>
          </cell>
          <cell r="O1322" t="str">
            <v>N/A</v>
          </cell>
          <cell r="P1322">
            <v>0</v>
          </cell>
          <cell r="Q1322" t="str">
            <v>N/A</v>
          </cell>
          <cell r="R1322" t="str">
            <v>No</v>
          </cell>
          <cell r="S1322" t="str">
            <v>No</v>
          </cell>
          <cell r="T1322" t="str">
            <v>Yes</v>
          </cell>
        </row>
        <row r="1323">
          <cell r="M1323" t="str">
            <v>Side ChannelsOutside Window MountAcmeda E6 Motor</v>
          </cell>
          <cell r="N1323">
            <v>10</v>
          </cell>
          <cell r="O1323" t="str">
            <v>N/A</v>
          </cell>
          <cell r="P1323" t="str">
            <v>N/A</v>
          </cell>
          <cell r="Q1323">
            <v>60</v>
          </cell>
          <cell r="R1323" t="str">
            <v>N/A</v>
          </cell>
          <cell r="S1323" t="str">
            <v>No</v>
          </cell>
          <cell r="T1323" t="str">
            <v>N/A</v>
          </cell>
        </row>
        <row r="1324">
          <cell r="M1324" t="str">
            <v>Zipscreen HoodingOutside Window MountAcmeda E6 Motor</v>
          </cell>
          <cell r="N1324">
            <v>17</v>
          </cell>
          <cell r="O1324">
            <v>66</v>
          </cell>
          <cell r="P1324">
            <v>66</v>
          </cell>
          <cell r="Q1324" t="str">
            <v>N/A</v>
          </cell>
          <cell r="R1324" t="str">
            <v>N/A</v>
          </cell>
          <cell r="S1324" t="str">
            <v>No</v>
          </cell>
          <cell r="T1324" t="str">
            <v>N/A</v>
          </cell>
        </row>
        <row r="1325">
          <cell r="M1325" t="str">
            <v>NoneOutside Window MountAcmeda M6 Motor</v>
          </cell>
          <cell r="N1325">
            <v>0</v>
          </cell>
          <cell r="O1325" t="str">
            <v>N/A</v>
          </cell>
          <cell r="P1325" t="str">
            <v>N/A</v>
          </cell>
          <cell r="Q1325" t="str">
            <v>N/A</v>
          </cell>
          <cell r="R1325" t="str">
            <v>N/A</v>
          </cell>
          <cell r="S1325" t="str">
            <v>No</v>
          </cell>
          <cell r="T1325" t="str">
            <v>N/A</v>
          </cell>
        </row>
        <row r="1326">
          <cell r="M1326" t="str">
            <v>Straight Upholstered PelmetOutside Window MountAcmeda M6 Motor</v>
          </cell>
          <cell r="N1326">
            <v>0</v>
          </cell>
          <cell r="O1326" t="str">
            <v>N/A</v>
          </cell>
          <cell r="P1326" t="str">
            <v>N/A</v>
          </cell>
          <cell r="Q1326" t="str">
            <v>N/A</v>
          </cell>
          <cell r="R1326" t="str">
            <v>N/A</v>
          </cell>
          <cell r="S1326" t="str">
            <v>No</v>
          </cell>
          <cell r="T1326" t="str">
            <v>N/A</v>
          </cell>
        </row>
        <row r="1327">
          <cell r="M1327" t="str">
            <v>Shaped Upholstered PelmetOutside Window MountAcmeda M6 Motor</v>
          </cell>
          <cell r="N1327">
            <v>0</v>
          </cell>
          <cell r="O1327" t="str">
            <v>N/A</v>
          </cell>
          <cell r="P1327" t="str">
            <v>N/A</v>
          </cell>
          <cell r="Q1327" t="str">
            <v>N/A</v>
          </cell>
          <cell r="R1327" t="str">
            <v>N/A</v>
          </cell>
          <cell r="S1327" t="str">
            <v>No</v>
          </cell>
          <cell r="T1327" t="str">
            <v>N/A</v>
          </cell>
        </row>
        <row r="1328">
          <cell r="M1328" t="str">
            <v>Aluminium PelmetOutside Window MountAcmeda M6 Motor</v>
          </cell>
          <cell r="N1328">
            <v>0</v>
          </cell>
          <cell r="O1328">
            <v>0</v>
          </cell>
          <cell r="P1328" t="str">
            <v>N/A</v>
          </cell>
          <cell r="Q1328" t="str">
            <v>N/A</v>
          </cell>
          <cell r="R1328" t="str">
            <v>No</v>
          </cell>
          <cell r="S1328" t="str">
            <v>No</v>
          </cell>
          <cell r="T1328" t="str">
            <v>Yes</v>
          </cell>
        </row>
        <row r="1329">
          <cell r="M1329" t="str">
            <v>Square CassetteOutside Window MountAcmeda M6 Motor</v>
          </cell>
          <cell r="N1329">
            <v>10</v>
          </cell>
          <cell r="O1329">
            <v>14</v>
          </cell>
          <cell r="P1329">
            <v>14</v>
          </cell>
          <cell r="Q1329" t="str">
            <v>N/A</v>
          </cell>
          <cell r="R1329" t="str">
            <v>No</v>
          </cell>
          <cell r="S1329" t="str">
            <v>No</v>
          </cell>
          <cell r="T1329" t="str">
            <v>No</v>
          </cell>
        </row>
        <row r="1330">
          <cell r="M1330" t="str">
            <v>Square Cassette with Side ChannelsOutside Window MountAcmeda M6 Motor</v>
          </cell>
          <cell r="N1330">
            <v>10</v>
          </cell>
          <cell r="O1330">
            <v>14</v>
          </cell>
          <cell r="P1330">
            <v>14</v>
          </cell>
          <cell r="Q1330">
            <v>88</v>
          </cell>
          <cell r="R1330" t="str">
            <v>No</v>
          </cell>
          <cell r="S1330" t="str">
            <v>Yes</v>
          </cell>
          <cell r="T1330" t="str">
            <v>No</v>
          </cell>
        </row>
        <row r="1331">
          <cell r="M1331" t="str">
            <v>Round CassetteOutside Window MountAcmeda M6 Motor</v>
          </cell>
          <cell r="N1331">
            <v>10</v>
          </cell>
          <cell r="O1331">
            <v>14</v>
          </cell>
          <cell r="P1331">
            <v>14</v>
          </cell>
          <cell r="Q1331" t="str">
            <v>N/A</v>
          </cell>
          <cell r="R1331" t="str">
            <v>No</v>
          </cell>
          <cell r="S1331" t="str">
            <v>No</v>
          </cell>
          <cell r="T1331" t="str">
            <v>No</v>
          </cell>
        </row>
        <row r="1332">
          <cell r="M1332" t="str">
            <v>Round Cassette with Side ChannelsOutside Window MountAcmeda M6 Motor</v>
          </cell>
          <cell r="N1332">
            <v>10</v>
          </cell>
          <cell r="O1332">
            <v>14</v>
          </cell>
          <cell r="P1332">
            <v>14</v>
          </cell>
          <cell r="Q1332">
            <v>88</v>
          </cell>
          <cell r="R1332" t="str">
            <v>No</v>
          </cell>
          <cell r="S1332" t="str">
            <v>Yes</v>
          </cell>
          <cell r="T1332" t="str">
            <v>No</v>
          </cell>
        </row>
        <row r="1333">
          <cell r="M1333" t="str">
            <v>Aluminium ValanceOutside Window MountAcmeda M6 Motor</v>
          </cell>
          <cell r="N1333">
            <v>0</v>
          </cell>
          <cell r="O1333" t="str">
            <v>N/A</v>
          </cell>
          <cell r="P1333">
            <v>0</v>
          </cell>
          <cell r="Q1333" t="str">
            <v>N/A</v>
          </cell>
          <cell r="R1333" t="str">
            <v>No</v>
          </cell>
          <cell r="S1333" t="str">
            <v>No</v>
          </cell>
          <cell r="T1333" t="str">
            <v>Yes</v>
          </cell>
        </row>
        <row r="1334">
          <cell r="M1334" t="str">
            <v>Aluminium Valance - Fabric CoveredOutside Window MountAcmeda M6 Motor</v>
          </cell>
          <cell r="N1334">
            <v>0</v>
          </cell>
          <cell r="O1334" t="str">
            <v>N/A</v>
          </cell>
          <cell r="P1334">
            <v>0</v>
          </cell>
          <cell r="Q1334" t="str">
            <v>N/A</v>
          </cell>
          <cell r="R1334" t="str">
            <v>No</v>
          </cell>
          <cell r="S1334" t="str">
            <v>No</v>
          </cell>
          <cell r="T1334" t="str">
            <v>Yes</v>
          </cell>
        </row>
        <row r="1335">
          <cell r="M1335" t="str">
            <v>Side ChannelsOutside Window MountAcmeda M6 Motor</v>
          </cell>
          <cell r="N1335">
            <v>10</v>
          </cell>
          <cell r="O1335" t="str">
            <v>N/A</v>
          </cell>
          <cell r="P1335" t="str">
            <v>N/A</v>
          </cell>
          <cell r="Q1335">
            <v>60</v>
          </cell>
          <cell r="R1335" t="str">
            <v>N/A</v>
          </cell>
          <cell r="S1335" t="str">
            <v>No</v>
          </cell>
          <cell r="T1335" t="str">
            <v>N/A</v>
          </cell>
        </row>
        <row r="1336">
          <cell r="M1336" t="str">
            <v>Zipscreen HoodingOutside Window MountAcmeda M6 Motor</v>
          </cell>
          <cell r="N1336">
            <v>17</v>
          </cell>
          <cell r="O1336">
            <v>66</v>
          </cell>
          <cell r="P1336">
            <v>66</v>
          </cell>
          <cell r="Q1336" t="str">
            <v>N/A</v>
          </cell>
          <cell r="R1336" t="str">
            <v>N/A</v>
          </cell>
          <cell r="S1336" t="str">
            <v>No</v>
          </cell>
          <cell r="T1336" t="str">
            <v>N/A</v>
          </cell>
        </row>
        <row r="1337">
          <cell r="M1337" t="str">
            <v>NoneOutside Window MountUniline Remote Motor</v>
          </cell>
          <cell r="N1337">
            <v>0</v>
          </cell>
          <cell r="O1337" t="str">
            <v>N/A</v>
          </cell>
          <cell r="P1337" t="str">
            <v>N/A</v>
          </cell>
          <cell r="Q1337" t="str">
            <v>N/A</v>
          </cell>
          <cell r="R1337" t="str">
            <v>N/A</v>
          </cell>
          <cell r="S1337" t="str">
            <v>No</v>
          </cell>
          <cell r="T1337" t="str">
            <v>N/A</v>
          </cell>
        </row>
        <row r="1338">
          <cell r="M1338" t="str">
            <v>Straight Upholstered PelmetOutside Window MountUniline Remote Motor</v>
          </cell>
          <cell r="N1338">
            <v>0</v>
          </cell>
          <cell r="O1338" t="str">
            <v>N/A</v>
          </cell>
          <cell r="P1338" t="str">
            <v>N/A</v>
          </cell>
          <cell r="Q1338" t="str">
            <v>N/A</v>
          </cell>
          <cell r="R1338" t="str">
            <v>N/A</v>
          </cell>
          <cell r="S1338" t="str">
            <v>No</v>
          </cell>
          <cell r="T1338" t="str">
            <v>N/A</v>
          </cell>
        </row>
        <row r="1339">
          <cell r="M1339" t="str">
            <v>Shaped Upholstered PelmetOutside Window MountUniline Remote Motor</v>
          </cell>
          <cell r="N1339">
            <v>0</v>
          </cell>
          <cell r="O1339" t="str">
            <v>N/A</v>
          </cell>
          <cell r="P1339" t="str">
            <v>N/A</v>
          </cell>
          <cell r="Q1339" t="str">
            <v>N/A</v>
          </cell>
          <cell r="R1339" t="str">
            <v>N/A</v>
          </cell>
          <cell r="S1339" t="str">
            <v>No</v>
          </cell>
          <cell r="T1339" t="str">
            <v>N/A</v>
          </cell>
        </row>
        <row r="1340">
          <cell r="M1340" t="str">
            <v>Aluminium PelmetOutside Window MountUniline Remote Motor</v>
          </cell>
          <cell r="N1340">
            <v>0</v>
          </cell>
          <cell r="O1340">
            <v>0</v>
          </cell>
          <cell r="P1340" t="str">
            <v>N/A</v>
          </cell>
          <cell r="Q1340" t="str">
            <v>N/A</v>
          </cell>
          <cell r="R1340" t="str">
            <v>No</v>
          </cell>
          <cell r="S1340" t="str">
            <v>No</v>
          </cell>
          <cell r="T1340" t="str">
            <v>Yes</v>
          </cell>
        </row>
        <row r="1341">
          <cell r="M1341" t="str">
            <v>Square CassetteOutside Window MountUniline Remote Motor</v>
          </cell>
          <cell r="N1341">
            <v>10</v>
          </cell>
          <cell r="O1341">
            <v>14</v>
          </cell>
          <cell r="P1341">
            <v>14</v>
          </cell>
          <cell r="Q1341" t="str">
            <v>N/A</v>
          </cell>
          <cell r="R1341" t="str">
            <v>No</v>
          </cell>
          <cell r="S1341" t="str">
            <v>No</v>
          </cell>
          <cell r="T1341" t="str">
            <v>No</v>
          </cell>
        </row>
        <row r="1342">
          <cell r="M1342" t="str">
            <v>Square Cassette with Side ChannelsOutside Window MountUniline Remote Motor</v>
          </cell>
          <cell r="N1342">
            <v>10</v>
          </cell>
          <cell r="O1342">
            <v>14</v>
          </cell>
          <cell r="P1342">
            <v>14</v>
          </cell>
          <cell r="Q1342">
            <v>88</v>
          </cell>
          <cell r="R1342" t="str">
            <v>No</v>
          </cell>
          <cell r="S1342" t="str">
            <v>Yes</v>
          </cell>
          <cell r="T1342" t="str">
            <v>No</v>
          </cell>
        </row>
        <row r="1343">
          <cell r="M1343" t="str">
            <v>Round CassetteOutside Window MountUniline Remote Motor</v>
          </cell>
          <cell r="N1343">
            <v>10</v>
          </cell>
          <cell r="O1343">
            <v>14</v>
          </cell>
          <cell r="P1343">
            <v>14</v>
          </cell>
          <cell r="Q1343" t="str">
            <v>N/A</v>
          </cell>
          <cell r="R1343" t="str">
            <v>No</v>
          </cell>
          <cell r="S1343" t="str">
            <v>No</v>
          </cell>
          <cell r="T1343" t="str">
            <v>No</v>
          </cell>
        </row>
        <row r="1344">
          <cell r="M1344" t="str">
            <v>Round Cassette with Side ChannelsOutside Window MountUniline Remote Motor</v>
          </cell>
          <cell r="N1344">
            <v>10</v>
          </cell>
          <cell r="O1344">
            <v>14</v>
          </cell>
          <cell r="P1344">
            <v>14</v>
          </cell>
          <cell r="Q1344">
            <v>88</v>
          </cell>
          <cell r="R1344" t="str">
            <v>No</v>
          </cell>
          <cell r="S1344" t="str">
            <v>Yes</v>
          </cell>
          <cell r="T1344" t="str">
            <v>No</v>
          </cell>
        </row>
        <row r="1345">
          <cell r="M1345" t="str">
            <v>Aluminium ValanceOutside Window MountUniline Remote Motor</v>
          </cell>
          <cell r="N1345">
            <v>0</v>
          </cell>
          <cell r="O1345" t="str">
            <v>N/A</v>
          </cell>
          <cell r="P1345">
            <v>0</v>
          </cell>
          <cell r="Q1345" t="str">
            <v>N/A</v>
          </cell>
          <cell r="R1345" t="str">
            <v>No</v>
          </cell>
          <cell r="S1345" t="str">
            <v>No</v>
          </cell>
          <cell r="T1345" t="str">
            <v>Yes</v>
          </cell>
        </row>
        <row r="1346">
          <cell r="M1346" t="str">
            <v>Aluminium Valance - Fabric CoveredOutside Window MountUniline Remote Motor</v>
          </cell>
          <cell r="N1346">
            <v>0</v>
          </cell>
          <cell r="O1346" t="str">
            <v>N/A</v>
          </cell>
          <cell r="P1346">
            <v>0</v>
          </cell>
          <cell r="Q1346" t="str">
            <v>N/A</v>
          </cell>
          <cell r="R1346" t="str">
            <v>No</v>
          </cell>
          <cell r="S1346" t="str">
            <v>No</v>
          </cell>
          <cell r="T1346" t="str">
            <v>Yes</v>
          </cell>
        </row>
        <row r="1347">
          <cell r="M1347" t="str">
            <v>Side ChannelsOutside Window MountUniline Remote Motor</v>
          </cell>
          <cell r="N1347">
            <v>10</v>
          </cell>
          <cell r="O1347" t="str">
            <v>N/A</v>
          </cell>
          <cell r="P1347" t="str">
            <v>N/A</v>
          </cell>
          <cell r="Q1347">
            <v>60</v>
          </cell>
          <cell r="R1347" t="str">
            <v>N/A</v>
          </cell>
          <cell r="S1347" t="str">
            <v>No</v>
          </cell>
          <cell r="T1347" t="str">
            <v>N/A</v>
          </cell>
        </row>
        <row r="1348">
          <cell r="M1348" t="str">
            <v>Zipscreen HoodingOutside Window MountUniline Remote Motor</v>
          </cell>
          <cell r="N1348">
            <v>17</v>
          </cell>
          <cell r="O1348">
            <v>66</v>
          </cell>
          <cell r="P1348">
            <v>66</v>
          </cell>
          <cell r="Q1348" t="str">
            <v>N/A</v>
          </cell>
          <cell r="R1348" t="str">
            <v>N/A</v>
          </cell>
          <cell r="S1348" t="str">
            <v>No</v>
          </cell>
          <cell r="T1348" t="str">
            <v>N/A</v>
          </cell>
        </row>
        <row r="1349">
          <cell r="M1349" t="str">
            <v>NoneOutside Window MountUniline Cbus Motor</v>
          </cell>
          <cell r="N1349">
            <v>0</v>
          </cell>
          <cell r="O1349" t="str">
            <v>N/A</v>
          </cell>
          <cell r="P1349" t="str">
            <v>N/A</v>
          </cell>
          <cell r="Q1349" t="str">
            <v>N/A</v>
          </cell>
          <cell r="R1349" t="str">
            <v>N/A</v>
          </cell>
          <cell r="S1349" t="str">
            <v>No</v>
          </cell>
          <cell r="T1349" t="str">
            <v>N/A</v>
          </cell>
        </row>
        <row r="1350">
          <cell r="M1350" t="str">
            <v>Straight Upholstered PelmetOutside Window MountUniline Cbus Motor</v>
          </cell>
          <cell r="N1350">
            <v>0</v>
          </cell>
          <cell r="O1350" t="str">
            <v>N/A</v>
          </cell>
          <cell r="P1350" t="str">
            <v>N/A</v>
          </cell>
          <cell r="Q1350" t="str">
            <v>N/A</v>
          </cell>
          <cell r="R1350" t="str">
            <v>N/A</v>
          </cell>
          <cell r="S1350" t="str">
            <v>No</v>
          </cell>
          <cell r="T1350" t="str">
            <v>N/A</v>
          </cell>
        </row>
        <row r="1351">
          <cell r="M1351" t="str">
            <v>Shaped Upholstered PelmetOutside Window MountUniline Cbus Motor</v>
          </cell>
          <cell r="N1351">
            <v>0</v>
          </cell>
          <cell r="O1351" t="str">
            <v>N/A</v>
          </cell>
          <cell r="P1351" t="str">
            <v>N/A</v>
          </cell>
          <cell r="Q1351" t="str">
            <v>N/A</v>
          </cell>
          <cell r="R1351" t="str">
            <v>N/A</v>
          </cell>
          <cell r="S1351" t="str">
            <v>No</v>
          </cell>
          <cell r="T1351" t="str">
            <v>N/A</v>
          </cell>
        </row>
        <row r="1352">
          <cell r="M1352" t="str">
            <v>Aluminium PelmetOutside Window MountUniline Cbus Motor</v>
          </cell>
          <cell r="N1352">
            <v>0</v>
          </cell>
          <cell r="O1352">
            <v>0</v>
          </cell>
          <cell r="P1352" t="str">
            <v>N/A</v>
          </cell>
          <cell r="Q1352" t="str">
            <v>N/A</v>
          </cell>
          <cell r="R1352" t="str">
            <v>No</v>
          </cell>
          <cell r="S1352" t="str">
            <v>No</v>
          </cell>
          <cell r="T1352" t="str">
            <v>Yes</v>
          </cell>
        </row>
        <row r="1353">
          <cell r="M1353" t="str">
            <v>Square CassetteOutside Window MountUniline Cbus Motor</v>
          </cell>
          <cell r="N1353">
            <v>10</v>
          </cell>
          <cell r="O1353">
            <v>14</v>
          </cell>
          <cell r="P1353">
            <v>14</v>
          </cell>
          <cell r="Q1353" t="str">
            <v>N/A</v>
          </cell>
          <cell r="R1353" t="str">
            <v>No</v>
          </cell>
          <cell r="S1353" t="str">
            <v>No</v>
          </cell>
          <cell r="T1353" t="str">
            <v>No</v>
          </cell>
        </row>
        <row r="1354">
          <cell r="M1354" t="str">
            <v>Square Cassette with Side ChannelsOutside Window MountUniline Cbus Motor</v>
          </cell>
          <cell r="N1354">
            <v>10</v>
          </cell>
          <cell r="O1354">
            <v>14</v>
          </cell>
          <cell r="P1354">
            <v>14</v>
          </cell>
          <cell r="Q1354">
            <v>88</v>
          </cell>
          <cell r="R1354" t="str">
            <v>No</v>
          </cell>
          <cell r="S1354" t="str">
            <v>Yes</v>
          </cell>
          <cell r="T1354" t="str">
            <v>No</v>
          </cell>
        </row>
        <row r="1355">
          <cell r="M1355" t="str">
            <v>Round CassetteOutside Window MountUniline Cbus Motor</v>
          </cell>
          <cell r="N1355">
            <v>10</v>
          </cell>
          <cell r="O1355">
            <v>14</v>
          </cell>
          <cell r="P1355">
            <v>14</v>
          </cell>
          <cell r="Q1355" t="str">
            <v>N/A</v>
          </cell>
          <cell r="R1355" t="str">
            <v>No</v>
          </cell>
          <cell r="S1355" t="str">
            <v>No</v>
          </cell>
          <cell r="T1355" t="str">
            <v>No</v>
          </cell>
        </row>
        <row r="1356">
          <cell r="M1356" t="str">
            <v>Round Cassette with Side ChannelsOutside Window MountUniline Cbus Motor</v>
          </cell>
          <cell r="N1356">
            <v>10</v>
          </cell>
          <cell r="O1356">
            <v>14</v>
          </cell>
          <cell r="P1356">
            <v>14</v>
          </cell>
          <cell r="Q1356">
            <v>88</v>
          </cell>
          <cell r="R1356" t="str">
            <v>No</v>
          </cell>
          <cell r="S1356" t="str">
            <v>Yes</v>
          </cell>
          <cell r="T1356" t="str">
            <v>No</v>
          </cell>
        </row>
        <row r="1357">
          <cell r="M1357" t="str">
            <v>Aluminium ValanceOutside Window MountUniline Cbus Motor</v>
          </cell>
          <cell r="N1357">
            <v>0</v>
          </cell>
          <cell r="O1357" t="str">
            <v>N/A</v>
          </cell>
          <cell r="P1357">
            <v>0</v>
          </cell>
          <cell r="Q1357" t="str">
            <v>N/A</v>
          </cell>
          <cell r="R1357" t="str">
            <v>No</v>
          </cell>
          <cell r="S1357" t="str">
            <v>No</v>
          </cell>
          <cell r="T1357" t="str">
            <v>Yes</v>
          </cell>
        </row>
        <row r="1358">
          <cell r="M1358" t="str">
            <v>Aluminium Valance - Fabric CoveredOutside Window MountUniline Cbus Motor</v>
          </cell>
          <cell r="N1358">
            <v>0</v>
          </cell>
          <cell r="O1358" t="str">
            <v>N/A</v>
          </cell>
          <cell r="P1358">
            <v>0</v>
          </cell>
          <cell r="Q1358" t="str">
            <v>N/A</v>
          </cell>
          <cell r="R1358" t="str">
            <v>No</v>
          </cell>
          <cell r="S1358" t="str">
            <v>No</v>
          </cell>
          <cell r="T1358" t="str">
            <v>Yes</v>
          </cell>
        </row>
        <row r="1359">
          <cell r="M1359" t="str">
            <v>Side ChannelsOutside Window MountUniline Cbus Motor</v>
          </cell>
          <cell r="N1359">
            <v>10</v>
          </cell>
          <cell r="O1359" t="str">
            <v>N/A</v>
          </cell>
          <cell r="P1359" t="str">
            <v>N/A</v>
          </cell>
          <cell r="Q1359">
            <v>60</v>
          </cell>
          <cell r="R1359" t="str">
            <v>N/A</v>
          </cell>
          <cell r="S1359" t="str">
            <v>No</v>
          </cell>
          <cell r="T1359" t="str">
            <v>N/A</v>
          </cell>
        </row>
        <row r="1360">
          <cell r="M1360" t="str">
            <v>Zipscreen HoodingOutside Window MountUniline Cbus Motor</v>
          </cell>
          <cell r="N1360">
            <v>17</v>
          </cell>
          <cell r="O1360">
            <v>66</v>
          </cell>
          <cell r="P1360">
            <v>66</v>
          </cell>
          <cell r="Q1360" t="str">
            <v>N/A</v>
          </cell>
          <cell r="R1360" t="str">
            <v>N/A</v>
          </cell>
          <cell r="S1360" t="str">
            <v>No</v>
          </cell>
          <cell r="T1360" t="str">
            <v>N/A</v>
          </cell>
        </row>
        <row r="1361">
          <cell r="M1361" t="str">
            <v>NoneOutside Window MountNice Remote Motor</v>
          </cell>
          <cell r="N1361">
            <v>0</v>
          </cell>
          <cell r="O1361" t="str">
            <v>N/A</v>
          </cell>
          <cell r="P1361" t="str">
            <v>N/A</v>
          </cell>
          <cell r="Q1361" t="str">
            <v>N/A</v>
          </cell>
          <cell r="R1361" t="str">
            <v>N/A</v>
          </cell>
          <cell r="S1361" t="str">
            <v>No</v>
          </cell>
          <cell r="T1361" t="str">
            <v>N/A</v>
          </cell>
        </row>
        <row r="1362">
          <cell r="M1362" t="str">
            <v>Straight Upholstered PelmetOutside Window MountNice Remote Motor</v>
          </cell>
          <cell r="N1362">
            <v>0</v>
          </cell>
          <cell r="O1362" t="str">
            <v>N/A</v>
          </cell>
          <cell r="P1362" t="str">
            <v>N/A</v>
          </cell>
          <cell r="Q1362" t="str">
            <v>N/A</v>
          </cell>
          <cell r="R1362" t="str">
            <v>N/A</v>
          </cell>
          <cell r="S1362" t="str">
            <v>No</v>
          </cell>
          <cell r="T1362" t="str">
            <v>N/A</v>
          </cell>
        </row>
        <row r="1363">
          <cell r="M1363" t="str">
            <v>Shaped Upholstered PelmetOutside Window MountNice Remote Motor</v>
          </cell>
          <cell r="N1363">
            <v>0</v>
          </cell>
          <cell r="O1363" t="str">
            <v>N/A</v>
          </cell>
          <cell r="P1363" t="str">
            <v>N/A</v>
          </cell>
          <cell r="Q1363" t="str">
            <v>N/A</v>
          </cell>
          <cell r="R1363" t="str">
            <v>N/A</v>
          </cell>
          <cell r="S1363" t="str">
            <v>No</v>
          </cell>
          <cell r="T1363" t="str">
            <v>N/A</v>
          </cell>
        </row>
        <row r="1364">
          <cell r="M1364" t="str">
            <v>Aluminium PelmetOutside Window MountNice Remote Motor</v>
          </cell>
          <cell r="N1364">
            <v>0</v>
          </cell>
          <cell r="O1364">
            <v>0</v>
          </cell>
          <cell r="P1364" t="str">
            <v>N/A</v>
          </cell>
          <cell r="Q1364" t="str">
            <v>N/A</v>
          </cell>
          <cell r="R1364" t="str">
            <v>No</v>
          </cell>
          <cell r="S1364" t="str">
            <v>No</v>
          </cell>
          <cell r="T1364" t="str">
            <v>Yes</v>
          </cell>
        </row>
        <row r="1365">
          <cell r="M1365" t="str">
            <v>Square CassetteOutside Window MountNice Remote Motor</v>
          </cell>
          <cell r="N1365">
            <v>10</v>
          </cell>
          <cell r="O1365">
            <v>14</v>
          </cell>
          <cell r="P1365">
            <v>14</v>
          </cell>
          <cell r="Q1365" t="str">
            <v>N/A</v>
          </cell>
          <cell r="R1365" t="str">
            <v>No</v>
          </cell>
          <cell r="S1365" t="str">
            <v>No</v>
          </cell>
          <cell r="T1365" t="str">
            <v>No</v>
          </cell>
        </row>
        <row r="1366">
          <cell r="M1366" t="str">
            <v>Square Cassette with Side ChannelsOutside Window MountNice Remote Motor</v>
          </cell>
          <cell r="N1366">
            <v>10</v>
          </cell>
          <cell r="O1366">
            <v>14</v>
          </cell>
          <cell r="P1366">
            <v>14</v>
          </cell>
          <cell r="Q1366">
            <v>88</v>
          </cell>
          <cell r="R1366" t="str">
            <v>No</v>
          </cell>
          <cell r="S1366" t="str">
            <v>Yes</v>
          </cell>
          <cell r="T1366" t="str">
            <v>No</v>
          </cell>
        </row>
        <row r="1367">
          <cell r="M1367" t="str">
            <v>Round CassetteOutside Window MountNice Remote Motor</v>
          </cell>
          <cell r="N1367">
            <v>10</v>
          </cell>
          <cell r="O1367">
            <v>14</v>
          </cell>
          <cell r="P1367">
            <v>14</v>
          </cell>
          <cell r="Q1367" t="str">
            <v>N/A</v>
          </cell>
          <cell r="R1367" t="str">
            <v>No</v>
          </cell>
          <cell r="S1367" t="str">
            <v>No</v>
          </cell>
          <cell r="T1367" t="str">
            <v>No</v>
          </cell>
        </row>
        <row r="1368">
          <cell r="M1368" t="str">
            <v>Round Cassette with Side ChannelsOutside Window MountNice Remote Motor</v>
          </cell>
          <cell r="N1368">
            <v>10</v>
          </cell>
          <cell r="O1368">
            <v>14</v>
          </cell>
          <cell r="P1368">
            <v>14</v>
          </cell>
          <cell r="Q1368">
            <v>88</v>
          </cell>
          <cell r="R1368" t="str">
            <v>No</v>
          </cell>
          <cell r="S1368" t="str">
            <v>Yes</v>
          </cell>
          <cell r="T1368" t="str">
            <v>No</v>
          </cell>
        </row>
        <row r="1369">
          <cell r="M1369" t="str">
            <v>Aluminium ValanceOutside Window MountNice Remote Motor</v>
          </cell>
          <cell r="N1369">
            <v>0</v>
          </cell>
          <cell r="O1369" t="str">
            <v>N/A</v>
          </cell>
          <cell r="P1369">
            <v>0</v>
          </cell>
          <cell r="Q1369" t="str">
            <v>N/A</v>
          </cell>
          <cell r="R1369" t="str">
            <v>No</v>
          </cell>
          <cell r="S1369" t="str">
            <v>No</v>
          </cell>
          <cell r="T1369" t="str">
            <v>Yes</v>
          </cell>
        </row>
        <row r="1370">
          <cell r="M1370" t="str">
            <v>Aluminium Valance - Fabric CoveredOutside Window MountNice Remote Motor</v>
          </cell>
          <cell r="N1370">
            <v>0</v>
          </cell>
          <cell r="O1370" t="str">
            <v>N/A</v>
          </cell>
          <cell r="P1370">
            <v>0</v>
          </cell>
          <cell r="Q1370" t="str">
            <v>N/A</v>
          </cell>
          <cell r="R1370" t="str">
            <v>No</v>
          </cell>
          <cell r="S1370" t="str">
            <v>No</v>
          </cell>
          <cell r="T1370" t="str">
            <v>Yes</v>
          </cell>
        </row>
        <row r="1371">
          <cell r="M1371" t="str">
            <v>Side ChannelsOutside Window MountNice Remote Motor</v>
          </cell>
          <cell r="N1371">
            <v>10</v>
          </cell>
          <cell r="O1371" t="str">
            <v>N/A</v>
          </cell>
          <cell r="P1371" t="str">
            <v>N/A</v>
          </cell>
          <cell r="Q1371">
            <v>60</v>
          </cell>
          <cell r="R1371" t="str">
            <v>N/A</v>
          </cell>
          <cell r="S1371" t="str">
            <v>No</v>
          </cell>
          <cell r="T1371" t="str">
            <v>N/A</v>
          </cell>
        </row>
        <row r="1372">
          <cell r="M1372" t="str">
            <v>Zipscreen HoodingOutside Window MountNice Remote Motor</v>
          </cell>
          <cell r="N1372">
            <v>17</v>
          </cell>
          <cell r="O1372">
            <v>66</v>
          </cell>
          <cell r="P1372">
            <v>66</v>
          </cell>
          <cell r="Q1372" t="str">
            <v>N/A</v>
          </cell>
          <cell r="R1372" t="str">
            <v>N/A</v>
          </cell>
          <cell r="S1372" t="str">
            <v>No</v>
          </cell>
          <cell r="T1372" t="str">
            <v>N/A</v>
          </cell>
        </row>
        <row r="1373">
          <cell r="M1373" t="str">
            <v>NoneOutside Window MountNice CBus Motor</v>
          </cell>
          <cell r="N1373">
            <v>0</v>
          </cell>
          <cell r="O1373" t="str">
            <v>N/A</v>
          </cell>
          <cell r="P1373" t="str">
            <v>N/A</v>
          </cell>
          <cell r="Q1373" t="str">
            <v>N/A</v>
          </cell>
          <cell r="R1373" t="str">
            <v>N/A</v>
          </cell>
          <cell r="S1373" t="str">
            <v>No</v>
          </cell>
          <cell r="T1373" t="str">
            <v>N/A</v>
          </cell>
        </row>
        <row r="1374">
          <cell r="M1374" t="str">
            <v>Straight Upholstered PelmetOutside Window MountNice CBus Motor</v>
          </cell>
          <cell r="N1374">
            <v>0</v>
          </cell>
          <cell r="O1374" t="str">
            <v>N/A</v>
          </cell>
          <cell r="P1374" t="str">
            <v>N/A</v>
          </cell>
          <cell r="Q1374" t="str">
            <v>N/A</v>
          </cell>
          <cell r="R1374" t="str">
            <v>N/A</v>
          </cell>
          <cell r="S1374" t="str">
            <v>No</v>
          </cell>
          <cell r="T1374" t="str">
            <v>N/A</v>
          </cell>
        </row>
        <row r="1375">
          <cell r="M1375" t="str">
            <v>Shaped Upholstered PelmetOutside Window MountNice CBus Motor</v>
          </cell>
          <cell r="N1375">
            <v>0</v>
          </cell>
          <cell r="O1375" t="str">
            <v>N/A</v>
          </cell>
          <cell r="P1375" t="str">
            <v>N/A</v>
          </cell>
          <cell r="Q1375" t="str">
            <v>N/A</v>
          </cell>
          <cell r="R1375" t="str">
            <v>N/A</v>
          </cell>
          <cell r="S1375" t="str">
            <v>No</v>
          </cell>
          <cell r="T1375" t="str">
            <v>N/A</v>
          </cell>
        </row>
        <row r="1376">
          <cell r="M1376" t="str">
            <v>Aluminium PelmetOutside Window MountNice CBus Motor</v>
          </cell>
          <cell r="N1376">
            <v>0</v>
          </cell>
          <cell r="O1376">
            <v>0</v>
          </cell>
          <cell r="P1376" t="str">
            <v>N/A</v>
          </cell>
          <cell r="Q1376" t="str">
            <v>N/A</v>
          </cell>
          <cell r="R1376" t="str">
            <v>No</v>
          </cell>
          <cell r="S1376" t="str">
            <v>No</v>
          </cell>
          <cell r="T1376" t="str">
            <v>Yes</v>
          </cell>
        </row>
        <row r="1377">
          <cell r="M1377" t="str">
            <v>Square CassetteOutside Window MountNice CBus Motor</v>
          </cell>
          <cell r="N1377">
            <v>10</v>
          </cell>
          <cell r="O1377">
            <v>14</v>
          </cell>
          <cell r="P1377">
            <v>14</v>
          </cell>
          <cell r="Q1377" t="str">
            <v>N/A</v>
          </cell>
          <cell r="R1377" t="str">
            <v>No</v>
          </cell>
          <cell r="S1377" t="str">
            <v>No</v>
          </cell>
          <cell r="T1377" t="str">
            <v>No</v>
          </cell>
        </row>
        <row r="1378">
          <cell r="M1378" t="str">
            <v>Square Cassette with Side ChannelsOutside Window MountNice CBus Motor</v>
          </cell>
          <cell r="N1378">
            <v>10</v>
          </cell>
          <cell r="O1378">
            <v>14</v>
          </cell>
          <cell r="P1378">
            <v>14</v>
          </cell>
          <cell r="Q1378">
            <v>88</v>
          </cell>
          <cell r="R1378" t="str">
            <v>No</v>
          </cell>
          <cell r="S1378" t="str">
            <v>Yes</v>
          </cell>
          <cell r="T1378" t="str">
            <v>No</v>
          </cell>
        </row>
        <row r="1379">
          <cell r="M1379" t="str">
            <v>Round CassetteOutside Window MountNice CBus Motor</v>
          </cell>
          <cell r="N1379">
            <v>10</v>
          </cell>
          <cell r="O1379">
            <v>14</v>
          </cell>
          <cell r="P1379">
            <v>14</v>
          </cell>
          <cell r="Q1379" t="str">
            <v>N/A</v>
          </cell>
          <cell r="R1379" t="str">
            <v>No</v>
          </cell>
          <cell r="S1379" t="str">
            <v>No</v>
          </cell>
          <cell r="T1379" t="str">
            <v>No</v>
          </cell>
        </row>
        <row r="1380">
          <cell r="M1380" t="str">
            <v>Round Cassette with Side ChannelsOutside Window MountNice CBus Motor</v>
          </cell>
          <cell r="N1380">
            <v>10</v>
          </cell>
          <cell r="O1380">
            <v>14</v>
          </cell>
          <cell r="P1380">
            <v>14</v>
          </cell>
          <cell r="Q1380">
            <v>88</v>
          </cell>
          <cell r="R1380" t="str">
            <v>No</v>
          </cell>
          <cell r="S1380" t="str">
            <v>Yes</v>
          </cell>
          <cell r="T1380" t="str">
            <v>No</v>
          </cell>
        </row>
        <row r="1381">
          <cell r="M1381" t="str">
            <v>Aluminium ValanceOutside Window MountNice CBus Motor</v>
          </cell>
          <cell r="N1381">
            <v>0</v>
          </cell>
          <cell r="O1381" t="str">
            <v>N/A</v>
          </cell>
          <cell r="P1381">
            <v>0</v>
          </cell>
          <cell r="Q1381" t="str">
            <v>N/A</v>
          </cell>
          <cell r="R1381" t="str">
            <v>No</v>
          </cell>
          <cell r="S1381" t="str">
            <v>No</v>
          </cell>
          <cell r="T1381" t="str">
            <v>Yes</v>
          </cell>
        </row>
        <row r="1382">
          <cell r="M1382" t="str">
            <v>Aluminium Valance - Fabric CoveredOutside Window MountNice CBus Motor</v>
          </cell>
          <cell r="N1382">
            <v>0</v>
          </cell>
          <cell r="O1382" t="str">
            <v>N/A</v>
          </cell>
          <cell r="P1382">
            <v>0</v>
          </cell>
          <cell r="Q1382" t="str">
            <v>N/A</v>
          </cell>
          <cell r="R1382" t="str">
            <v>No</v>
          </cell>
          <cell r="S1382" t="str">
            <v>No</v>
          </cell>
          <cell r="T1382" t="str">
            <v>Yes</v>
          </cell>
        </row>
        <row r="1383">
          <cell r="M1383" t="str">
            <v>Side ChannelsOutside Window MountNice CBus Motor</v>
          </cell>
          <cell r="N1383">
            <v>10</v>
          </cell>
          <cell r="O1383" t="str">
            <v>N/A</v>
          </cell>
          <cell r="P1383" t="str">
            <v>N/A</v>
          </cell>
          <cell r="Q1383">
            <v>60</v>
          </cell>
          <cell r="R1383" t="str">
            <v>N/A</v>
          </cell>
          <cell r="S1383" t="str">
            <v>No</v>
          </cell>
          <cell r="T1383" t="str">
            <v>N/A</v>
          </cell>
        </row>
        <row r="1384">
          <cell r="M1384" t="str">
            <v>Zipscreen HoodingOutside Window MountNice CBus Motor</v>
          </cell>
          <cell r="N1384">
            <v>17</v>
          </cell>
          <cell r="O1384">
            <v>66</v>
          </cell>
          <cell r="P1384">
            <v>66</v>
          </cell>
          <cell r="Q1384" t="str">
            <v>N/A</v>
          </cell>
          <cell r="R1384" t="str">
            <v>N/A</v>
          </cell>
          <cell r="S1384" t="str">
            <v>No</v>
          </cell>
          <cell r="T1384" t="str">
            <v>N/A</v>
          </cell>
        </row>
        <row r="1385">
          <cell r="M1385" t="str">
            <v>NoneOutside Window MountSunboss Chain Winder 38mm Tube</v>
          </cell>
          <cell r="N1385">
            <v>0</v>
          </cell>
          <cell r="O1385" t="str">
            <v>N/A</v>
          </cell>
          <cell r="P1385" t="str">
            <v>N/A</v>
          </cell>
          <cell r="Q1385" t="str">
            <v>N/A</v>
          </cell>
          <cell r="R1385" t="str">
            <v>N/A</v>
          </cell>
          <cell r="S1385" t="str">
            <v>No</v>
          </cell>
          <cell r="T1385" t="str">
            <v>N/A</v>
          </cell>
        </row>
        <row r="1386">
          <cell r="M1386" t="str">
            <v>Straight Upholstered PelmetOutside Window MountSunboss Chain Winder 38mm Tube</v>
          </cell>
          <cell r="N1386">
            <v>0</v>
          </cell>
          <cell r="O1386" t="str">
            <v>N/A</v>
          </cell>
          <cell r="P1386" t="str">
            <v>N/A</v>
          </cell>
          <cell r="Q1386" t="str">
            <v>N/A</v>
          </cell>
          <cell r="R1386" t="str">
            <v>N/A</v>
          </cell>
          <cell r="S1386" t="str">
            <v>No</v>
          </cell>
          <cell r="T1386" t="str">
            <v>N/A</v>
          </cell>
        </row>
        <row r="1387">
          <cell r="M1387" t="str">
            <v>Shaped Upholstered PelmetOutside Window MountSunboss Chain Winder 38mm Tube</v>
          </cell>
          <cell r="N1387">
            <v>0</v>
          </cell>
          <cell r="O1387" t="str">
            <v>N/A</v>
          </cell>
          <cell r="P1387" t="str">
            <v>N/A</v>
          </cell>
          <cell r="Q1387" t="str">
            <v>N/A</v>
          </cell>
          <cell r="R1387" t="str">
            <v>N/A</v>
          </cell>
          <cell r="S1387" t="str">
            <v>No</v>
          </cell>
          <cell r="T1387" t="str">
            <v>N/A</v>
          </cell>
        </row>
        <row r="1388">
          <cell r="M1388" t="str">
            <v>Aluminium PelmetOutside Window MountSunboss Chain Winder 38mm Tube</v>
          </cell>
          <cell r="N1388">
            <v>0</v>
          </cell>
          <cell r="O1388">
            <v>0</v>
          </cell>
          <cell r="P1388" t="str">
            <v>N/A</v>
          </cell>
          <cell r="Q1388" t="str">
            <v>N/A</v>
          </cell>
          <cell r="R1388" t="str">
            <v>No</v>
          </cell>
          <cell r="S1388" t="str">
            <v>No</v>
          </cell>
          <cell r="T1388" t="str">
            <v>Yes</v>
          </cell>
        </row>
        <row r="1389">
          <cell r="M1389" t="str">
            <v>Square CassetteOutside Window MountSunboss Chain Winder 38mm Tube</v>
          </cell>
          <cell r="N1389">
            <v>10</v>
          </cell>
          <cell r="O1389">
            <v>14</v>
          </cell>
          <cell r="P1389">
            <v>14</v>
          </cell>
          <cell r="Q1389" t="str">
            <v>N/A</v>
          </cell>
          <cell r="R1389" t="str">
            <v>No</v>
          </cell>
          <cell r="S1389" t="str">
            <v>No</v>
          </cell>
          <cell r="T1389" t="str">
            <v>No</v>
          </cell>
        </row>
        <row r="1390">
          <cell r="M1390" t="str">
            <v>Square Cassette with Side ChannelsOutside Window MountSunboss Chain Winder 38mm Tube</v>
          </cell>
          <cell r="N1390">
            <v>10</v>
          </cell>
          <cell r="O1390">
            <v>14</v>
          </cell>
          <cell r="P1390">
            <v>14</v>
          </cell>
          <cell r="Q1390">
            <v>88</v>
          </cell>
          <cell r="R1390" t="str">
            <v>No</v>
          </cell>
          <cell r="S1390" t="str">
            <v>Yes</v>
          </cell>
          <cell r="T1390" t="str">
            <v>No</v>
          </cell>
        </row>
        <row r="1391">
          <cell r="M1391" t="str">
            <v>Round CassetteOutside Window MountSunboss Chain Winder 38mm Tube</v>
          </cell>
          <cell r="N1391">
            <v>10</v>
          </cell>
          <cell r="O1391">
            <v>14</v>
          </cell>
          <cell r="P1391">
            <v>14</v>
          </cell>
          <cell r="Q1391" t="str">
            <v>N/A</v>
          </cell>
          <cell r="R1391" t="str">
            <v>No</v>
          </cell>
          <cell r="S1391" t="str">
            <v>No</v>
          </cell>
          <cell r="T1391" t="str">
            <v>No</v>
          </cell>
        </row>
        <row r="1392">
          <cell r="M1392" t="str">
            <v>Round Cassette with Side ChannelsOutside Window MountSunboss Chain Winder 38mm Tube</v>
          </cell>
          <cell r="N1392">
            <v>10</v>
          </cell>
          <cell r="O1392">
            <v>14</v>
          </cell>
          <cell r="P1392">
            <v>14</v>
          </cell>
          <cell r="Q1392">
            <v>88</v>
          </cell>
          <cell r="R1392" t="str">
            <v>No</v>
          </cell>
          <cell r="S1392" t="str">
            <v>Yes</v>
          </cell>
          <cell r="T1392" t="str">
            <v>No</v>
          </cell>
        </row>
        <row r="1393">
          <cell r="M1393" t="str">
            <v>Aluminium ValanceOutside Window MountSunboss Chain Winder 38mm Tube</v>
          </cell>
          <cell r="N1393">
            <v>0</v>
          </cell>
          <cell r="O1393" t="str">
            <v>N/A</v>
          </cell>
          <cell r="P1393">
            <v>0</v>
          </cell>
          <cell r="Q1393" t="str">
            <v>N/A</v>
          </cell>
          <cell r="R1393" t="str">
            <v>No</v>
          </cell>
          <cell r="S1393" t="str">
            <v>No</v>
          </cell>
          <cell r="T1393" t="str">
            <v>Yes</v>
          </cell>
        </row>
        <row r="1394">
          <cell r="M1394" t="str">
            <v>Aluminium Valance - Fabric CoveredOutside Window MountSunboss Chain Winder 38mm Tube</v>
          </cell>
          <cell r="N1394">
            <v>0</v>
          </cell>
          <cell r="O1394" t="str">
            <v>N/A</v>
          </cell>
          <cell r="P1394">
            <v>0</v>
          </cell>
          <cell r="Q1394" t="str">
            <v>N/A</v>
          </cell>
          <cell r="R1394" t="str">
            <v>No</v>
          </cell>
          <cell r="S1394" t="str">
            <v>No</v>
          </cell>
          <cell r="T1394" t="str">
            <v>Yes</v>
          </cell>
        </row>
        <row r="1395">
          <cell r="M1395" t="str">
            <v>Side ChannelsOutside Window MountSunboss Chain Winder 38mm Tube</v>
          </cell>
          <cell r="N1395">
            <v>10</v>
          </cell>
          <cell r="O1395" t="str">
            <v>N/A</v>
          </cell>
          <cell r="P1395" t="str">
            <v>N/A</v>
          </cell>
          <cell r="Q1395">
            <v>60</v>
          </cell>
          <cell r="R1395" t="str">
            <v>N/A</v>
          </cell>
          <cell r="S1395" t="str">
            <v>No</v>
          </cell>
          <cell r="T1395" t="str">
            <v>N/A</v>
          </cell>
        </row>
        <row r="1396">
          <cell r="M1396" t="str">
            <v>Zipscreen HoodingOutside Window MountSunboss Chain Winder 38mm Tube</v>
          </cell>
          <cell r="N1396">
            <v>17</v>
          </cell>
          <cell r="O1396">
            <v>66</v>
          </cell>
          <cell r="P1396">
            <v>66</v>
          </cell>
          <cell r="Q1396" t="str">
            <v>N/A</v>
          </cell>
          <cell r="R1396" t="str">
            <v>N/A</v>
          </cell>
          <cell r="S1396" t="str">
            <v>No</v>
          </cell>
          <cell r="T1396" t="str">
            <v>N/A</v>
          </cell>
        </row>
        <row r="1397">
          <cell r="M1397" t="str">
            <v>NoneOutside Window MountSunboss Chain Winder 43mm Tube</v>
          </cell>
          <cell r="N1397">
            <v>0</v>
          </cell>
          <cell r="O1397" t="str">
            <v>N/A</v>
          </cell>
          <cell r="P1397" t="str">
            <v>N/A</v>
          </cell>
          <cell r="Q1397" t="str">
            <v>N/A</v>
          </cell>
          <cell r="R1397" t="str">
            <v>N/A</v>
          </cell>
          <cell r="S1397" t="str">
            <v>No</v>
          </cell>
          <cell r="T1397" t="str">
            <v>N/A</v>
          </cell>
        </row>
        <row r="1398">
          <cell r="M1398" t="str">
            <v>Straight Upholstered PelmetOutside Window MountSunboss Chain Winder 43mm Tube</v>
          </cell>
          <cell r="N1398">
            <v>0</v>
          </cell>
          <cell r="O1398" t="str">
            <v>N/A</v>
          </cell>
          <cell r="P1398" t="str">
            <v>N/A</v>
          </cell>
          <cell r="Q1398" t="str">
            <v>N/A</v>
          </cell>
          <cell r="R1398" t="str">
            <v>N/A</v>
          </cell>
          <cell r="S1398" t="str">
            <v>No</v>
          </cell>
          <cell r="T1398" t="str">
            <v>N/A</v>
          </cell>
        </row>
        <row r="1399">
          <cell r="M1399" t="str">
            <v>Shaped Upholstered PelmetOutside Window MountSunboss Chain Winder 43mm Tube</v>
          </cell>
          <cell r="N1399">
            <v>0</v>
          </cell>
          <cell r="O1399" t="str">
            <v>N/A</v>
          </cell>
          <cell r="P1399" t="str">
            <v>N/A</v>
          </cell>
          <cell r="Q1399" t="str">
            <v>N/A</v>
          </cell>
          <cell r="R1399" t="str">
            <v>N/A</v>
          </cell>
          <cell r="S1399" t="str">
            <v>No</v>
          </cell>
          <cell r="T1399" t="str">
            <v>N/A</v>
          </cell>
        </row>
        <row r="1400">
          <cell r="M1400" t="str">
            <v>Aluminium PelmetOutside Window MountSunboss Chain Winder 43mm Tube</v>
          </cell>
          <cell r="N1400">
            <v>0</v>
          </cell>
          <cell r="O1400">
            <v>0</v>
          </cell>
          <cell r="P1400" t="str">
            <v>N/A</v>
          </cell>
          <cell r="Q1400" t="str">
            <v>N/A</v>
          </cell>
          <cell r="R1400" t="str">
            <v>No</v>
          </cell>
          <cell r="S1400" t="str">
            <v>No</v>
          </cell>
          <cell r="T1400" t="str">
            <v>Yes</v>
          </cell>
        </row>
        <row r="1401">
          <cell r="M1401" t="str">
            <v>Square CassetteOutside Window MountSunboss Chain Winder 43mm Tube</v>
          </cell>
          <cell r="N1401">
            <v>10</v>
          </cell>
          <cell r="O1401">
            <v>14</v>
          </cell>
          <cell r="P1401">
            <v>14</v>
          </cell>
          <cell r="Q1401" t="str">
            <v>N/A</v>
          </cell>
          <cell r="R1401" t="str">
            <v>No</v>
          </cell>
          <cell r="S1401" t="str">
            <v>No</v>
          </cell>
          <cell r="T1401" t="str">
            <v>No</v>
          </cell>
        </row>
        <row r="1402">
          <cell r="M1402" t="str">
            <v>Square Cassette with Side ChannelsOutside Window MountSunboss Chain Winder 43mm Tube</v>
          </cell>
          <cell r="N1402">
            <v>10</v>
          </cell>
          <cell r="O1402">
            <v>14</v>
          </cell>
          <cell r="P1402">
            <v>14</v>
          </cell>
          <cell r="Q1402">
            <v>88</v>
          </cell>
          <cell r="R1402" t="str">
            <v>No</v>
          </cell>
          <cell r="S1402" t="str">
            <v>Yes</v>
          </cell>
          <cell r="T1402" t="str">
            <v>No</v>
          </cell>
        </row>
        <row r="1403">
          <cell r="M1403" t="str">
            <v>Round CassetteOutside Window MountSunboss Chain Winder 43mm Tube</v>
          </cell>
          <cell r="N1403">
            <v>10</v>
          </cell>
          <cell r="O1403">
            <v>14</v>
          </cell>
          <cell r="P1403">
            <v>14</v>
          </cell>
          <cell r="Q1403" t="str">
            <v>N/A</v>
          </cell>
          <cell r="R1403" t="str">
            <v>No</v>
          </cell>
          <cell r="S1403" t="str">
            <v>No</v>
          </cell>
          <cell r="T1403" t="str">
            <v>No</v>
          </cell>
        </row>
        <row r="1404">
          <cell r="M1404" t="str">
            <v>Round Cassette with Side ChannelsOutside Window MountSunboss Chain Winder 43mm Tube</v>
          </cell>
          <cell r="N1404">
            <v>10</v>
          </cell>
          <cell r="O1404">
            <v>14</v>
          </cell>
          <cell r="P1404">
            <v>14</v>
          </cell>
          <cell r="Q1404">
            <v>88</v>
          </cell>
          <cell r="R1404" t="str">
            <v>No</v>
          </cell>
          <cell r="S1404" t="str">
            <v>Yes</v>
          </cell>
          <cell r="T1404" t="str">
            <v>No</v>
          </cell>
        </row>
        <row r="1405">
          <cell r="M1405" t="str">
            <v>Aluminium ValanceOutside Window MountSunboss Chain Winder 43mm Tube</v>
          </cell>
          <cell r="N1405">
            <v>0</v>
          </cell>
          <cell r="O1405" t="str">
            <v>N/A</v>
          </cell>
          <cell r="P1405">
            <v>0</v>
          </cell>
          <cell r="Q1405" t="str">
            <v>N/A</v>
          </cell>
          <cell r="R1405" t="str">
            <v>No</v>
          </cell>
          <cell r="S1405" t="str">
            <v>No</v>
          </cell>
          <cell r="T1405" t="str">
            <v>Yes</v>
          </cell>
        </row>
        <row r="1406">
          <cell r="M1406" t="str">
            <v>Aluminium Valance - Fabric CoveredOutside Window MountSunboss Chain Winder 43mm Tube</v>
          </cell>
          <cell r="N1406">
            <v>0</v>
          </cell>
          <cell r="O1406" t="str">
            <v>N/A</v>
          </cell>
          <cell r="P1406">
            <v>0</v>
          </cell>
          <cell r="Q1406" t="str">
            <v>N/A</v>
          </cell>
          <cell r="R1406" t="str">
            <v>No</v>
          </cell>
          <cell r="S1406" t="str">
            <v>No</v>
          </cell>
          <cell r="T1406" t="str">
            <v>Yes</v>
          </cell>
        </row>
        <row r="1407">
          <cell r="M1407" t="str">
            <v>Side ChannelsOutside Window MountSunboss Chain Winder 43mm Tube</v>
          </cell>
          <cell r="N1407">
            <v>10</v>
          </cell>
          <cell r="O1407" t="str">
            <v>N/A</v>
          </cell>
          <cell r="P1407" t="str">
            <v>N/A</v>
          </cell>
          <cell r="Q1407">
            <v>60</v>
          </cell>
          <cell r="R1407" t="str">
            <v>N/A</v>
          </cell>
          <cell r="S1407" t="str">
            <v>No</v>
          </cell>
          <cell r="T1407" t="str">
            <v>N/A</v>
          </cell>
        </row>
        <row r="1408">
          <cell r="M1408" t="str">
            <v>Zipscreen HoodingOutside Window MountSunboss Chain Winder 43mm Tube</v>
          </cell>
          <cell r="N1408">
            <v>17</v>
          </cell>
          <cell r="O1408">
            <v>66</v>
          </cell>
          <cell r="P1408">
            <v>66</v>
          </cell>
          <cell r="Q1408" t="str">
            <v>N/A</v>
          </cell>
          <cell r="R1408" t="str">
            <v>N/A</v>
          </cell>
          <cell r="S1408" t="str">
            <v>No</v>
          </cell>
          <cell r="T1408" t="str">
            <v>N/A</v>
          </cell>
        </row>
        <row r="1409">
          <cell r="M1409" t="str">
            <v>NoneOutside Window MountTBS Remote Motor</v>
          </cell>
          <cell r="N1409">
            <v>0</v>
          </cell>
          <cell r="O1409" t="str">
            <v>N/A</v>
          </cell>
          <cell r="P1409" t="str">
            <v>N/A</v>
          </cell>
          <cell r="Q1409" t="str">
            <v>N/A</v>
          </cell>
          <cell r="R1409" t="str">
            <v>N/A</v>
          </cell>
          <cell r="S1409" t="str">
            <v>No</v>
          </cell>
          <cell r="T1409" t="str">
            <v>N/A</v>
          </cell>
        </row>
        <row r="1410">
          <cell r="M1410" t="str">
            <v>Straight Upholstered PelmetOutside Window MountTBS Remote Motor</v>
          </cell>
          <cell r="N1410">
            <v>0</v>
          </cell>
          <cell r="O1410" t="str">
            <v>N/A</v>
          </cell>
          <cell r="P1410" t="str">
            <v>N/A</v>
          </cell>
          <cell r="Q1410" t="str">
            <v>N/A</v>
          </cell>
          <cell r="R1410" t="str">
            <v>N/A</v>
          </cell>
          <cell r="S1410" t="str">
            <v>No</v>
          </cell>
          <cell r="T1410" t="str">
            <v>N/A</v>
          </cell>
        </row>
        <row r="1411">
          <cell r="M1411" t="str">
            <v>Shaped Upholstered PelmetOutside Window MountTBS Remote Motor</v>
          </cell>
          <cell r="N1411">
            <v>0</v>
          </cell>
          <cell r="O1411" t="str">
            <v>N/A</v>
          </cell>
          <cell r="P1411" t="str">
            <v>N/A</v>
          </cell>
          <cell r="Q1411" t="str">
            <v>N/A</v>
          </cell>
          <cell r="R1411" t="str">
            <v>N/A</v>
          </cell>
          <cell r="S1411" t="str">
            <v>No</v>
          </cell>
          <cell r="T1411" t="str">
            <v>N/A</v>
          </cell>
        </row>
        <row r="1412">
          <cell r="M1412" t="str">
            <v>Aluminium PelmetOutside Window MountTBS Remote Motor</v>
          </cell>
          <cell r="N1412">
            <v>0</v>
          </cell>
          <cell r="O1412">
            <v>0</v>
          </cell>
          <cell r="P1412" t="str">
            <v>N/A</v>
          </cell>
          <cell r="Q1412" t="str">
            <v>N/A</v>
          </cell>
          <cell r="R1412" t="str">
            <v>No</v>
          </cell>
          <cell r="S1412" t="str">
            <v>No</v>
          </cell>
          <cell r="T1412" t="str">
            <v>Yes</v>
          </cell>
        </row>
        <row r="1413">
          <cell r="M1413" t="str">
            <v>Square CassetteOutside Window MountTBS Remote Motor</v>
          </cell>
          <cell r="N1413">
            <v>10</v>
          </cell>
          <cell r="O1413">
            <v>14</v>
          </cell>
          <cell r="P1413">
            <v>14</v>
          </cell>
          <cell r="Q1413" t="str">
            <v>N/A</v>
          </cell>
          <cell r="R1413" t="str">
            <v>No</v>
          </cell>
          <cell r="S1413" t="str">
            <v>No</v>
          </cell>
          <cell r="T1413" t="str">
            <v>No</v>
          </cell>
        </row>
        <row r="1414">
          <cell r="M1414" t="str">
            <v>Square Cassette with Side ChannelsOutside Window MountTBS Remote Motor</v>
          </cell>
          <cell r="N1414">
            <v>10</v>
          </cell>
          <cell r="O1414">
            <v>14</v>
          </cell>
          <cell r="P1414">
            <v>14</v>
          </cell>
          <cell r="Q1414">
            <v>88</v>
          </cell>
          <cell r="R1414" t="str">
            <v>No</v>
          </cell>
          <cell r="S1414" t="str">
            <v>Yes</v>
          </cell>
          <cell r="T1414" t="str">
            <v>No</v>
          </cell>
        </row>
        <row r="1415">
          <cell r="M1415" t="str">
            <v>Round CassetteOutside Window MountTBS Remote Motor</v>
          </cell>
          <cell r="N1415">
            <v>10</v>
          </cell>
          <cell r="O1415">
            <v>14</v>
          </cell>
          <cell r="P1415">
            <v>14</v>
          </cell>
          <cell r="Q1415" t="str">
            <v>N/A</v>
          </cell>
          <cell r="R1415" t="str">
            <v>No</v>
          </cell>
          <cell r="S1415" t="str">
            <v>No</v>
          </cell>
          <cell r="T1415" t="str">
            <v>No</v>
          </cell>
        </row>
        <row r="1416">
          <cell r="M1416" t="str">
            <v>Round Cassette with Side ChannelsOutside Window MountTBS Remote Motor</v>
          </cell>
          <cell r="N1416">
            <v>10</v>
          </cell>
          <cell r="O1416">
            <v>14</v>
          </cell>
          <cell r="P1416">
            <v>14</v>
          </cell>
          <cell r="Q1416">
            <v>88</v>
          </cell>
          <cell r="R1416" t="str">
            <v>No</v>
          </cell>
          <cell r="S1416" t="str">
            <v>Yes</v>
          </cell>
          <cell r="T1416" t="str">
            <v>No</v>
          </cell>
        </row>
        <row r="1417">
          <cell r="M1417" t="str">
            <v>Aluminium ValanceOutside Window MountTBS Remote Motor</v>
          </cell>
          <cell r="N1417">
            <v>0</v>
          </cell>
          <cell r="O1417" t="str">
            <v>N/A</v>
          </cell>
          <cell r="P1417">
            <v>0</v>
          </cell>
          <cell r="Q1417" t="str">
            <v>N/A</v>
          </cell>
          <cell r="R1417" t="str">
            <v>No</v>
          </cell>
          <cell r="S1417" t="str">
            <v>No</v>
          </cell>
          <cell r="T1417" t="str">
            <v>Yes</v>
          </cell>
        </row>
        <row r="1418">
          <cell r="M1418" t="str">
            <v>Aluminium Valance - Fabric CoveredOutside Window MountTBS Remote Motor</v>
          </cell>
          <cell r="N1418">
            <v>0</v>
          </cell>
          <cell r="O1418" t="str">
            <v>N/A</v>
          </cell>
          <cell r="P1418">
            <v>0</v>
          </cell>
          <cell r="Q1418" t="str">
            <v>N/A</v>
          </cell>
          <cell r="R1418" t="str">
            <v>No</v>
          </cell>
          <cell r="S1418" t="str">
            <v>No</v>
          </cell>
          <cell r="T1418" t="str">
            <v>Yes</v>
          </cell>
        </row>
        <row r="1419">
          <cell r="M1419" t="str">
            <v>Side ChannelsOutside Window MountTBS Remote Motor</v>
          </cell>
          <cell r="N1419">
            <v>10</v>
          </cell>
          <cell r="O1419" t="str">
            <v>N/A</v>
          </cell>
          <cell r="P1419" t="str">
            <v>N/A</v>
          </cell>
          <cell r="Q1419">
            <v>60</v>
          </cell>
          <cell r="R1419" t="str">
            <v>N/A</v>
          </cell>
          <cell r="S1419" t="str">
            <v>No</v>
          </cell>
          <cell r="T1419" t="str">
            <v>N/A</v>
          </cell>
        </row>
        <row r="1420">
          <cell r="M1420" t="str">
            <v>Zipscreen HoodingOutside Window MountTBS Remote Motor</v>
          </cell>
          <cell r="N1420">
            <v>17</v>
          </cell>
          <cell r="O1420">
            <v>66</v>
          </cell>
          <cell r="P1420">
            <v>66</v>
          </cell>
          <cell r="Q1420" t="str">
            <v>N/A</v>
          </cell>
          <cell r="R1420" t="str">
            <v>N/A</v>
          </cell>
          <cell r="S1420" t="str">
            <v>No</v>
          </cell>
          <cell r="T1420" t="str">
            <v>N/A</v>
          </cell>
        </row>
        <row r="1421">
          <cell r="M1421" t="str">
            <v>NoneOutside Window MountTBS Cbus Motor</v>
          </cell>
          <cell r="N1421">
            <v>0</v>
          </cell>
          <cell r="O1421" t="str">
            <v>N/A</v>
          </cell>
          <cell r="P1421" t="str">
            <v>N/A</v>
          </cell>
          <cell r="Q1421" t="str">
            <v>N/A</v>
          </cell>
          <cell r="R1421" t="str">
            <v>N/A</v>
          </cell>
          <cell r="S1421" t="str">
            <v>No</v>
          </cell>
          <cell r="T1421" t="str">
            <v>N/A</v>
          </cell>
        </row>
        <row r="1422">
          <cell r="M1422" t="str">
            <v>Straight Upholstered PelmetOutside Window MountTBS Cbus Motor</v>
          </cell>
          <cell r="N1422">
            <v>0</v>
          </cell>
          <cell r="O1422" t="str">
            <v>N/A</v>
          </cell>
          <cell r="P1422" t="str">
            <v>N/A</v>
          </cell>
          <cell r="Q1422" t="str">
            <v>N/A</v>
          </cell>
          <cell r="R1422" t="str">
            <v>N/A</v>
          </cell>
          <cell r="S1422" t="str">
            <v>No</v>
          </cell>
          <cell r="T1422" t="str">
            <v>N/A</v>
          </cell>
        </row>
        <row r="1423">
          <cell r="M1423" t="str">
            <v>Shaped Upholstered PelmetOutside Window MountTBS Cbus Motor</v>
          </cell>
          <cell r="N1423">
            <v>0</v>
          </cell>
          <cell r="O1423" t="str">
            <v>N/A</v>
          </cell>
          <cell r="P1423" t="str">
            <v>N/A</v>
          </cell>
          <cell r="Q1423" t="str">
            <v>N/A</v>
          </cell>
          <cell r="R1423" t="str">
            <v>N/A</v>
          </cell>
          <cell r="S1423" t="str">
            <v>No</v>
          </cell>
          <cell r="T1423" t="str">
            <v>N/A</v>
          </cell>
        </row>
        <row r="1424">
          <cell r="M1424" t="str">
            <v>Aluminium PelmetOutside Window MountTBS Cbus Motor</v>
          </cell>
          <cell r="N1424">
            <v>0</v>
          </cell>
          <cell r="O1424">
            <v>0</v>
          </cell>
          <cell r="P1424" t="str">
            <v>N/A</v>
          </cell>
          <cell r="Q1424" t="str">
            <v>N/A</v>
          </cell>
          <cell r="R1424" t="str">
            <v>No</v>
          </cell>
          <cell r="S1424" t="str">
            <v>No</v>
          </cell>
          <cell r="T1424" t="str">
            <v>Yes</v>
          </cell>
        </row>
        <row r="1425">
          <cell r="M1425" t="str">
            <v>Square CassetteOutside Window MountTBS Cbus Motor</v>
          </cell>
          <cell r="N1425">
            <v>10</v>
          </cell>
          <cell r="O1425">
            <v>14</v>
          </cell>
          <cell r="P1425">
            <v>14</v>
          </cell>
          <cell r="Q1425" t="str">
            <v>N/A</v>
          </cell>
          <cell r="R1425" t="str">
            <v>No</v>
          </cell>
          <cell r="S1425" t="str">
            <v>No</v>
          </cell>
          <cell r="T1425" t="str">
            <v>No</v>
          </cell>
        </row>
        <row r="1426">
          <cell r="M1426" t="str">
            <v>Square Cassette with Side ChannelsOutside Window MountTBS Cbus Motor</v>
          </cell>
          <cell r="N1426">
            <v>10</v>
          </cell>
          <cell r="O1426">
            <v>14</v>
          </cell>
          <cell r="P1426">
            <v>14</v>
          </cell>
          <cell r="Q1426">
            <v>88</v>
          </cell>
          <cell r="R1426" t="str">
            <v>No</v>
          </cell>
          <cell r="S1426" t="str">
            <v>Yes</v>
          </cell>
          <cell r="T1426" t="str">
            <v>No</v>
          </cell>
        </row>
        <row r="1427">
          <cell r="M1427" t="str">
            <v>Round CassetteOutside Window MountTBS Cbus Motor</v>
          </cell>
          <cell r="N1427">
            <v>10</v>
          </cell>
          <cell r="O1427">
            <v>14</v>
          </cell>
          <cell r="P1427">
            <v>14</v>
          </cell>
          <cell r="Q1427" t="str">
            <v>N/A</v>
          </cell>
          <cell r="R1427" t="str">
            <v>No</v>
          </cell>
          <cell r="S1427" t="str">
            <v>No</v>
          </cell>
          <cell r="T1427" t="str">
            <v>No</v>
          </cell>
        </row>
        <row r="1428">
          <cell r="M1428" t="str">
            <v>Round Cassette with Side ChannelsOutside Window MountTBS Cbus Motor</v>
          </cell>
          <cell r="N1428">
            <v>10</v>
          </cell>
          <cell r="O1428">
            <v>14</v>
          </cell>
          <cell r="P1428">
            <v>14</v>
          </cell>
          <cell r="Q1428">
            <v>88</v>
          </cell>
          <cell r="R1428" t="str">
            <v>No</v>
          </cell>
          <cell r="S1428" t="str">
            <v>Yes</v>
          </cell>
          <cell r="T1428" t="str">
            <v>No</v>
          </cell>
        </row>
        <row r="1429">
          <cell r="M1429" t="str">
            <v>Aluminium ValanceOutside Window MountTBS Cbus Motor</v>
          </cell>
          <cell r="N1429">
            <v>0</v>
          </cell>
          <cell r="O1429" t="str">
            <v>N/A</v>
          </cell>
          <cell r="P1429">
            <v>0</v>
          </cell>
          <cell r="Q1429" t="str">
            <v>N/A</v>
          </cell>
          <cell r="R1429" t="str">
            <v>No</v>
          </cell>
          <cell r="S1429" t="str">
            <v>No</v>
          </cell>
          <cell r="T1429" t="str">
            <v>Yes</v>
          </cell>
        </row>
        <row r="1430">
          <cell r="M1430" t="str">
            <v>Aluminium Valance - Fabric CoveredOutside Window MountTBS Cbus Motor</v>
          </cell>
          <cell r="N1430">
            <v>0</v>
          </cell>
          <cell r="O1430" t="str">
            <v>N/A</v>
          </cell>
          <cell r="P1430">
            <v>0</v>
          </cell>
          <cell r="Q1430" t="str">
            <v>N/A</v>
          </cell>
          <cell r="R1430" t="str">
            <v>No</v>
          </cell>
          <cell r="S1430" t="str">
            <v>No</v>
          </cell>
          <cell r="T1430" t="str">
            <v>Yes</v>
          </cell>
        </row>
        <row r="1431">
          <cell r="M1431" t="str">
            <v>Side ChannelsOutside Window MountTBS Cbus Motor</v>
          </cell>
          <cell r="N1431">
            <v>10</v>
          </cell>
          <cell r="O1431" t="str">
            <v>N/A</v>
          </cell>
          <cell r="P1431" t="str">
            <v>N/A</v>
          </cell>
          <cell r="Q1431">
            <v>60</v>
          </cell>
          <cell r="R1431" t="str">
            <v>N/A</v>
          </cell>
          <cell r="S1431" t="str">
            <v>No</v>
          </cell>
          <cell r="T1431" t="str">
            <v>N/A</v>
          </cell>
        </row>
        <row r="1432">
          <cell r="M1432" t="str">
            <v>Zipscreen HoodingOutside Window MountTBS Cbus Motor</v>
          </cell>
          <cell r="N1432">
            <v>17</v>
          </cell>
          <cell r="O1432">
            <v>66</v>
          </cell>
          <cell r="P1432">
            <v>66</v>
          </cell>
          <cell r="Q1432" t="str">
            <v>N/A</v>
          </cell>
          <cell r="R1432" t="str">
            <v>N/A</v>
          </cell>
          <cell r="S1432" t="str">
            <v>No</v>
          </cell>
          <cell r="T1432" t="str">
            <v>N/A</v>
          </cell>
        </row>
        <row r="1433">
          <cell r="M1433" t="str">
            <v>NoneOutside Window MountAcmeda External Motor</v>
          </cell>
          <cell r="N1433">
            <v>0</v>
          </cell>
          <cell r="O1433" t="str">
            <v>N/A</v>
          </cell>
          <cell r="P1433" t="str">
            <v>N/A</v>
          </cell>
          <cell r="Q1433" t="str">
            <v>N/A</v>
          </cell>
          <cell r="R1433" t="str">
            <v>N/A</v>
          </cell>
          <cell r="S1433" t="str">
            <v>No</v>
          </cell>
          <cell r="T1433" t="str">
            <v>N/A</v>
          </cell>
        </row>
        <row r="1434">
          <cell r="M1434" t="str">
            <v>Straight Upholstered PelmetOutside Window MountAcmeda External Motor</v>
          </cell>
          <cell r="N1434">
            <v>0</v>
          </cell>
          <cell r="O1434" t="str">
            <v>N/A</v>
          </cell>
          <cell r="P1434" t="str">
            <v>N/A</v>
          </cell>
          <cell r="Q1434" t="str">
            <v>N/A</v>
          </cell>
          <cell r="R1434" t="str">
            <v>N/A</v>
          </cell>
          <cell r="S1434" t="str">
            <v>No</v>
          </cell>
          <cell r="T1434" t="str">
            <v>N/A</v>
          </cell>
        </row>
        <row r="1435">
          <cell r="M1435" t="str">
            <v>Shaped Upholstered PelmetOutside Window MountAcmeda External Motor</v>
          </cell>
          <cell r="N1435">
            <v>0</v>
          </cell>
          <cell r="O1435" t="str">
            <v>N/A</v>
          </cell>
          <cell r="P1435" t="str">
            <v>N/A</v>
          </cell>
          <cell r="Q1435" t="str">
            <v>N/A</v>
          </cell>
          <cell r="R1435" t="str">
            <v>N/A</v>
          </cell>
          <cell r="S1435" t="str">
            <v>No</v>
          </cell>
          <cell r="T1435" t="str">
            <v>N/A</v>
          </cell>
        </row>
        <row r="1436">
          <cell r="M1436" t="str">
            <v>Aluminium PelmetOutside Window MountAcmeda External Motor</v>
          </cell>
          <cell r="N1436">
            <v>0</v>
          </cell>
          <cell r="O1436">
            <v>0</v>
          </cell>
          <cell r="P1436" t="str">
            <v>N/A</v>
          </cell>
          <cell r="Q1436" t="str">
            <v>N/A</v>
          </cell>
          <cell r="R1436" t="str">
            <v>No</v>
          </cell>
          <cell r="S1436" t="str">
            <v>No</v>
          </cell>
          <cell r="T1436" t="str">
            <v>Yes</v>
          </cell>
        </row>
        <row r="1437">
          <cell r="M1437" t="str">
            <v>Square CassetteOutside Window MountAcmeda External Motor</v>
          </cell>
          <cell r="N1437">
            <v>10</v>
          </cell>
          <cell r="O1437">
            <v>14</v>
          </cell>
          <cell r="P1437">
            <v>14</v>
          </cell>
          <cell r="Q1437" t="str">
            <v>N/A</v>
          </cell>
          <cell r="R1437" t="str">
            <v>No</v>
          </cell>
          <cell r="S1437" t="str">
            <v>No</v>
          </cell>
          <cell r="T1437" t="str">
            <v>No</v>
          </cell>
        </row>
        <row r="1438">
          <cell r="M1438" t="str">
            <v>Square Cassette with Side ChannelsOutside Window MountAcmeda External Motor</v>
          </cell>
          <cell r="N1438">
            <v>10</v>
          </cell>
          <cell r="O1438">
            <v>14</v>
          </cell>
          <cell r="P1438">
            <v>14</v>
          </cell>
          <cell r="Q1438">
            <v>88</v>
          </cell>
          <cell r="R1438" t="str">
            <v>No</v>
          </cell>
          <cell r="S1438" t="str">
            <v>Yes</v>
          </cell>
          <cell r="T1438" t="str">
            <v>No</v>
          </cell>
        </row>
        <row r="1439">
          <cell r="M1439" t="str">
            <v>Round CassetteOutside Window MountAcmeda External Motor</v>
          </cell>
          <cell r="N1439">
            <v>10</v>
          </cell>
          <cell r="O1439">
            <v>14</v>
          </cell>
          <cell r="P1439">
            <v>14</v>
          </cell>
          <cell r="Q1439" t="str">
            <v>N/A</v>
          </cell>
          <cell r="R1439" t="str">
            <v>No</v>
          </cell>
          <cell r="S1439" t="str">
            <v>No</v>
          </cell>
          <cell r="T1439" t="str">
            <v>No</v>
          </cell>
        </row>
        <row r="1440">
          <cell r="M1440" t="str">
            <v>Round Cassette with Side ChannelsOutside Window MountAcmeda External Motor</v>
          </cell>
          <cell r="N1440">
            <v>10</v>
          </cell>
          <cell r="O1440">
            <v>14</v>
          </cell>
          <cell r="P1440">
            <v>14</v>
          </cell>
          <cell r="Q1440">
            <v>88</v>
          </cell>
          <cell r="R1440" t="str">
            <v>No</v>
          </cell>
          <cell r="S1440" t="str">
            <v>Yes</v>
          </cell>
          <cell r="T1440" t="str">
            <v>No</v>
          </cell>
        </row>
        <row r="1441">
          <cell r="M1441" t="str">
            <v>Aluminium ValanceOutside Window MountAcmeda External Motor</v>
          </cell>
          <cell r="N1441">
            <v>0</v>
          </cell>
          <cell r="O1441" t="str">
            <v>N/A</v>
          </cell>
          <cell r="P1441">
            <v>0</v>
          </cell>
          <cell r="Q1441" t="str">
            <v>N/A</v>
          </cell>
          <cell r="R1441" t="str">
            <v>No</v>
          </cell>
          <cell r="S1441" t="str">
            <v>No</v>
          </cell>
          <cell r="T1441" t="str">
            <v>Yes</v>
          </cell>
        </row>
        <row r="1442">
          <cell r="M1442" t="str">
            <v>Aluminium Valance - Fabric CoveredOutside Window MountAcmeda External Motor</v>
          </cell>
          <cell r="N1442">
            <v>0</v>
          </cell>
          <cell r="O1442" t="str">
            <v>N/A</v>
          </cell>
          <cell r="P1442">
            <v>0</v>
          </cell>
          <cell r="Q1442" t="str">
            <v>N/A</v>
          </cell>
          <cell r="R1442" t="str">
            <v>No</v>
          </cell>
          <cell r="S1442" t="str">
            <v>No</v>
          </cell>
          <cell r="T1442" t="str">
            <v>Yes</v>
          </cell>
        </row>
        <row r="1443">
          <cell r="M1443" t="str">
            <v>Side ChannelsOutside Window MountAcmeda External Motor</v>
          </cell>
          <cell r="N1443">
            <v>0</v>
          </cell>
          <cell r="O1443" t="str">
            <v>N/A</v>
          </cell>
          <cell r="P1443" t="str">
            <v>N/A</v>
          </cell>
          <cell r="Q1443">
            <v>60</v>
          </cell>
          <cell r="R1443" t="str">
            <v>N/A</v>
          </cell>
          <cell r="S1443" t="str">
            <v>No</v>
          </cell>
          <cell r="T1443" t="str">
            <v>N/A</v>
          </cell>
        </row>
        <row r="1444">
          <cell r="M1444" t="str">
            <v>Zipscreen HoodingOutside Window MountAcmeda External Motor</v>
          </cell>
          <cell r="N1444">
            <v>17</v>
          </cell>
          <cell r="O1444">
            <v>66</v>
          </cell>
          <cell r="P1444">
            <v>66</v>
          </cell>
          <cell r="Q1444" t="str">
            <v>N/A</v>
          </cell>
          <cell r="R1444" t="str">
            <v>N/A</v>
          </cell>
          <cell r="S1444" t="str">
            <v>No</v>
          </cell>
          <cell r="T1444" t="str">
            <v>N/A</v>
          </cell>
        </row>
      </sheetData>
      <sheetData sheetId="12">
        <row r="28">
          <cell r="G28">
            <v>0</v>
          </cell>
          <cell r="H28">
            <v>2</v>
          </cell>
        </row>
        <row r="29">
          <cell r="G29">
            <v>1000</v>
          </cell>
          <cell r="H29">
            <v>3</v>
          </cell>
        </row>
        <row r="30">
          <cell r="G30">
            <v>1700</v>
          </cell>
          <cell r="H30">
            <v>4</v>
          </cell>
        </row>
        <row r="31">
          <cell r="G31">
            <v>2400</v>
          </cell>
          <cell r="H31">
            <v>5</v>
          </cell>
        </row>
        <row r="32">
          <cell r="G32">
            <v>3300</v>
          </cell>
          <cell r="H32">
            <v>6</v>
          </cell>
        </row>
        <row r="36">
          <cell r="G36">
            <v>0</v>
          </cell>
          <cell r="H36">
            <v>4</v>
          </cell>
        </row>
        <row r="37">
          <cell r="G37">
            <v>800</v>
          </cell>
          <cell r="H37">
            <v>6</v>
          </cell>
        </row>
        <row r="38">
          <cell r="G38">
            <v>1400</v>
          </cell>
          <cell r="H38">
            <v>8</v>
          </cell>
        </row>
        <row r="39">
          <cell r="G39">
            <v>2000</v>
          </cell>
          <cell r="H39">
            <v>10</v>
          </cell>
        </row>
        <row r="40">
          <cell r="G40">
            <v>2600</v>
          </cell>
          <cell r="H40">
            <v>12</v>
          </cell>
        </row>
        <row r="41">
          <cell r="G41">
            <v>3200</v>
          </cell>
          <cell r="H41">
            <v>14</v>
          </cell>
        </row>
      </sheetData>
      <sheetData sheetId="13">
        <row r="2">
          <cell r="A2" t="str">
            <v>Blindware Picturesque+ 4303 3% Sunscreen Bronze</v>
          </cell>
          <cell r="B2" t="str">
            <v>Beige</v>
          </cell>
          <cell r="C2" t="str">
            <v>Anodised Silver</v>
          </cell>
          <cell r="D2" t="str">
            <v>Nickel Steel</v>
          </cell>
          <cell r="F2" t="str">
            <v>White</v>
          </cell>
        </row>
        <row r="3">
          <cell r="A3" t="str">
            <v>Blindware Picturesque+ 4303 3% Sunscreen Charcoal</v>
          </cell>
          <cell r="B3" t="str">
            <v>Black</v>
          </cell>
          <cell r="C3" t="str">
            <v>Black</v>
          </cell>
          <cell r="D3" t="str">
            <v>Black</v>
          </cell>
          <cell r="F3" t="str">
            <v>Black</v>
          </cell>
        </row>
        <row r="4">
          <cell r="A4" t="str">
            <v>Blindware Picturesque+ 4303 3% Sunscreen Charcoal Apricot</v>
          </cell>
          <cell r="B4" t="str">
            <v>Beige</v>
          </cell>
          <cell r="C4" t="str">
            <v>Anodised Silver</v>
          </cell>
          <cell r="D4" t="str">
            <v>Nickel Steel</v>
          </cell>
          <cell r="F4" t="str">
            <v>White</v>
          </cell>
        </row>
        <row r="5">
          <cell r="A5" t="str">
            <v>Blindware Picturesque+ 4303 3% Sunscreen Charcoal Bronze</v>
          </cell>
          <cell r="B5" t="str">
            <v>Black</v>
          </cell>
          <cell r="C5" t="str">
            <v>Black</v>
          </cell>
          <cell r="D5" t="str">
            <v>Black</v>
          </cell>
          <cell r="F5" t="str">
            <v>Black</v>
          </cell>
        </row>
        <row r="6">
          <cell r="A6" t="str">
            <v>Blindware Picturesque+ 4303 3% Sunscreen Charcoal Grey</v>
          </cell>
          <cell r="B6" t="str">
            <v>Black</v>
          </cell>
          <cell r="C6" t="str">
            <v>Anodised Silver</v>
          </cell>
          <cell r="D6" t="str">
            <v>Nickel Steel</v>
          </cell>
          <cell r="F6" t="str">
            <v>Black</v>
          </cell>
        </row>
        <row r="7">
          <cell r="A7" t="str">
            <v>Blindware Picturesque+ 4303 3% Sunscreen Charcoal Sand</v>
          </cell>
          <cell r="B7" t="str">
            <v>Beige</v>
          </cell>
          <cell r="C7" t="str">
            <v>Anodised Silver</v>
          </cell>
          <cell r="D7" t="str">
            <v>Nickel Steel</v>
          </cell>
          <cell r="F7" t="str">
            <v>White</v>
          </cell>
        </row>
        <row r="8">
          <cell r="A8" t="str">
            <v>Blindware Picturesque+ 4303 3% Sunscreen Grey</v>
          </cell>
          <cell r="B8" t="str">
            <v>White</v>
          </cell>
          <cell r="C8" t="str">
            <v>Anodised Silver</v>
          </cell>
          <cell r="D8" t="str">
            <v>Nickel Steel</v>
          </cell>
          <cell r="F8" t="str">
            <v>White</v>
          </cell>
        </row>
        <row r="9">
          <cell r="A9" t="str">
            <v>Blindware Picturesque+ 4303 3% Sunscreen Linen</v>
          </cell>
          <cell r="B9" t="str">
            <v>Beige</v>
          </cell>
          <cell r="C9" t="str">
            <v>Anodised Silver</v>
          </cell>
          <cell r="D9" t="str">
            <v>Nickel Steel</v>
          </cell>
          <cell r="F9" t="str">
            <v>White</v>
          </cell>
        </row>
        <row r="10">
          <cell r="A10" t="str">
            <v>Blindware Picturesque+ 4303 3% Sunscreen TBA</v>
          </cell>
        </row>
        <row r="11">
          <cell r="A11" t="str">
            <v>Blindware Picturesque+ 4303 3% Sunscreen White</v>
          </cell>
          <cell r="B11" t="str">
            <v>White</v>
          </cell>
          <cell r="C11" t="str">
            <v>White</v>
          </cell>
          <cell r="D11" t="str">
            <v>White</v>
          </cell>
          <cell r="F11" t="str">
            <v>White</v>
          </cell>
        </row>
        <row r="12">
          <cell r="A12" t="str">
            <v>Blindware Picturesque+ 4303 3% Sunscreen White Grey</v>
          </cell>
          <cell r="B12" t="str">
            <v>White</v>
          </cell>
          <cell r="C12" t="str">
            <v>Anodised Silver</v>
          </cell>
          <cell r="D12" t="str">
            <v>Nickel Steel</v>
          </cell>
          <cell r="F12" t="str">
            <v>White</v>
          </cell>
        </row>
        <row r="13">
          <cell r="A13" t="str">
            <v>Blindware Picturesque+ 4303 3% Sunscreen White Linen</v>
          </cell>
          <cell r="B13" t="str">
            <v>Birch White</v>
          </cell>
          <cell r="C13" t="str">
            <v>Cream</v>
          </cell>
          <cell r="D13" t="str">
            <v>Birch White</v>
          </cell>
          <cell r="F13" t="str">
            <v>White</v>
          </cell>
        </row>
        <row r="14">
          <cell r="A14" t="str">
            <v>Blindware Picturesque+ 4303 3% Sunscreen White Stone</v>
          </cell>
          <cell r="B14" t="str">
            <v>Beige</v>
          </cell>
          <cell r="C14" t="str">
            <v>Anodised Silver</v>
          </cell>
          <cell r="D14" t="str">
            <v>Nickel Steel</v>
          </cell>
          <cell r="F14" t="str">
            <v>White</v>
          </cell>
        </row>
        <row r="15">
          <cell r="A15" t="str">
            <v>Blindware Picturesque+ 4505 5% Sunscreen Bronze</v>
          </cell>
          <cell r="B15" t="str">
            <v>Black</v>
          </cell>
          <cell r="C15" t="str">
            <v>Black</v>
          </cell>
          <cell r="D15" t="str">
            <v>Black</v>
          </cell>
          <cell r="F15" t="str">
            <v>Black</v>
          </cell>
        </row>
        <row r="16">
          <cell r="A16" t="str">
            <v>Blindware Picturesque+ 4505 5% Sunscreen Charcoal</v>
          </cell>
          <cell r="B16" t="str">
            <v>Black</v>
          </cell>
          <cell r="C16" t="str">
            <v>Black</v>
          </cell>
          <cell r="D16" t="str">
            <v>Black</v>
          </cell>
          <cell r="F16" t="str">
            <v>Black</v>
          </cell>
        </row>
        <row r="17">
          <cell r="A17" t="str">
            <v>Blindware Picturesque+ 4505 5% Sunscreen Charcoal Apricot</v>
          </cell>
          <cell r="B17" t="str">
            <v>Beige</v>
          </cell>
          <cell r="C17" t="str">
            <v>Anodised Silver</v>
          </cell>
          <cell r="D17" t="str">
            <v>Nickel Steel</v>
          </cell>
          <cell r="F17" t="str">
            <v>White</v>
          </cell>
        </row>
        <row r="18">
          <cell r="A18" t="str">
            <v>Blindware Picturesque+ 4505 5% Sunscreen Charcoal Bronze</v>
          </cell>
          <cell r="B18" t="str">
            <v>Black</v>
          </cell>
          <cell r="C18" t="str">
            <v>Black</v>
          </cell>
          <cell r="D18" t="str">
            <v>Black</v>
          </cell>
          <cell r="F18" t="str">
            <v>Black</v>
          </cell>
        </row>
        <row r="19">
          <cell r="A19" t="str">
            <v>Blindware Picturesque+ 4505 5% Sunscreen Charcoal Grey</v>
          </cell>
          <cell r="B19" t="str">
            <v>Black</v>
          </cell>
          <cell r="C19" t="str">
            <v>Anodised Silver</v>
          </cell>
          <cell r="D19" t="str">
            <v>Black</v>
          </cell>
          <cell r="F19" t="str">
            <v>Black</v>
          </cell>
        </row>
        <row r="20">
          <cell r="A20" t="str">
            <v>Blindware Picturesque+ 4505 5% Sunscreen Charcoal Sand</v>
          </cell>
          <cell r="B20" t="str">
            <v>Beige</v>
          </cell>
          <cell r="C20" t="str">
            <v>Anodised Silver</v>
          </cell>
          <cell r="D20" t="str">
            <v>Nickel Steel</v>
          </cell>
          <cell r="F20" t="str">
            <v>White</v>
          </cell>
        </row>
        <row r="21">
          <cell r="A21" t="str">
            <v>Blindware Picturesque+ 4505 5% Sunscreen Grey</v>
          </cell>
          <cell r="B21" t="str">
            <v>White</v>
          </cell>
          <cell r="C21" t="str">
            <v>Anodised Silver</v>
          </cell>
          <cell r="D21" t="str">
            <v>Nickel Steel</v>
          </cell>
          <cell r="F21" t="str">
            <v>White</v>
          </cell>
        </row>
        <row r="22">
          <cell r="A22" t="str">
            <v>Blindware Picturesque+ 4505 5% Sunscreen Linen</v>
          </cell>
          <cell r="B22" t="str">
            <v>Beige</v>
          </cell>
          <cell r="C22" t="str">
            <v>Anodised Silver</v>
          </cell>
          <cell r="D22" t="str">
            <v>Beige</v>
          </cell>
          <cell r="F22" t="str">
            <v>White</v>
          </cell>
        </row>
        <row r="23">
          <cell r="A23" t="str">
            <v>Blindware Picturesque+ 4505 5% Sunscreen TBA</v>
          </cell>
        </row>
        <row r="24">
          <cell r="A24" t="str">
            <v>Blindware Picturesque+ 4505 5% Sunscreen White</v>
          </cell>
          <cell r="B24" t="str">
            <v>White</v>
          </cell>
          <cell r="C24" t="str">
            <v>White</v>
          </cell>
          <cell r="D24" t="str">
            <v>White</v>
          </cell>
          <cell r="F24" t="str">
            <v>White</v>
          </cell>
        </row>
        <row r="25">
          <cell r="A25" t="str">
            <v>Blindware Picturesque+ 4505 5% Sunscreen White Grey</v>
          </cell>
          <cell r="B25" t="str">
            <v>White</v>
          </cell>
          <cell r="C25" t="str">
            <v>Anodised Silver</v>
          </cell>
          <cell r="D25" t="str">
            <v>Nickel Steel</v>
          </cell>
          <cell r="F25" t="str">
            <v>White</v>
          </cell>
        </row>
        <row r="26">
          <cell r="A26" t="str">
            <v>Blindware Picturesque+ 4505 5% Sunscreen White Linen</v>
          </cell>
          <cell r="B26" t="str">
            <v>Beige</v>
          </cell>
          <cell r="C26" t="str">
            <v>Anodised Silver</v>
          </cell>
          <cell r="D26" t="str">
            <v>Nickel Steel</v>
          </cell>
          <cell r="F26" t="str">
            <v>White</v>
          </cell>
        </row>
        <row r="27">
          <cell r="A27" t="str">
            <v>Blindware Picturesque+ 4505 5% Sunscreen White Stone</v>
          </cell>
          <cell r="B27" t="str">
            <v>Beige</v>
          </cell>
          <cell r="C27" t="str">
            <v>Anodised Silver</v>
          </cell>
          <cell r="D27" t="str">
            <v>Nickel Steel</v>
          </cell>
          <cell r="F27" t="str">
            <v>White</v>
          </cell>
        </row>
        <row r="28">
          <cell r="A28" t="str">
            <v>Blindware Signum Blockout Anthracite</v>
          </cell>
        </row>
        <row r="29">
          <cell r="A29" t="str">
            <v>Blindware Signum Blockout Basalt</v>
          </cell>
        </row>
        <row r="30">
          <cell r="A30" t="str">
            <v>Blindware Signum Blockout Charcoal</v>
          </cell>
        </row>
        <row r="31">
          <cell r="A31" t="str">
            <v>Blindware Signum Blockout Coffee</v>
          </cell>
        </row>
        <row r="32">
          <cell r="A32" t="str">
            <v>Blindware Signum Blockout Graphite</v>
          </cell>
        </row>
        <row r="33">
          <cell r="A33" t="str">
            <v>Blindware Signum Blockout Grass Silk</v>
          </cell>
        </row>
        <row r="34">
          <cell r="A34" t="str">
            <v>Blindware Signum Blockout Mist</v>
          </cell>
        </row>
        <row r="35">
          <cell r="A35" t="str">
            <v>Blindware Signum Blockout Oak</v>
          </cell>
        </row>
        <row r="36">
          <cell r="A36" t="str">
            <v>Blindware Signum Blockout Steel</v>
          </cell>
        </row>
        <row r="37">
          <cell r="A37" t="str">
            <v>Blindware Signum Blockout Storm</v>
          </cell>
        </row>
        <row r="38">
          <cell r="A38" t="str">
            <v>Blindware Signum Blockout TBA</v>
          </cell>
        </row>
        <row r="39">
          <cell r="A39" t="str">
            <v>Blindware Signum Blockout Umber</v>
          </cell>
        </row>
        <row r="40">
          <cell r="A40" t="str">
            <v>Blindware Signum Blockout Vanilla</v>
          </cell>
        </row>
        <row r="41">
          <cell r="A41" t="str">
            <v>Blindware Signum Blockout White</v>
          </cell>
        </row>
        <row r="42">
          <cell r="A42" t="str">
            <v>Blindware Signum Metallic Sunscreen Anthracite</v>
          </cell>
        </row>
        <row r="43">
          <cell r="A43" t="str">
            <v>Blindware Signum Metallic Sunscreen Basalt</v>
          </cell>
        </row>
        <row r="44">
          <cell r="A44" t="str">
            <v>Blindware Signum Metallic Sunscreen Charcoal</v>
          </cell>
        </row>
        <row r="45">
          <cell r="A45" t="str">
            <v>Blindware Signum Metallic Sunscreen Coffee</v>
          </cell>
        </row>
        <row r="46">
          <cell r="A46" t="str">
            <v>Blindware Signum Metallic Sunscreen Graphite</v>
          </cell>
        </row>
        <row r="47">
          <cell r="A47" t="str">
            <v>Blindware Signum Metallic Sunscreen Grass Silk</v>
          </cell>
        </row>
        <row r="48">
          <cell r="A48" t="str">
            <v>Blindware Signum Metallic Sunscreen Mist</v>
          </cell>
        </row>
        <row r="49">
          <cell r="A49" t="str">
            <v>Blindware Signum Metallic Sunscreen Oak</v>
          </cell>
        </row>
        <row r="50">
          <cell r="A50" t="str">
            <v>Blindware Signum Metallic Sunscreen Silver</v>
          </cell>
        </row>
        <row r="51">
          <cell r="A51" t="str">
            <v>Blindware Signum Metallic Sunscreen Steel</v>
          </cell>
        </row>
        <row r="52">
          <cell r="A52" t="str">
            <v>Blindware Signum Metallic Sunscreen Storm</v>
          </cell>
        </row>
        <row r="53">
          <cell r="A53" t="str">
            <v>Blindware Signum Metallic Sunscreen TBA</v>
          </cell>
        </row>
        <row r="54">
          <cell r="A54" t="str">
            <v>Blindware Signum Metallic Sunscreen Umber</v>
          </cell>
        </row>
        <row r="55">
          <cell r="A55" t="str">
            <v>Blindware Signum Metallic Sunscreen Vanilla</v>
          </cell>
        </row>
        <row r="56">
          <cell r="A56" t="str">
            <v>Blindware Signum Metallic Sunscreen White</v>
          </cell>
        </row>
        <row r="57">
          <cell r="A57" t="str">
            <v>Blindware Signum Sunscreen Anthracite</v>
          </cell>
        </row>
        <row r="58">
          <cell r="A58" t="str">
            <v>Blindware Signum Sunscreen Basalt</v>
          </cell>
        </row>
        <row r="59">
          <cell r="A59" t="str">
            <v>Blindware Signum Sunscreen Charcoal</v>
          </cell>
        </row>
        <row r="60">
          <cell r="A60" t="str">
            <v>Blindware Signum Sunscreen Coffee</v>
          </cell>
        </row>
        <row r="61">
          <cell r="A61" t="str">
            <v>Blindware Signum Sunscreen Graphite</v>
          </cell>
        </row>
        <row r="62">
          <cell r="A62" t="str">
            <v>Blindware Signum Sunscreen Grass Silk</v>
          </cell>
        </row>
        <row r="63">
          <cell r="A63" t="str">
            <v>Blindware Signum Sunscreen Mist</v>
          </cell>
        </row>
        <row r="64">
          <cell r="A64" t="str">
            <v>Blindware Signum Sunscreen Oak</v>
          </cell>
        </row>
        <row r="65">
          <cell r="A65" t="str">
            <v>Blindware Signum Sunscreen Steel</v>
          </cell>
        </row>
        <row r="66">
          <cell r="A66" t="str">
            <v>Blindware Signum Sunscreen Storm</v>
          </cell>
        </row>
        <row r="67">
          <cell r="A67" t="str">
            <v>Blindware Signum Sunscreen TBA</v>
          </cell>
        </row>
        <row r="68">
          <cell r="A68" t="str">
            <v>Blindware Signum Sunscreen Umber</v>
          </cell>
        </row>
        <row r="69">
          <cell r="A69" t="str">
            <v>Blindware Signum Sunscreen Vanilla</v>
          </cell>
        </row>
        <row r="70">
          <cell r="A70" t="str">
            <v>Blindware Signum Sunscreen White</v>
          </cell>
        </row>
        <row r="71">
          <cell r="A71" t="str">
            <v>Blindware Sunbloc Blockout Bronze</v>
          </cell>
          <cell r="B71" t="str">
            <v>Beige</v>
          </cell>
          <cell r="C71" t="str">
            <v>Anodised Silver</v>
          </cell>
          <cell r="D71" t="str">
            <v>Nickel Steel</v>
          </cell>
          <cell r="F71" t="str">
            <v>White</v>
          </cell>
        </row>
        <row r="72">
          <cell r="A72" t="str">
            <v>Blindware Sunbloc Blockout Charcoal</v>
          </cell>
          <cell r="B72" t="str">
            <v>Black</v>
          </cell>
          <cell r="C72" t="str">
            <v>Black</v>
          </cell>
          <cell r="D72" t="str">
            <v>Black</v>
          </cell>
          <cell r="F72" t="str">
            <v>Black</v>
          </cell>
        </row>
        <row r="73">
          <cell r="A73" t="str">
            <v>Blindware Sunbloc Blockout Charcoal Apricot</v>
          </cell>
          <cell r="B73" t="str">
            <v>Beige</v>
          </cell>
          <cell r="C73" t="str">
            <v>Anodised Silver</v>
          </cell>
          <cell r="D73" t="str">
            <v>Nickel Steel</v>
          </cell>
          <cell r="F73" t="str">
            <v>White</v>
          </cell>
        </row>
        <row r="74">
          <cell r="A74" t="str">
            <v>Blindware Sunbloc Blockout Charcoal Bronze</v>
          </cell>
          <cell r="B74" t="str">
            <v>Black</v>
          </cell>
          <cell r="C74" t="str">
            <v>Black</v>
          </cell>
          <cell r="D74" t="str">
            <v>Black</v>
          </cell>
          <cell r="F74" t="str">
            <v>Black</v>
          </cell>
        </row>
        <row r="75">
          <cell r="A75" t="str">
            <v>Blindware Sunbloc Blockout Charcoal Grey</v>
          </cell>
          <cell r="B75" t="str">
            <v>Black</v>
          </cell>
          <cell r="C75" t="str">
            <v>Anodised Silver</v>
          </cell>
          <cell r="D75" t="str">
            <v>Nickel Steel</v>
          </cell>
          <cell r="F75" t="str">
            <v>Black</v>
          </cell>
        </row>
        <row r="76">
          <cell r="A76" t="str">
            <v>Blindware Sunbloc Blockout Charcoal Sand</v>
          </cell>
          <cell r="B76" t="str">
            <v>Beige</v>
          </cell>
          <cell r="C76" t="str">
            <v>Anodised Silver</v>
          </cell>
          <cell r="D76" t="str">
            <v>Nickel Steel</v>
          </cell>
          <cell r="F76" t="str">
            <v>White</v>
          </cell>
        </row>
        <row r="77">
          <cell r="A77" t="str">
            <v>Blindware Sunbloc Blockout Grey</v>
          </cell>
          <cell r="B77" t="str">
            <v>White</v>
          </cell>
          <cell r="C77" t="str">
            <v>Anodised Silver</v>
          </cell>
          <cell r="D77" t="str">
            <v>Nickel Steel</v>
          </cell>
          <cell r="F77" t="str">
            <v>White</v>
          </cell>
        </row>
        <row r="78">
          <cell r="A78" t="str">
            <v>Blindware Sunbloc Blockout Linen</v>
          </cell>
          <cell r="B78" t="str">
            <v>Beige</v>
          </cell>
          <cell r="C78" t="str">
            <v>Anodised Silver</v>
          </cell>
          <cell r="D78" t="str">
            <v>Nickel Steel</v>
          </cell>
          <cell r="F78" t="str">
            <v>White</v>
          </cell>
        </row>
        <row r="79">
          <cell r="A79" t="str">
            <v>Blindware Sunbloc Blockout TBA</v>
          </cell>
          <cell r="F79" t="str">
            <v>White</v>
          </cell>
        </row>
        <row r="80">
          <cell r="A80" t="str">
            <v>Blindware Sunbloc Blockout White</v>
          </cell>
          <cell r="B80" t="str">
            <v>White</v>
          </cell>
          <cell r="C80" t="str">
            <v>White</v>
          </cell>
          <cell r="D80" t="str">
            <v>White</v>
          </cell>
          <cell r="F80" t="str">
            <v>White</v>
          </cell>
        </row>
        <row r="81">
          <cell r="A81" t="str">
            <v>Blindware Sunbloc Blockout White Grey</v>
          </cell>
          <cell r="B81" t="str">
            <v>White</v>
          </cell>
          <cell r="C81" t="str">
            <v>Anodised Silver</v>
          </cell>
          <cell r="D81" t="str">
            <v>Nickel Steel</v>
          </cell>
          <cell r="F81" t="str">
            <v>White</v>
          </cell>
        </row>
        <row r="82">
          <cell r="A82" t="str">
            <v>Blindware Sunbloc Blockout White Linen</v>
          </cell>
          <cell r="B82" t="str">
            <v>Birch White</v>
          </cell>
          <cell r="C82" t="str">
            <v>Cream</v>
          </cell>
          <cell r="D82" t="str">
            <v>Birch White</v>
          </cell>
          <cell r="F82" t="str">
            <v>White</v>
          </cell>
        </row>
        <row r="83">
          <cell r="A83" t="str">
            <v>Blindware Sunbloc Blockout White Stone</v>
          </cell>
          <cell r="B83" t="str">
            <v>Beige</v>
          </cell>
          <cell r="C83" t="str">
            <v>Anodised Silver</v>
          </cell>
          <cell r="D83" t="str">
            <v>Nickel Steel</v>
          </cell>
          <cell r="F83" t="str">
            <v>White</v>
          </cell>
        </row>
        <row r="84">
          <cell r="A84" t="str">
            <v>Louvolite Albery Light Filtering TBA</v>
          </cell>
        </row>
        <row r="85">
          <cell r="A85" t="str">
            <v>Louvolite Ayana Light Filtering TBA</v>
          </cell>
        </row>
        <row r="86">
          <cell r="A86" t="str">
            <v>Louvolite Banbury Blockout TBA</v>
          </cell>
        </row>
        <row r="87">
          <cell r="A87" t="str">
            <v>Louvolite Banbury Light Filtering TBA</v>
          </cell>
        </row>
        <row r="88">
          <cell r="A88" t="str">
            <v>Louvolite Banbury+ Blockout Charcoal</v>
          </cell>
        </row>
        <row r="89">
          <cell r="A89" t="str">
            <v>Louvolite Banbury+ Blockout Oatmeal</v>
          </cell>
        </row>
        <row r="90">
          <cell r="A90" t="str">
            <v>Louvolite Banbury+ Blockout Parchment</v>
          </cell>
        </row>
        <row r="91">
          <cell r="A91" t="str">
            <v>Louvolite Banbury+ Blockout TBA</v>
          </cell>
        </row>
        <row r="92">
          <cell r="A92" t="str">
            <v>Louvolite Banbury+ Blockout White</v>
          </cell>
        </row>
        <row r="93">
          <cell r="A93" t="str">
            <v>Louvolite Basix Blockout Apple</v>
          </cell>
        </row>
        <row r="94">
          <cell r="A94" t="str">
            <v>Louvolite Basix Blockout Eggshell</v>
          </cell>
        </row>
        <row r="95">
          <cell r="A95" t="str">
            <v>Louvolite Basix Blockout Frost</v>
          </cell>
        </row>
        <row r="96">
          <cell r="A96" t="str">
            <v>Louvolite Basix Blockout Pearl</v>
          </cell>
        </row>
        <row r="97">
          <cell r="A97" t="str">
            <v>Louvolite Basix Blockout Sand</v>
          </cell>
        </row>
        <row r="98">
          <cell r="A98" t="str">
            <v>Louvolite Basix Blockout Shale</v>
          </cell>
        </row>
        <row r="99">
          <cell r="A99" t="str">
            <v>Louvolite Basix Blockout Sky</v>
          </cell>
        </row>
        <row r="100">
          <cell r="A100" t="str">
            <v>Louvolite Basix Blockout TBA</v>
          </cell>
        </row>
        <row r="101">
          <cell r="A101" t="str">
            <v>Louvolite Basix Blockout Wheat</v>
          </cell>
        </row>
        <row r="102">
          <cell r="A102" t="str">
            <v>Louvolite Bayside Blockout TBA</v>
          </cell>
        </row>
        <row r="103">
          <cell r="A103" t="str">
            <v>Louvolite Birdsong Blockout TBA</v>
          </cell>
        </row>
        <row r="104">
          <cell r="A104" t="str">
            <v>Louvolite Bloom Blockout Amilee</v>
          </cell>
          <cell r="B104" t="str">
            <v>White</v>
          </cell>
          <cell r="C104" t="str">
            <v>Anodised Silver</v>
          </cell>
          <cell r="D104" t="str">
            <v>Nickel Steel</v>
          </cell>
          <cell r="F104" t="str">
            <v>White</v>
          </cell>
        </row>
        <row r="105">
          <cell r="A105" t="str">
            <v>Louvolite Bloom Blockout Juno</v>
          </cell>
          <cell r="B105" t="str">
            <v>White</v>
          </cell>
          <cell r="C105" t="str">
            <v>White</v>
          </cell>
          <cell r="D105" t="str">
            <v>White</v>
          </cell>
          <cell r="F105" t="str">
            <v>White</v>
          </cell>
        </row>
        <row r="106">
          <cell r="A106" t="str">
            <v>Louvolite Bloom Blockout TBA</v>
          </cell>
        </row>
        <row r="107">
          <cell r="A107" t="str">
            <v>Louvolite Blossom Blockout TBA</v>
          </cell>
        </row>
        <row r="108">
          <cell r="A108" t="str">
            <v>Louvolite Carnival Blockout Birch</v>
          </cell>
        </row>
        <row r="109">
          <cell r="A109" t="str">
            <v>Louvolite Carnival Blockout Blossom</v>
          </cell>
        </row>
        <row r="110">
          <cell r="A110" t="str">
            <v>Louvolite Carnival Blockout Bonbon</v>
          </cell>
        </row>
        <row r="111">
          <cell r="A111" t="str">
            <v>Louvolite Carnival Blockout Buttercup</v>
          </cell>
        </row>
        <row r="112">
          <cell r="A112" t="str">
            <v>Louvolite Carnival Blockout Caramel</v>
          </cell>
        </row>
        <row r="113">
          <cell r="A113" t="str">
            <v>Louvolite Carnival Blockout Chartreuse</v>
          </cell>
        </row>
        <row r="114">
          <cell r="A114" t="str">
            <v>Louvolite Carnival Blockout Chelsea Red</v>
          </cell>
        </row>
        <row r="115">
          <cell r="A115" t="str">
            <v>Louvolite Carnival Blockout China White</v>
          </cell>
        </row>
        <row r="116">
          <cell r="A116" t="str">
            <v>Louvolite Carnival Blockout Claret</v>
          </cell>
        </row>
        <row r="117">
          <cell r="A117" t="str">
            <v>Louvolite Carnival Blockout Clay</v>
          </cell>
        </row>
        <row r="118">
          <cell r="A118" t="str">
            <v>Louvolite Carnival Blockout Coral</v>
          </cell>
        </row>
        <row r="119">
          <cell r="A119" t="str">
            <v>Louvolite Carnival Blockout Cornflour</v>
          </cell>
        </row>
        <row r="120">
          <cell r="A120" t="str">
            <v>Louvolite Carnival Blockout Cream</v>
          </cell>
        </row>
        <row r="121">
          <cell r="A121" t="str">
            <v>Louvolite Carnival Blockout Denim</v>
          </cell>
        </row>
        <row r="122">
          <cell r="A122" t="str">
            <v>Louvolite Carnival Blockout Ecru</v>
          </cell>
        </row>
        <row r="123">
          <cell r="A123" t="str">
            <v>Louvolite Carnival Blockout Fuschia</v>
          </cell>
        </row>
        <row r="124">
          <cell r="A124" t="str">
            <v>Louvolite Carnival Blockout Grape</v>
          </cell>
        </row>
        <row r="125">
          <cell r="A125" t="str">
            <v>Louvolite Carnival Blockout Heather</v>
          </cell>
        </row>
        <row r="126">
          <cell r="A126" t="str">
            <v>Louvolite Carnival Blockout Hessian</v>
          </cell>
        </row>
        <row r="127">
          <cell r="A127" t="str">
            <v>Louvolite Carnival Blockout Ivory</v>
          </cell>
        </row>
        <row r="128">
          <cell r="A128" t="str">
            <v>Louvolite Carnival Blockout Ivy</v>
          </cell>
        </row>
        <row r="129">
          <cell r="A129" t="str">
            <v>Louvolite Carnival Blockout Kiwi</v>
          </cell>
        </row>
        <row r="130">
          <cell r="A130" t="str">
            <v>Louvolite Carnival Blockout Lily</v>
          </cell>
        </row>
        <row r="131">
          <cell r="A131" t="str">
            <v>Louvolite Carnival Blockout Lime</v>
          </cell>
        </row>
        <row r="132">
          <cell r="A132" t="str">
            <v>Louvolite Carnival Blockout Luna</v>
          </cell>
        </row>
        <row r="133">
          <cell r="A133" t="str">
            <v>Louvolite Carnival Blockout Maraschino</v>
          </cell>
        </row>
        <row r="134">
          <cell r="A134" t="str">
            <v>Louvolite Carnival Blockout Mink</v>
          </cell>
        </row>
        <row r="135">
          <cell r="A135" t="str">
            <v>Louvolite Carnival Blockout Misty Blue</v>
          </cell>
        </row>
        <row r="136">
          <cell r="A136" t="str">
            <v>Louvolite Carnival Blockout Mulberry</v>
          </cell>
        </row>
        <row r="137">
          <cell r="A137" t="str">
            <v>Louvolite Carnival Blockout Navy</v>
          </cell>
        </row>
        <row r="138">
          <cell r="A138" t="str">
            <v>Louvolite Carnival Blockout Ochre</v>
          </cell>
        </row>
        <row r="139">
          <cell r="A139" t="str">
            <v>Louvolite Carnival Blockout Pacific</v>
          </cell>
        </row>
        <row r="140">
          <cell r="A140" t="str">
            <v>Louvolite Carnival Blockout Paloma</v>
          </cell>
        </row>
        <row r="141">
          <cell r="A141" t="str">
            <v>Louvolite Carnival Blockout Papaya</v>
          </cell>
        </row>
        <row r="142">
          <cell r="A142" t="str">
            <v>Louvolite Carnival Blockout Peony</v>
          </cell>
        </row>
        <row r="143">
          <cell r="A143" t="str">
            <v>Louvolite Carnival Blockout Pewter</v>
          </cell>
        </row>
        <row r="144">
          <cell r="A144" t="str">
            <v>Louvolite Carnival Blockout Powder Blue</v>
          </cell>
        </row>
        <row r="145">
          <cell r="A145" t="str">
            <v>Louvolite Carnival Blockout Praline</v>
          </cell>
        </row>
        <row r="146">
          <cell r="A146" t="str">
            <v>Louvolite Carnival Blockout Purple</v>
          </cell>
        </row>
        <row r="147">
          <cell r="A147" t="str">
            <v>Louvolite Carnival Blockout Raven</v>
          </cell>
        </row>
        <row r="148">
          <cell r="A148" t="str">
            <v>Louvolite Carnival Blockout Royal</v>
          </cell>
        </row>
        <row r="149">
          <cell r="A149" t="str">
            <v>Louvolite Carnival Blockout Scuba</v>
          </cell>
        </row>
        <row r="150">
          <cell r="A150" t="str">
            <v>Louvolite Carnival Blockout Sky</v>
          </cell>
        </row>
        <row r="151">
          <cell r="A151" t="str">
            <v>Louvolite Carnival Blockout Spring Green</v>
          </cell>
        </row>
        <row r="152">
          <cell r="A152" t="str">
            <v>Louvolite Carnival Blockout Sunset</v>
          </cell>
        </row>
        <row r="153">
          <cell r="A153" t="str">
            <v>Louvolite Carnival Blockout Taupe</v>
          </cell>
        </row>
        <row r="154">
          <cell r="A154" t="str">
            <v>Louvolite Carnival Blockout TBA</v>
          </cell>
        </row>
        <row r="155">
          <cell r="A155" t="str">
            <v>Louvolite Carnival Blockout Truffle</v>
          </cell>
        </row>
        <row r="156">
          <cell r="A156" t="str">
            <v>Louvolite Carnival Blockout Willow</v>
          </cell>
        </row>
        <row r="157">
          <cell r="A157" t="str">
            <v>Louvolite Carnival SPC Low E Blockout TBA</v>
          </cell>
        </row>
        <row r="158">
          <cell r="A158" t="str">
            <v>Louvolite Chenile Blockout Angora</v>
          </cell>
        </row>
        <row r="159">
          <cell r="A159" t="str">
            <v>Louvolite Chenile Blockout Duckegg</v>
          </cell>
        </row>
        <row r="160">
          <cell r="A160" t="str">
            <v>Louvolite Chenile Blockout Mauve</v>
          </cell>
        </row>
        <row r="161">
          <cell r="A161" t="str">
            <v>Louvolite Chenile Blockout Mink</v>
          </cell>
        </row>
        <row r="162">
          <cell r="A162" t="str">
            <v>Louvolite Chenile Blockout Olive</v>
          </cell>
        </row>
        <row r="163">
          <cell r="A163" t="str">
            <v>Louvolite Chenile Blockout Pebble</v>
          </cell>
        </row>
        <row r="164">
          <cell r="A164" t="str">
            <v>Louvolite Chenile Blockout TBA</v>
          </cell>
        </row>
        <row r="165">
          <cell r="A165" t="str">
            <v>Louvolite Chenille Blockout TBA</v>
          </cell>
        </row>
        <row r="166">
          <cell r="A166" t="str">
            <v>Louvolite Cherry Blossom Blockout  TBA</v>
          </cell>
        </row>
        <row r="167">
          <cell r="A167" t="str">
            <v>Louvolite Classic Blockout TBA</v>
          </cell>
        </row>
        <row r="168">
          <cell r="A168" t="str">
            <v>Louvolite Collina Blockout Antique Gold</v>
          </cell>
        </row>
        <row r="169">
          <cell r="A169" t="str">
            <v>Louvolite Collina Blockout Champagne Fizz</v>
          </cell>
        </row>
        <row r="170">
          <cell r="A170" t="str">
            <v>Louvolite Collina Blockout Chocolate Caramel</v>
          </cell>
        </row>
        <row r="171">
          <cell r="A171" t="str">
            <v>Louvolite Collina Blockout Lily Pad</v>
          </cell>
        </row>
        <row r="172">
          <cell r="A172" t="str">
            <v>Louvolite Collina Blockout TBA</v>
          </cell>
        </row>
        <row r="173">
          <cell r="A173" t="str">
            <v>Louvolite Colourtex SPC Blockout TBA</v>
          </cell>
        </row>
        <row r="174">
          <cell r="A174" t="str">
            <v>Louvolite Como Blockout Albatross</v>
          </cell>
        </row>
        <row r="175">
          <cell r="A175" t="str">
            <v>Louvolite Como Blockout Lago</v>
          </cell>
        </row>
        <row r="176">
          <cell r="A176" t="str">
            <v>Louvolite Como Blockout Ocra</v>
          </cell>
        </row>
        <row r="177">
          <cell r="A177" t="str">
            <v>Louvolite Contex SPC Blockout TBA</v>
          </cell>
        </row>
        <row r="178">
          <cell r="A178" t="str">
            <v>Louvolite Coral Light Filtering TBA</v>
          </cell>
        </row>
        <row r="179">
          <cell r="A179" t="str">
            <v>Louvolite Crush Blockout  TBA</v>
          </cell>
        </row>
        <row r="180">
          <cell r="A180" t="str">
            <v>Louvolite Crystal Blockout  TBA</v>
          </cell>
        </row>
        <row r="181">
          <cell r="A181" t="str">
            <v>Louvolite Dapple SPC+ Blockout TBA</v>
          </cell>
        </row>
        <row r="182">
          <cell r="A182" t="str">
            <v>Louvolite Daybreak Light Filtering TBA</v>
          </cell>
        </row>
        <row r="183">
          <cell r="A183" t="str">
            <v>Louvolite Ex-Lite + Blockout TBA</v>
          </cell>
        </row>
        <row r="184">
          <cell r="A184" t="str">
            <v>Louvolite Ex-Lite Blockout TBA</v>
          </cell>
        </row>
        <row r="185">
          <cell r="A185" t="str">
            <v>Louvolite Farrah Blockout Citrine</v>
          </cell>
        </row>
        <row r="186">
          <cell r="A186" t="str">
            <v>Louvolite Farrah Blockout Copper</v>
          </cell>
        </row>
        <row r="187">
          <cell r="A187" t="str">
            <v>Louvolite Farrah Blockout Quartz</v>
          </cell>
        </row>
        <row r="188">
          <cell r="A188" t="str">
            <v>Louvolite Farrah Blockout Sapphire</v>
          </cell>
        </row>
        <row r="189">
          <cell r="A189" t="str">
            <v>Louvolite Farrah Blockout TBA</v>
          </cell>
        </row>
        <row r="190">
          <cell r="A190" t="str">
            <v>Louvolite Fresco + Blockout Cream</v>
          </cell>
        </row>
        <row r="191">
          <cell r="A191" t="str">
            <v>Louvolite Fresco + Blockout Ivory</v>
          </cell>
        </row>
        <row r="192">
          <cell r="A192" t="str">
            <v>Louvolite Fresco + Blockout Mocha</v>
          </cell>
        </row>
        <row r="193">
          <cell r="A193" t="str">
            <v>Louvolite Fresco + Blockout TBA</v>
          </cell>
        </row>
        <row r="194">
          <cell r="A194" t="str">
            <v>Louvolite Fresco + Blockout Truffle</v>
          </cell>
        </row>
        <row r="195">
          <cell r="A195" t="str">
            <v>Louvolite Fruity Blockout TBA</v>
          </cell>
        </row>
        <row r="196">
          <cell r="A196" t="str">
            <v>Louvolite G Raff Blockout Jungle Fever</v>
          </cell>
        </row>
        <row r="197">
          <cell r="A197" t="str">
            <v>Louvolite Guardian Blockout TBA</v>
          </cell>
        </row>
        <row r="198">
          <cell r="A198" t="str">
            <v>Louvolite Hampton Blockout TBA</v>
          </cell>
        </row>
        <row r="199">
          <cell r="A199" t="str">
            <v>Louvolite Havana Blockout Blues</v>
          </cell>
        </row>
        <row r="200">
          <cell r="A200" t="str">
            <v>Louvolite Havana Blockout Cadillac</v>
          </cell>
        </row>
        <row r="201">
          <cell r="A201" t="str">
            <v>Louvolite Havana Blockout Cuban</v>
          </cell>
        </row>
        <row r="202">
          <cell r="A202" t="str">
            <v>Louvolite Havana Blockout Lime</v>
          </cell>
        </row>
        <row r="203">
          <cell r="A203" t="str">
            <v>Louvolite Herringbone Light Filtering TBA</v>
          </cell>
        </row>
        <row r="204">
          <cell r="A204" t="str">
            <v>Louvolite Inky Blockout TBA</v>
          </cell>
        </row>
        <row r="205">
          <cell r="A205" t="str">
            <v>Louvolite Jurassic Blockout TBA</v>
          </cell>
        </row>
        <row r="206">
          <cell r="A206" t="str">
            <v>Louvolite Liberty Blockout Amethyst</v>
          </cell>
        </row>
        <row r="207">
          <cell r="A207" t="str">
            <v>Louvolite Liberty Blockout Azalea</v>
          </cell>
        </row>
        <row r="208">
          <cell r="A208" t="str">
            <v>Louvolite Liberty Blockout Azure</v>
          </cell>
        </row>
        <row r="209">
          <cell r="A209" t="str">
            <v>Louvolite Liberty Blockout TBA</v>
          </cell>
        </row>
        <row r="210">
          <cell r="A210" t="str">
            <v>Louvolite Linara Blockout TBA</v>
          </cell>
        </row>
        <row r="211">
          <cell r="A211" t="str">
            <v>Louvolite Magnolia Blockout Inky</v>
          </cell>
        </row>
        <row r="212">
          <cell r="A212" t="str">
            <v>Louvolite Magnolia Blockout Pipin</v>
          </cell>
        </row>
        <row r="213">
          <cell r="A213" t="str">
            <v>Louvolite Magnolia Blockout Rosa</v>
          </cell>
          <cell r="B213" t="str">
            <v>White</v>
          </cell>
          <cell r="C213" t="str">
            <v>White</v>
          </cell>
          <cell r="D213" t="str">
            <v>White</v>
          </cell>
          <cell r="F213" t="str">
            <v>White</v>
          </cell>
        </row>
        <row r="214">
          <cell r="A214" t="str">
            <v>Louvolite Maine Blockout Angora</v>
          </cell>
        </row>
        <row r="215">
          <cell r="A215" t="str">
            <v>Louvolite Maine Blockout Maize</v>
          </cell>
        </row>
        <row r="216">
          <cell r="A216" t="str">
            <v>Louvolite Maine Blockout TBA</v>
          </cell>
        </row>
        <row r="217">
          <cell r="A217" t="str">
            <v>Louvolite Maine Blockout Truffle</v>
          </cell>
        </row>
        <row r="218">
          <cell r="A218" t="str">
            <v>Louvolite Maine Blockout White</v>
          </cell>
        </row>
        <row r="219">
          <cell r="A219" t="str">
            <v>Louvolite Malmo Light Filtering TBA</v>
          </cell>
        </row>
        <row r="220">
          <cell r="A220" t="str">
            <v>Louvolite Marble Blockout TBA</v>
          </cell>
        </row>
        <row r="221">
          <cell r="A221" t="str">
            <v>Louvolite Marley Blockout TBA</v>
          </cell>
        </row>
        <row r="222">
          <cell r="A222" t="str">
            <v>Louvolite Meadow Light Filtering TBA</v>
          </cell>
        </row>
        <row r="223">
          <cell r="A223" t="str">
            <v>Louvolite Melton Light Filtering  TBA</v>
          </cell>
        </row>
        <row r="224">
          <cell r="A224" t="str">
            <v>Louvolite Mineral Blockout TBA</v>
          </cell>
        </row>
        <row r="225">
          <cell r="A225" t="str">
            <v>Louvolite Monroe Light Filtering TBA</v>
          </cell>
        </row>
        <row r="226">
          <cell r="A226" t="str">
            <v>Louvolite Montana Blockout Black</v>
          </cell>
        </row>
        <row r="227">
          <cell r="A227" t="str">
            <v>Louvolite Montana Blockout Buffalo</v>
          </cell>
        </row>
        <row r="228">
          <cell r="A228" t="str">
            <v>Louvolite Montana Blockout Moccasin</v>
          </cell>
        </row>
        <row r="229">
          <cell r="A229" t="str">
            <v>Louvolite Montana Blockout Praire</v>
          </cell>
        </row>
        <row r="230">
          <cell r="A230" t="str">
            <v>Louvolite Montana Blockout Saddle</v>
          </cell>
        </row>
        <row r="231">
          <cell r="A231" t="str">
            <v>Louvolite Montana Blockout TBA</v>
          </cell>
        </row>
        <row r="232">
          <cell r="A232" t="str">
            <v>Louvolite Monterey Blockout TBA</v>
          </cell>
        </row>
        <row r="233">
          <cell r="A233" t="str">
            <v>Louvolite Night Night Blockout Glow</v>
          </cell>
        </row>
        <row r="234">
          <cell r="A234" t="str">
            <v>Louvolite Nimbus Blockout Cloud</v>
          </cell>
        </row>
        <row r="235">
          <cell r="A235" t="str">
            <v>Louvolite Nimbus Blockout Fog</v>
          </cell>
        </row>
        <row r="236">
          <cell r="A236" t="str">
            <v>Louvolite Nimbus Blockout Frost</v>
          </cell>
        </row>
        <row r="237">
          <cell r="A237" t="str">
            <v>Louvolite Nimbus Blockout Haze</v>
          </cell>
        </row>
        <row r="238">
          <cell r="A238" t="str">
            <v>Louvolite Nimbus Blockout Misty</v>
          </cell>
        </row>
        <row r="239">
          <cell r="A239" t="str">
            <v>Louvolite Nimbus Blockout Storm</v>
          </cell>
        </row>
        <row r="240">
          <cell r="A240" t="str">
            <v>Louvolite Nimbus Blockout TBA</v>
          </cell>
        </row>
        <row r="241">
          <cell r="A241" t="str">
            <v>Louvolite Nimbus Light Filtering TBA</v>
          </cell>
        </row>
        <row r="242">
          <cell r="A242" t="str">
            <v>Louvolite Oslo Light Filtering TBA</v>
          </cell>
        </row>
        <row r="243">
          <cell r="A243" t="str">
            <v>Louvolite Otto Blockout TBA</v>
          </cell>
        </row>
        <row r="244">
          <cell r="A244" t="str">
            <v>Louvolite Palm Blockout TBA</v>
          </cell>
        </row>
        <row r="245">
          <cell r="A245" t="str">
            <v>Louvolite Paradise Blockout Cerise</v>
          </cell>
        </row>
        <row r="246">
          <cell r="A246" t="str">
            <v>Louvolite Paradise Blockout Chartreuse</v>
          </cell>
        </row>
        <row r="247">
          <cell r="A247" t="str">
            <v>Louvolite Paradise Blockout Peacock</v>
          </cell>
        </row>
        <row r="248">
          <cell r="A248" t="str">
            <v>Louvolite Paradise Blockout Silver</v>
          </cell>
        </row>
        <row r="249">
          <cell r="A249" t="str">
            <v>Louvolite Paradise Blockout TBA</v>
          </cell>
        </row>
        <row r="250">
          <cell r="A250" t="str">
            <v>Louvolite Party Animals Blockout Boogie</v>
          </cell>
        </row>
        <row r="251">
          <cell r="A251" t="str">
            <v>Louvolite Pebbles Blockout Charteuse</v>
          </cell>
        </row>
        <row r="252">
          <cell r="A252" t="str">
            <v>Louvolite Pebbles Blockout Fool's Gold</v>
          </cell>
        </row>
        <row r="253">
          <cell r="A253" t="str">
            <v>Louvolite Pebbles Blockout Moonlight Blue</v>
          </cell>
        </row>
        <row r="254">
          <cell r="A254" t="str">
            <v>Louvolite Pebbles Blockout Riumba Red</v>
          </cell>
        </row>
        <row r="255">
          <cell r="A255" t="str">
            <v>Louvolite Perspective Screen TBA</v>
          </cell>
        </row>
        <row r="256">
          <cell r="A256" t="str">
            <v>Louvolite Pico Blockout TBA</v>
          </cell>
        </row>
        <row r="257">
          <cell r="A257" t="str">
            <v>louvolite Portland Light Filtering TBA</v>
          </cell>
        </row>
        <row r="258">
          <cell r="A258" t="str">
            <v>Louvolite Preto Blockout TBA</v>
          </cell>
        </row>
        <row r="259">
          <cell r="A259" t="str">
            <v>Louvolite Prima Blockout  TBA</v>
          </cell>
        </row>
        <row r="260">
          <cell r="A260" t="str">
            <v>Louvolite Prima Dimout Blockout TBA</v>
          </cell>
        </row>
        <row r="261">
          <cell r="A261" t="str">
            <v>Louvolite Quinton Blockout TBA</v>
          </cell>
        </row>
        <row r="262">
          <cell r="A262" t="str">
            <v>Louvolite Ravello Blockout TBA</v>
          </cell>
        </row>
        <row r="263">
          <cell r="A263" t="str">
            <v>Louvolite Regatta Blockout Seaspray</v>
          </cell>
        </row>
        <row r="264">
          <cell r="A264" t="str">
            <v>Louvolite Regency SPC Blockout TBA</v>
          </cell>
        </row>
        <row r="265">
          <cell r="A265" t="str">
            <v>Louvolite Ritz Light Filtering TBA</v>
          </cell>
        </row>
        <row r="266">
          <cell r="A266" t="str">
            <v>Louvolite Romany Blockout TBA</v>
          </cell>
        </row>
        <row r="267">
          <cell r="A267" t="str">
            <v>Louvolite Secoura Sunscreen Ash</v>
          </cell>
        </row>
        <row r="268">
          <cell r="A268" t="str">
            <v>Louvolite Secoura Sunscreen Iron Grey</v>
          </cell>
        </row>
        <row r="269">
          <cell r="A269" t="str">
            <v>Louvolite Secoura Sunscreen Liquorice</v>
          </cell>
        </row>
        <row r="270">
          <cell r="A270" t="str">
            <v>Louvolite Secoura Sunscreen Sandstone</v>
          </cell>
        </row>
        <row r="271">
          <cell r="A271" t="str">
            <v>Louvolite Secoura Sunscreen TBA</v>
          </cell>
        </row>
        <row r="272">
          <cell r="A272" t="str">
            <v>Louvolite Secoura Sunscreen White</v>
          </cell>
        </row>
        <row r="273">
          <cell r="A273" t="str">
            <v>Louvolite Serenade Blockout Charcoal</v>
          </cell>
        </row>
        <row r="274">
          <cell r="A274" t="str">
            <v>Louvolite Serenade Blockout Desert Sand</v>
          </cell>
        </row>
        <row r="275">
          <cell r="A275" t="str">
            <v>Louvolite Serenade Blockout Driftwood</v>
          </cell>
        </row>
        <row r="276">
          <cell r="A276" t="str">
            <v>Louvolite Serenade Blockout Pearl</v>
          </cell>
        </row>
        <row r="277">
          <cell r="A277" t="str">
            <v>Louvolite Serenade Blockout Pebble</v>
          </cell>
        </row>
        <row r="278">
          <cell r="A278" t="str">
            <v>Louvolite Serenade Blockout TBA</v>
          </cell>
        </row>
        <row r="279">
          <cell r="A279" t="str">
            <v>Louvolite Shot Silk Blockout Burgundy</v>
          </cell>
        </row>
        <row r="280">
          <cell r="A280" t="str">
            <v>Louvolite Shot Silk Blockout Champagne</v>
          </cell>
        </row>
        <row r="281">
          <cell r="A281" t="str">
            <v>Louvolite Shot Silk Blockout Cream</v>
          </cell>
        </row>
        <row r="282">
          <cell r="A282" t="str">
            <v>Louvolite Shot Silk Blockout Duckegg</v>
          </cell>
        </row>
        <row r="283">
          <cell r="A283" t="str">
            <v>Louvolite Shot Silk Blockout Ivory</v>
          </cell>
        </row>
        <row r="284">
          <cell r="A284" t="str">
            <v>Louvolite Shot Silk Blockout Latte</v>
          </cell>
        </row>
        <row r="285">
          <cell r="A285" t="str">
            <v>Louvolite Shot Silk Blockout Mink</v>
          </cell>
        </row>
        <row r="286">
          <cell r="A286" t="str">
            <v>Louvolite Shot Silk Blockout Olive</v>
          </cell>
        </row>
        <row r="287">
          <cell r="A287" t="str">
            <v>Louvolite Shot Silk Blockout TBA</v>
          </cell>
        </row>
        <row r="288">
          <cell r="A288" t="str">
            <v>Louvolite Shot Silk Blockout Teal</v>
          </cell>
        </row>
        <row r="289">
          <cell r="A289" t="str">
            <v>Louvolite Sketch Blcokout TBA</v>
          </cell>
        </row>
        <row r="290">
          <cell r="A290" t="str">
            <v>Louvolite Snowflake Blockout TBA</v>
          </cell>
        </row>
        <row r="291">
          <cell r="A291" t="str">
            <v>Louvolite Sparkle Light Filtering TBA</v>
          </cell>
        </row>
        <row r="292">
          <cell r="A292" t="str">
            <v>Louvolite Strata SPC Blockout TBA</v>
          </cell>
        </row>
        <row r="293">
          <cell r="A293" t="str">
            <v>Louvolite Sunset Blockout TBA</v>
          </cell>
        </row>
        <row r="294">
          <cell r="A294" t="str">
            <v>Louvolite Topaz Blockout Birch</v>
          </cell>
        </row>
        <row r="295">
          <cell r="A295" t="str">
            <v>Louvolite Topaz Blockout Charcoal</v>
          </cell>
        </row>
        <row r="296">
          <cell r="A296" t="str">
            <v>Louvolite Topaz Blockout Cream</v>
          </cell>
        </row>
        <row r="297">
          <cell r="A297" t="str">
            <v>Louvolite Topaz Blockout Fudge</v>
          </cell>
        </row>
        <row r="298">
          <cell r="A298" t="str">
            <v>Louvolite Topaz Blockout Ivory</v>
          </cell>
        </row>
        <row r="299">
          <cell r="A299" t="str">
            <v>Louvolite Topaz Blockout Slate</v>
          </cell>
        </row>
        <row r="300">
          <cell r="A300" t="str">
            <v>Louvolite Topaz Blockout TBA</v>
          </cell>
        </row>
        <row r="301">
          <cell r="A301" t="str">
            <v>Louvolite Topsy Blockout TBA</v>
          </cell>
        </row>
        <row r="302">
          <cell r="A302" t="str">
            <v>Louvolite Tundra Light Filtering TBA</v>
          </cell>
        </row>
        <row r="303">
          <cell r="A303" t="str">
            <v>Louvolite Vermont Blockout  TBA</v>
          </cell>
        </row>
        <row r="304">
          <cell r="A304" t="str">
            <v>Louvolite Versailles Blockout TBA</v>
          </cell>
        </row>
        <row r="305">
          <cell r="A305" t="str">
            <v>Louvolite Viva Light Filtering TBA</v>
          </cell>
        </row>
        <row r="306">
          <cell r="A306" t="str">
            <v>Louvolite Wildflower Blockout TBA</v>
          </cell>
        </row>
        <row r="307">
          <cell r="A307" t="str">
            <v>Louvolite Willow Blockout TBA</v>
          </cell>
        </row>
        <row r="308">
          <cell r="A308" t="str">
            <v>Louvolite Wonderland Blockout TBA</v>
          </cell>
        </row>
        <row r="309">
          <cell r="A309" t="str">
            <v>Maurice Kain Woolamai Light Filtering Basalt</v>
          </cell>
          <cell r="B309" t="str">
            <v>Black</v>
          </cell>
          <cell r="C309" t="str">
            <v>Black</v>
          </cell>
          <cell r="D309" t="str">
            <v>Black</v>
          </cell>
          <cell r="F309" t="str">
            <v>Black</v>
          </cell>
        </row>
        <row r="310">
          <cell r="A310" t="str">
            <v>Maurice Kain Woolamai Light Filtering Cloud</v>
          </cell>
          <cell r="B310" t="str">
            <v>White</v>
          </cell>
          <cell r="C310" t="str">
            <v>White</v>
          </cell>
          <cell r="D310" t="str">
            <v>White</v>
          </cell>
          <cell r="F310" t="str">
            <v>White</v>
          </cell>
        </row>
        <row r="311">
          <cell r="A311" t="str">
            <v>Maurice Kain Woolamai Light Filtering Driftwood</v>
          </cell>
          <cell r="B311" t="str">
            <v>Cream</v>
          </cell>
          <cell r="C311" t="str">
            <v>Cream</v>
          </cell>
          <cell r="D311" t="str">
            <v>Cream</v>
          </cell>
          <cell r="F311" t="str">
            <v>White</v>
          </cell>
        </row>
        <row r="312">
          <cell r="A312" t="str">
            <v>Maurice Kain Woolamai Light Filtering Onyx</v>
          </cell>
          <cell r="B312" t="str">
            <v>Black</v>
          </cell>
          <cell r="C312" t="str">
            <v>Black</v>
          </cell>
          <cell r="D312" t="str">
            <v>Black</v>
          </cell>
          <cell r="F312" t="str">
            <v>Black</v>
          </cell>
        </row>
        <row r="313">
          <cell r="A313" t="str">
            <v>Maurice Kain Woolamai Light Filtering Sand</v>
          </cell>
          <cell r="B313" t="str">
            <v>White</v>
          </cell>
          <cell r="C313" t="str">
            <v>White</v>
          </cell>
          <cell r="D313" t="str">
            <v>White</v>
          </cell>
          <cell r="F313" t="str">
            <v>White</v>
          </cell>
        </row>
        <row r="314">
          <cell r="A314" t="str">
            <v>Maurice Kain Woolamai Light Filtering Silver</v>
          </cell>
          <cell r="B314" t="str">
            <v>White</v>
          </cell>
          <cell r="C314" t="str">
            <v>White</v>
          </cell>
          <cell r="D314" t="str">
            <v>White</v>
          </cell>
          <cell r="F314" t="str">
            <v>White</v>
          </cell>
        </row>
        <row r="315">
          <cell r="A315" t="str">
            <v>Maurice Kain Woolamai Light Filtering Stone</v>
          </cell>
          <cell r="B315" t="str">
            <v>Beige</v>
          </cell>
          <cell r="C315" t="str">
            <v>Anodised Silver</v>
          </cell>
          <cell r="D315" t="str">
            <v>Beige</v>
          </cell>
          <cell r="F315" t="str">
            <v>White</v>
          </cell>
        </row>
        <row r="316">
          <cell r="A316" t="str">
            <v>Maurice Kain Woolamai Light Filtering Storm</v>
          </cell>
          <cell r="B316" t="str">
            <v>White</v>
          </cell>
          <cell r="C316" t="str">
            <v>White</v>
          </cell>
          <cell r="D316" t="str">
            <v>White</v>
          </cell>
          <cell r="F316" t="str">
            <v>White</v>
          </cell>
        </row>
        <row r="317">
          <cell r="A317" t="str">
            <v>Maurice Kain Woolamai Light Filtering TBA</v>
          </cell>
          <cell r="B317" t="str">
            <v>White</v>
          </cell>
          <cell r="C317" t="str">
            <v>White</v>
          </cell>
          <cell r="D317" t="str">
            <v>White</v>
          </cell>
          <cell r="F317" t="str">
            <v>White</v>
          </cell>
        </row>
        <row r="318">
          <cell r="A318" t="str">
            <v>Mermet E Screen 7505 Sunscreen Charcoal/Charcoal</v>
          </cell>
        </row>
        <row r="319">
          <cell r="A319" t="str">
            <v>Mermet E Screen 7505 Sunscreen Charcoal/Cocoa</v>
          </cell>
        </row>
        <row r="320">
          <cell r="A320" t="str">
            <v>Mermet E Screen 7505 Sunscreen Charcoal/Grey</v>
          </cell>
        </row>
        <row r="321">
          <cell r="A321" t="str">
            <v>Mermet E Screen 7505 Sunscreen Pearl/Grey</v>
          </cell>
        </row>
        <row r="322">
          <cell r="A322" t="str">
            <v>Mermet E Screen 7505 Sunscreen Pearl/Linen</v>
          </cell>
        </row>
        <row r="323">
          <cell r="A323" t="str">
            <v>Mermet E Screen 7505 Sunscreen TBA</v>
          </cell>
        </row>
        <row r="324">
          <cell r="A324" t="str">
            <v>Mermet E Screen 7505 Sunscreen White/Linen</v>
          </cell>
        </row>
        <row r="325">
          <cell r="A325" t="str">
            <v>Mermet E Screen 7505 Sunscreen White/Pearl</v>
          </cell>
        </row>
        <row r="326">
          <cell r="A326" t="str">
            <v>Mermet E Screen 7505 Sunscreen White/White</v>
          </cell>
        </row>
        <row r="327">
          <cell r="A327" t="str">
            <v>Mermet E Screen 7510 Sunscreen Charcoal/Charcoal</v>
          </cell>
        </row>
        <row r="328">
          <cell r="A328" t="str">
            <v>Mermet E Screen 7510 Sunscreen Charcoal/Cocoa</v>
          </cell>
        </row>
        <row r="329">
          <cell r="A329" t="str">
            <v>Mermet E Screen 7510 Sunscreen Charcoal/Grey</v>
          </cell>
        </row>
        <row r="330">
          <cell r="A330" t="str">
            <v>Mermet E Screen 7510 Sunscreen Pearl/Grey</v>
          </cell>
        </row>
        <row r="331">
          <cell r="A331" t="str">
            <v>Mermet E Screen 7510 Sunscreen Pearl/Linen</v>
          </cell>
        </row>
        <row r="332">
          <cell r="A332" t="str">
            <v>Mermet E Screen 7510 Sunscreen TBA</v>
          </cell>
        </row>
        <row r="333">
          <cell r="A333" t="str">
            <v>Mermet E Screen 7510 Sunscreen White/Linen</v>
          </cell>
        </row>
        <row r="334">
          <cell r="A334" t="str">
            <v>Mermet E Screen 7510 Sunscreen White/Pearl</v>
          </cell>
        </row>
        <row r="335">
          <cell r="A335" t="str">
            <v>Mermet E Screen 7510 Sunscreen White/White</v>
          </cell>
        </row>
        <row r="336">
          <cell r="A336" t="str">
            <v>Mermet E Screen KOOLBLACK Sunscreen Charcoal/Charcoal</v>
          </cell>
        </row>
        <row r="337">
          <cell r="A337" t="str">
            <v>Mermet E Screen KOOLBLACK Sunscreen Charcoal/Cocoa</v>
          </cell>
        </row>
        <row r="338">
          <cell r="A338" t="str">
            <v>Mermet E Screen KOOLBLACK Sunscreen Charcoal/Grey</v>
          </cell>
        </row>
        <row r="339">
          <cell r="A339" t="str">
            <v>Mermet E Screen KOOLBLACK Sunscreen TBA</v>
          </cell>
        </row>
        <row r="340">
          <cell r="A340" t="str">
            <v>Mermet Elements Blockout Aqua</v>
          </cell>
        </row>
        <row r="341">
          <cell r="A341" t="str">
            <v>Mermet Elements Blockout Athena</v>
          </cell>
        </row>
        <row r="342">
          <cell r="A342" t="str">
            <v>Mermet Elements Blockout Ciao</v>
          </cell>
        </row>
        <row r="343">
          <cell r="A343" t="str">
            <v>Mermet Elements Blockout Linen</v>
          </cell>
        </row>
        <row r="344">
          <cell r="A344" t="str">
            <v>Mermet Elements Blockout Manhattan</v>
          </cell>
        </row>
        <row r="345">
          <cell r="A345" t="str">
            <v>Mermet Elements Blockout Midnight</v>
          </cell>
        </row>
        <row r="346">
          <cell r="A346" t="str">
            <v>Mermet Elements Blockout Midnight Bronze</v>
          </cell>
        </row>
        <row r="347">
          <cell r="A347" t="str">
            <v>Mermet Elements Blockout Midnight Smudge</v>
          </cell>
        </row>
        <row r="348">
          <cell r="A348" t="str">
            <v>Mermet Elements Blockout Midnight Storm</v>
          </cell>
        </row>
        <row r="349">
          <cell r="A349" t="str">
            <v>Mermet Elements Blockout Pearl</v>
          </cell>
        </row>
        <row r="350">
          <cell r="A350" t="str">
            <v>Mermet Elements Blockout Pebble</v>
          </cell>
        </row>
        <row r="351">
          <cell r="A351" t="str">
            <v>Mermet Elements Blockout Pure White</v>
          </cell>
        </row>
        <row r="352">
          <cell r="A352" t="str">
            <v>Mermet Elements Blockout Sandstone</v>
          </cell>
        </row>
        <row r="353">
          <cell r="A353" t="str">
            <v>Mermet Elements Blockout Shale</v>
          </cell>
        </row>
        <row r="354">
          <cell r="A354" t="str">
            <v>Mermet Elements Blockout Spoon</v>
          </cell>
        </row>
        <row r="355">
          <cell r="A355" t="str">
            <v>Mermet Elements Blockout Storm Wheat BV</v>
          </cell>
        </row>
        <row r="356">
          <cell r="A356" t="str">
            <v>Mermet Elements Blockout TBA</v>
          </cell>
        </row>
        <row r="357">
          <cell r="A357" t="str">
            <v>Mermet Elements Blockout Uber</v>
          </cell>
        </row>
        <row r="358">
          <cell r="A358" t="str">
            <v>Mermet Elements Blockout Weathered Storm</v>
          </cell>
        </row>
        <row r="359">
          <cell r="A359" t="str">
            <v>Mermet Elements Blockout White</v>
          </cell>
        </row>
        <row r="360">
          <cell r="A360" t="str">
            <v>Mermet Elements Blockout Zurich</v>
          </cell>
        </row>
        <row r="361">
          <cell r="A361" t="str">
            <v>Mermet Kendall Blockout Amalfi</v>
          </cell>
        </row>
        <row r="362">
          <cell r="A362" t="str">
            <v>Mermet Kendall Blockout Blanch</v>
          </cell>
        </row>
        <row r="363">
          <cell r="A363" t="str">
            <v>Mermet Kendall Blockout Galaxy</v>
          </cell>
        </row>
        <row r="364">
          <cell r="A364" t="str">
            <v>Mermet Kendall Blockout Lucent</v>
          </cell>
        </row>
        <row r="365">
          <cell r="A365" t="str">
            <v>Mermet Kendall Blockout Mystic</v>
          </cell>
        </row>
        <row r="366">
          <cell r="A366" t="str">
            <v>Mermet Kendall Blockout Shadow</v>
          </cell>
        </row>
        <row r="367">
          <cell r="A367" t="str">
            <v>Mermet Kendall Blockout TBA</v>
          </cell>
        </row>
        <row r="368">
          <cell r="A368" t="str">
            <v>Mermet Kenross Blockout Arabica</v>
          </cell>
        </row>
        <row r="369">
          <cell r="A369" t="str">
            <v>Mermet Kenross Blockout Buff</v>
          </cell>
        </row>
        <row r="370">
          <cell r="A370" t="str">
            <v>Mermet Kenross Blockout Fog</v>
          </cell>
        </row>
        <row r="371">
          <cell r="A371" t="str">
            <v>Mermet Kenross Blockout Gazelle</v>
          </cell>
        </row>
        <row r="372">
          <cell r="A372" t="str">
            <v>Mermet Kenross Blockout Jute</v>
          </cell>
        </row>
        <row r="373">
          <cell r="A373" t="str">
            <v>Mermet Kenross Blockout Light Cream</v>
          </cell>
        </row>
        <row r="374">
          <cell r="A374" t="str">
            <v>Mermet Kenross Blockout Linen</v>
          </cell>
        </row>
        <row r="375">
          <cell r="A375" t="str">
            <v>Mermet Kenross Blockout Natural</v>
          </cell>
        </row>
        <row r="376">
          <cell r="A376" t="str">
            <v>Mermet Kenross Blockout Nutmeg</v>
          </cell>
        </row>
        <row r="377">
          <cell r="A377" t="str">
            <v>Mermet Kenross Blockout Oat</v>
          </cell>
        </row>
        <row r="378">
          <cell r="A378" t="str">
            <v>Mermet Kenross Blockout Poplar</v>
          </cell>
        </row>
        <row r="379">
          <cell r="A379" t="str">
            <v>Mermet Kenross Blockout TBA</v>
          </cell>
        </row>
        <row r="380">
          <cell r="A380" t="str">
            <v>Mermet Lintex Blockout Black</v>
          </cell>
        </row>
        <row r="381">
          <cell r="A381" t="str">
            <v>Mermet Lintex Blockout Cotton White</v>
          </cell>
        </row>
        <row r="382">
          <cell r="A382" t="str">
            <v>Mermet Lintex Blockout Dark Beige</v>
          </cell>
        </row>
        <row r="383">
          <cell r="A383" t="str">
            <v>Mermet Lintex Blockout Light Beige</v>
          </cell>
        </row>
        <row r="384">
          <cell r="A384" t="str">
            <v>Mermet Lintex Blockout Mink</v>
          </cell>
        </row>
        <row r="385">
          <cell r="A385" t="str">
            <v>Mermet Lintex Blockout Smoke</v>
          </cell>
        </row>
        <row r="386">
          <cell r="A386" t="str">
            <v>Mermet Lintex Blockout TBA</v>
          </cell>
        </row>
        <row r="387">
          <cell r="A387" t="str">
            <v>Mermet Lintex Blockout White</v>
          </cell>
        </row>
        <row r="388">
          <cell r="A388" t="str">
            <v>Mermet M Screen Sunscreen Charcoal/Charcoal</v>
          </cell>
        </row>
        <row r="389">
          <cell r="A389" t="str">
            <v>Mermet M Screen Sunscreen Charcoal/Cocoa</v>
          </cell>
        </row>
        <row r="390">
          <cell r="A390" t="str">
            <v>Mermet M Screen Sunscreen Charcoal/Grey</v>
          </cell>
        </row>
        <row r="391">
          <cell r="A391" t="str">
            <v>Mermet M Screen Sunscreen Charcoal/Linen</v>
          </cell>
        </row>
        <row r="392">
          <cell r="A392" t="str">
            <v>Mermet M Screen Sunscreen Charcoal/Lotus</v>
          </cell>
        </row>
        <row r="393">
          <cell r="A393" t="str">
            <v>Mermet M Screen Sunscreen Charcoal/Pearl-Grey</v>
          </cell>
        </row>
        <row r="394">
          <cell r="A394" t="str">
            <v>Mermet M Screen Sunscreen Charcoal/Sable</v>
          </cell>
        </row>
        <row r="395">
          <cell r="A395" t="str">
            <v>Mermet M Screen Sunscreen Flagstone</v>
          </cell>
        </row>
        <row r="396">
          <cell r="A396" t="str">
            <v>Mermet M Screen Sunscreen Granite</v>
          </cell>
        </row>
        <row r="397">
          <cell r="A397" t="str">
            <v>Mermet M Screen Sunscreen Linen/Stone</v>
          </cell>
        </row>
        <row r="398">
          <cell r="A398" t="str">
            <v>Mermet M Screen Sunscreen Oyster Shell</v>
          </cell>
        </row>
        <row r="399">
          <cell r="A399" t="str">
            <v>Mermet M Screen Sunscreen Pearl/Linen</v>
          </cell>
        </row>
        <row r="400">
          <cell r="A400" t="str">
            <v>Mermet M Screen Sunscreen Pearl/Pearl</v>
          </cell>
        </row>
        <row r="401">
          <cell r="A401" t="str">
            <v>Mermet M Screen Sunscreen River Rock</v>
          </cell>
        </row>
        <row r="402">
          <cell r="A402" t="str">
            <v>Mermet M Screen Sunscreen Silver Frost</v>
          </cell>
        </row>
        <row r="403">
          <cell r="A403" t="str">
            <v>Mermet M Screen Sunscreen TBA</v>
          </cell>
        </row>
        <row r="404">
          <cell r="A404" t="str">
            <v>Mermet M Screen Sunscreen Tumbleweed</v>
          </cell>
        </row>
        <row r="405">
          <cell r="A405" t="str">
            <v>Mermet M Screen Sunscreen White/Linen</v>
          </cell>
        </row>
        <row r="406">
          <cell r="A406" t="str">
            <v>Mermet M Screen Sunscreen White/Lotus</v>
          </cell>
        </row>
        <row r="407">
          <cell r="A407" t="str">
            <v>Mermet M Screen Sunscreen White/Stone</v>
          </cell>
        </row>
        <row r="408">
          <cell r="A408" t="str">
            <v>Mermet M Screen Sunscreen White/White</v>
          </cell>
        </row>
        <row r="409">
          <cell r="A409" t="str">
            <v>Mermet Plaza Plus Blockout Alpine Haze</v>
          </cell>
        </row>
        <row r="410">
          <cell r="A410" t="str">
            <v>Mermet Plaza Plus Blockout Caramel</v>
          </cell>
        </row>
        <row r="411">
          <cell r="A411" t="str">
            <v>Mermet Plaza Plus Blockout Cargo</v>
          </cell>
        </row>
        <row r="412">
          <cell r="A412" t="str">
            <v>Mermet Plaza Plus Blockout Cashew</v>
          </cell>
        </row>
        <row r="413">
          <cell r="A413" t="str">
            <v>Mermet Plaza Plus Blockout Clay</v>
          </cell>
        </row>
        <row r="414">
          <cell r="A414" t="str">
            <v>Mermet Plaza Plus Blockout Cockatoo</v>
          </cell>
        </row>
        <row r="415">
          <cell r="A415" t="str">
            <v>Mermet Plaza Plus Blockout Ebony</v>
          </cell>
        </row>
        <row r="416">
          <cell r="A416" t="str">
            <v>Mermet Plaza Plus Blockout Footprint</v>
          </cell>
        </row>
        <row r="417">
          <cell r="A417" t="str">
            <v>Mermet Plaza Plus Blockout Gun Metal</v>
          </cell>
        </row>
        <row r="418">
          <cell r="A418" t="str">
            <v>Mermet Plaza Plus Blockout Natural</v>
          </cell>
        </row>
        <row r="419">
          <cell r="A419" t="str">
            <v>Mermet Plaza Plus Blockout Orchid</v>
          </cell>
        </row>
        <row r="420">
          <cell r="A420" t="str">
            <v>Mermet Plaza Plus Blockout Paperbark</v>
          </cell>
        </row>
        <row r="421">
          <cell r="A421" t="str">
            <v>Mermet Plaza Plus Blockout Pumice</v>
          </cell>
        </row>
        <row r="422">
          <cell r="A422" t="str">
            <v>Mermet Plaza Plus Blockout Royal</v>
          </cell>
        </row>
        <row r="423">
          <cell r="A423" t="str">
            <v>Mermet Plaza Plus Blockout Sand</v>
          </cell>
        </row>
        <row r="424">
          <cell r="A424" t="str">
            <v>Mermet Plaza Plus Blockout TBA</v>
          </cell>
        </row>
        <row r="425">
          <cell r="A425" t="str">
            <v>Mermet Plaza Plus Blockout White</v>
          </cell>
        </row>
        <row r="426">
          <cell r="A426" t="str">
            <v>Mermet Scarborough Blockout Cocoa</v>
          </cell>
        </row>
        <row r="427">
          <cell r="A427" t="str">
            <v>Mermet Scarborough Blockout Fudge</v>
          </cell>
        </row>
        <row r="428">
          <cell r="A428" t="str">
            <v>Mermet Scarborough Blockout Liquorice</v>
          </cell>
        </row>
        <row r="429">
          <cell r="A429" t="str">
            <v>Mermet Scarborough Blockout Nougat</v>
          </cell>
        </row>
        <row r="430">
          <cell r="A430" t="str">
            <v>Mermet Scarborough Blockout Pepper</v>
          </cell>
        </row>
        <row r="431">
          <cell r="A431" t="str">
            <v>Mermet Scarborough Blockout Sorbet</v>
          </cell>
        </row>
        <row r="432">
          <cell r="A432" t="str">
            <v>Mermet Scarborough Blockout TBA</v>
          </cell>
        </row>
        <row r="433">
          <cell r="A433" t="str">
            <v>Mermet Scarborough Blockout Truffle</v>
          </cell>
        </row>
        <row r="434">
          <cell r="A434" t="str">
            <v>Mermet Sunshadow Nett Series 5% Sunscreen Bronze</v>
          </cell>
        </row>
        <row r="435">
          <cell r="A435" t="str">
            <v>Mermet Sunshadow Nett Series 5% Sunscreen Characoal/Light Grey</v>
          </cell>
        </row>
        <row r="436">
          <cell r="A436" t="str">
            <v>Mermet Sunshadow Nett Series 5% Sunscreen Charcoal</v>
          </cell>
        </row>
        <row r="437">
          <cell r="A437" t="str">
            <v>Mermet Sunshadow Nett Series 5% Sunscreen Charcoal/Apricot</v>
          </cell>
        </row>
        <row r="438">
          <cell r="A438" t="str">
            <v>Mermet Sunshadow Nett Series 5% Sunscreen Charcoal/Bronze</v>
          </cell>
        </row>
        <row r="439">
          <cell r="A439" t="str">
            <v>Mermet Sunshadow Nett Series 5% Sunscreen Charcoal/Grey</v>
          </cell>
        </row>
        <row r="440">
          <cell r="A440" t="str">
            <v>Mermet Sunshadow Nett Series 5% Sunscreen Grey</v>
          </cell>
        </row>
        <row r="441">
          <cell r="A441" t="str">
            <v>Mermet Sunshadow Nett Series 5% Sunscreen Linen</v>
          </cell>
        </row>
        <row r="442">
          <cell r="A442" t="str">
            <v>Mermet Sunshadow Nett Series 5% Sunscreen TBA</v>
          </cell>
        </row>
        <row r="443">
          <cell r="A443" t="str">
            <v>Mermet Sunshadow Nett Series 5% Sunscreen White</v>
          </cell>
        </row>
        <row r="444">
          <cell r="A444" t="str">
            <v>Mermet Sunshadow Nett Series 5% Sunscreen White/Grey</v>
          </cell>
        </row>
        <row r="445">
          <cell r="A445" t="str">
            <v>Mermet Sunshadow Nett Series 5% Sunscreen White/Linen</v>
          </cell>
        </row>
        <row r="446">
          <cell r="A446" t="str">
            <v>Mermet Sunshadow Nett Series 5% Sunscreen White/Sable</v>
          </cell>
        </row>
        <row r="447">
          <cell r="A447" t="str">
            <v>Mermet Sunshadow Nett Series 5% Sunscreen White/Sable/Grey</v>
          </cell>
        </row>
        <row r="448">
          <cell r="A448" t="str">
            <v>Mermet Sunshadow Nett Series 5% Sunscreen White/White/  Sable</v>
          </cell>
        </row>
        <row r="449">
          <cell r="A449" t="str">
            <v>Mermet Sunshadow RR Series 3% Sunscreen Beige/Bronze</v>
          </cell>
        </row>
        <row r="450">
          <cell r="A450" t="str">
            <v>Mermet Sunshadow RR Series 3% Sunscreen Bronze/Grey</v>
          </cell>
        </row>
        <row r="451">
          <cell r="A451" t="str">
            <v>Mermet Sunshadow RR Series 3% Sunscreen Charcoal</v>
          </cell>
        </row>
        <row r="452">
          <cell r="A452" t="str">
            <v>Mermet Sunshadow RR Series 3% Sunscreen Charcoal/Apricot</v>
          </cell>
        </row>
        <row r="453">
          <cell r="A453" t="str">
            <v>Mermet Sunshadow RR Series 3% Sunscreen Charcoal/Grey</v>
          </cell>
        </row>
        <row r="454">
          <cell r="A454" t="str">
            <v>Mermet Sunshadow RR Series 3% Sunscreen Charcoal/Sable</v>
          </cell>
        </row>
        <row r="455">
          <cell r="A455" t="str">
            <v>Mermet Sunshadow RR Series 3% Sunscreen Charcoal/Sand</v>
          </cell>
        </row>
        <row r="456">
          <cell r="A456" t="str">
            <v>Mermet Sunshadow RR Series 3% Sunscreen Charcoal/Slate Grey</v>
          </cell>
        </row>
        <row r="457">
          <cell r="A457" t="str">
            <v>Mermet Sunshadow RR Series 3% Sunscreen Grey/Blue</v>
          </cell>
        </row>
        <row r="458">
          <cell r="A458" t="str">
            <v>Mermet Sunshadow RR Series 3% Sunscreen Linen/Pearl</v>
          </cell>
        </row>
        <row r="459">
          <cell r="A459" t="str">
            <v>Mermet Sunshadow RR Series 3% Sunscreen Mid Grey</v>
          </cell>
        </row>
        <row r="460">
          <cell r="A460" t="str">
            <v>Mermet Sunshadow RR Series 3% Sunscreen Pearl</v>
          </cell>
        </row>
        <row r="461">
          <cell r="A461" t="str">
            <v>Mermet Sunshadow RR Series 3% Sunscreen TBA</v>
          </cell>
        </row>
        <row r="462">
          <cell r="A462" t="str">
            <v>Mermet Sunshadow RR Series 3% Sunscreen White</v>
          </cell>
        </row>
        <row r="463">
          <cell r="A463" t="str">
            <v>Mermet Sunshadow RR Series 3% Sunscreen White/Apricot</v>
          </cell>
        </row>
        <row r="464">
          <cell r="A464" t="str">
            <v>Mermet Sunshadow RR Series 3% Sunscreen White/Linen</v>
          </cell>
        </row>
        <row r="465">
          <cell r="A465" t="str">
            <v>Mermet Sunshadow RR Series 3% Sunscreen White/Pearl</v>
          </cell>
        </row>
        <row r="466">
          <cell r="A466" t="str">
            <v>Mermet Willandra Blockout Bison</v>
          </cell>
        </row>
        <row r="467">
          <cell r="A467" t="str">
            <v>Mermet Willandra Blockout Charcoal</v>
          </cell>
        </row>
        <row r="468">
          <cell r="A468" t="str">
            <v>Mermet Willandra Blockout Ivory</v>
          </cell>
        </row>
        <row r="469">
          <cell r="A469" t="str">
            <v>Mermet Willandra Blockout Jarrah</v>
          </cell>
        </row>
        <row r="470">
          <cell r="A470" t="str">
            <v>Mermet Willandra Blockout Linnet</v>
          </cell>
          <cell r="B470" t="str">
            <v>Beige</v>
          </cell>
          <cell r="C470" t="str">
            <v>Anodised Silver</v>
          </cell>
          <cell r="D470" t="str">
            <v>Beige</v>
          </cell>
          <cell r="F470" t="str">
            <v>White</v>
          </cell>
        </row>
        <row r="471">
          <cell r="A471" t="str">
            <v>Mermet Willandra Blockout Mist</v>
          </cell>
        </row>
        <row r="472">
          <cell r="A472" t="str">
            <v>Mermet Willandra Blockout Saudi Sand</v>
          </cell>
        </row>
        <row r="473">
          <cell r="A473" t="str">
            <v>Mermet Willandra Blockout Slipcast</v>
          </cell>
        </row>
        <row r="474">
          <cell r="A474" t="str">
            <v>Mermet Willandra Blockout Smoke</v>
          </cell>
        </row>
        <row r="475">
          <cell r="A475" t="str">
            <v>Mermet Willandra Blockout Spirit</v>
          </cell>
        </row>
        <row r="476">
          <cell r="A476" t="str">
            <v>Mermet Willandra Blockout Storm</v>
          </cell>
        </row>
        <row r="477">
          <cell r="A477" t="str">
            <v>Mermet Willandra Blockout TBA</v>
          </cell>
        </row>
        <row r="478">
          <cell r="A478" t="str">
            <v>Mermet Willandra Blockout Whisper</v>
          </cell>
        </row>
        <row r="479">
          <cell r="A479" t="str">
            <v>Mermet Zen Blockout Arabica</v>
          </cell>
        </row>
        <row r="480">
          <cell r="A480" t="str">
            <v>Mermet Zen Blockout Bounty</v>
          </cell>
        </row>
        <row r="481">
          <cell r="A481" t="str">
            <v>Mermet Zen Blockout Cashmere</v>
          </cell>
        </row>
        <row r="482">
          <cell r="A482" t="str">
            <v>Mermet Zen Blockout Element</v>
          </cell>
        </row>
        <row r="483">
          <cell r="A483" t="str">
            <v>Mermet Zen Blockout Embrace</v>
          </cell>
        </row>
        <row r="484">
          <cell r="A484" t="str">
            <v>Mermet Zen Blockout Gazing</v>
          </cell>
        </row>
        <row r="485">
          <cell r="A485" t="str">
            <v>Mermet Zen Blockout Illusion</v>
          </cell>
        </row>
        <row r="486">
          <cell r="A486" t="str">
            <v>Mermet Zen Blockout Mario</v>
          </cell>
        </row>
        <row r="487">
          <cell r="A487" t="str">
            <v>Mermet Zen Blockout Martini</v>
          </cell>
        </row>
        <row r="488">
          <cell r="A488" t="str">
            <v>Mermet Zen Blockout Sahara</v>
          </cell>
        </row>
        <row r="489">
          <cell r="A489" t="str">
            <v>Mermet Zen Blockout TBA</v>
          </cell>
        </row>
        <row r="490">
          <cell r="A490" t="str">
            <v>Mermet Zen Blockout Yen</v>
          </cell>
        </row>
        <row r="491">
          <cell r="A491" t="str">
            <v>Mermet Zen Blockout Zelda</v>
          </cell>
        </row>
        <row r="492">
          <cell r="A492" t="str">
            <v>Shaw Fabrics Chatsworth Blockout Aztec</v>
          </cell>
        </row>
        <row r="493">
          <cell r="A493" t="str">
            <v>Shaw Fabrics Chatsworth Blockout Beluga</v>
          </cell>
        </row>
        <row r="494">
          <cell r="A494" t="str">
            <v>Shaw Fabrics Chatsworth Blockout Cinnamon</v>
          </cell>
        </row>
        <row r="495">
          <cell r="A495" t="str">
            <v>Shaw Fabrics Chatsworth Blockout Crystal</v>
          </cell>
        </row>
        <row r="496">
          <cell r="A496" t="str">
            <v>Shaw Fabrics Chatsworth Blockout Fawn</v>
          </cell>
        </row>
        <row r="497">
          <cell r="A497" t="str">
            <v>Shaw Fabrics Chatsworth Blockout Ganache</v>
          </cell>
        </row>
        <row r="498">
          <cell r="A498" t="str">
            <v>Shaw Fabrics Chatsworth Blockout Gemstone</v>
          </cell>
        </row>
        <row r="499">
          <cell r="A499" t="str">
            <v>Shaw Fabrics Chatsworth Blockout Lunar</v>
          </cell>
        </row>
        <row r="500">
          <cell r="A500" t="str">
            <v>Shaw Fabrics Chatsworth Blockout Portabello</v>
          </cell>
        </row>
        <row r="501">
          <cell r="A501" t="str">
            <v>Shaw Fabrics Chatsworth Blockout Rice</v>
          </cell>
        </row>
        <row r="502">
          <cell r="A502" t="str">
            <v>Shaw Fabrics Chatsworth Blockout Royale</v>
          </cell>
        </row>
        <row r="503">
          <cell r="A503" t="str">
            <v>Shaw Fabrics Chatsworth Blockout Shimmer</v>
          </cell>
        </row>
        <row r="504">
          <cell r="A504" t="str">
            <v>Shaw Fabrics Chatsworth Blockout TBA</v>
          </cell>
        </row>
        <row r="505">
          <cell r="A505" t="str">
            <v>Shaw Fabrics Chatsworth Light Filtering Cavlar</v>
          </cell>
        </row>
        <row r="506">
          <cell r="A506" t="str">
            <v>Shaw Fabrics Chatsworth Light Filtering Doe</v>
          </cell>
        </row>
        <row r="507">
          <cell r="A507" t="str">
            <v>Shaw Fabrics Chatsworth Light Filtering Espresso</v>
          </cell>
        </row>
        <row r="508">
          <cell r="A508" t="str">
            <v>Shaw Fabrics Chatsworth Light Filtering Glow</v>
          </cell>
        </row>
        <row r="509">
          <cell r="A509" t="str">
            <v>Shaw Fabrics Chatsworth Light Filtering Halo</v>
          </cell>
        </row>
        <row r="510">
          <cell r="A510" t="str">
            <v>Shaw Fabrics Chatsworth Light Filtering Icicle</v>
          </cell>
        </row>
        <row r="511">
          <cell r="A511" t="str">
            <v>Shaw Fabrics Chatsworth Light Filtering Mirage</v>
          </cell>
        </row>
        <row r="512">
          <cell r="A512" t="str">
            <v>Shaw Fabrics Chatsworth Light Filtering Nutmeg</v>
          </cell>
        </row>
        <row r="513">
          <cell r="A513" t="str">
            <v>Shaw Fabrics Chatsworth Light Filtering Oasis</v>
          </cell>
        </row>
        <row r="514">
          <cell r="A514" t="str">
            <v>Shaw Fabrics Chatsworth Light Filtering Oyster</v>
          </cell>
        </row>
        <row r="515">
          <cell r="A515" t="str">
            <v>Shaw Fabrics Chatsworth Light Filtering Pearl</v>
          </cell>
        </row>
        <row r="516">
          <cell r="A516" t="str">
            <v>Shaw Fabrics Chatsworth Light Filtering TBA</v>
          </cell>
        </row>
        <row r="517">
          <cell r="A517" t="str">
            <v>Shaw Fabrics Chatsworth Light Filtering Walnut</v>
          </cell>
        </row>
        <row r="518">
          <cell r="A518" t="str">
            <v>Shaw Fabrics Duo Blockout Aztec</v>
          </cell>
        </row>
        <row r="519">
          <cell r="A519" t="str">
            <v>Shaw Fabrics Duo Blockout Basalt</v>
          </cell>
          <cell r="B519" t="str">
            <v>Black</v>
          </cell>
          <cell r="C519" t="str">
            <v>Black</v>
          </cell>
          <cell r="D519" t="str">
            <v>Black</v>
          </cell>
        </row>
        <row r="520">
          <cell r="A520" t="str">
            <v>Shaw Fabrics Duo Blockout Dove</v>
          </cell>
        </row>
        <row r="521">
          <cell r="A521" t="str">
            <v>Shaw Fabrics Duo Blockout Iron</v>
          </cell>
        </row>
        <row r="522">
          <cell r="A522" t="str">
            <v>Shaw Fabrics Duo Blockout Nova</v>
          </cell>
        </row>
        <row r="523">
          <cell r="A523" t="str">
            <v>Shaw Fabrics Duo Blockout Salt</v>
          </cell>
        </row>
        <row r="524">
          <cell r="A524" t="str">
            <v>Shaw Fabrics Duo Blockout Shadow</v>
          </cell>
        </row>
        <row r="525">
          <cell r="A525" t="str">
            <v>Shaw Fabrics Duo Blockout Stella</v>
          </cell>
        </row>
        <row r="526">
          <cell r="A526" t="str">
            <v>Shaw Fabrics Duo Blockout TBA</v>
          </cell>
        </row>
        <row r="527">
          <cell r="A527" t="str">
            <v>Shaw Fabrics Duo Blockout Tempo</v>
          </cell>
        </row>
        <row r="528">
          <cell r="A528" t="str">
            <v>Shaw Fabrics Duo Light Filtering Bright White</v>
          </cell>
        </row>
        <row r="529">
          <cell r="A529" t="str">
            <v>Shaw Fabrics Duo Light Filtering Mid Grey</v>
          </cell>
        </row>
        <row r="530">
          <cell r="A530" t="str">
            <v>Shaw Fabrics Duo Light Filtering TBA</v>
          </cell>
        </row>
        <row r="531">
          <cell r="A531" t="str">
            <v>Shaw Fabrics Duo Light Filtering Warm White</v>
          </cell>
        </row>
        <row r="532">
          <cell r="A532" t="str">
            <v>Shaw Fabrics Duo Sunscreen Blue Grey</v>
          </cell>
        </row>
        <row r="533">
          <cell r="A533" t="str">
            <v>Shaw Fabrics Duo Sunscreen Charcoal</v>
          </cell>
        </row>
        <row r="534">
          <cell r="A534" t="str">
            <v>Shaw Fabrics Duo Sunscreen Charcoal Grey</v>
          </cell>
        </row>
        <row r="535">
          <cell r="A535" t="str">
            <v>Shaw Fabrics Duo Sunscreen Charcoal Slate</v>
          </cell>
          <cell r="B535" t="str">
            <v>Black</v>
          </cell>
          <cell r="C535" t="str">
            <v>Black</v>
          </cell>
          <cell r="D535" t="str">
            <v>Black</v>
          </cell>
          <cell r="F535" t="str">
            <v>Black</v>
          </cell>
        </row>
        <row r="536">
          <cell r="A536" t="str">
            <v>Shaw Fabrics Duo Sunscreen Dune Grey</v>
          </cell>
        </row>
        <row r="537">
          <cell r="A537" t="str">
            <v>Shaw Fabrics Duo Sunscreen TBA</v>
          </cell>
        </row>
        <row r="538">
          <cell r="A538" t="str">
            <v>Shaw Fabrics Duo Sunscreen White</v>
          </cell>
        </row>
        <row r="539">
          <cell r="A539" t="str">
            <v>Shaw Fabrics Duo Sunscreen White Grey</v>
          </cell>
        </row>
        <row r="540">
          <cell r="A540" t="str">
            <v>Shaw Fabrics Duo Sunscreen White Linen</v>
          </cell>
        </row>
        <row r="541">
          <cell r="A541" t="str">
            <v>Shaw Fabrics Duo Sunscreen White Stone</v>
          </cell>
          <cell r="B541" t="str">
            <v>Birch White</v>
          </cell>
          <cell r="C541" t="str">
            <v>Cream</v>
          </cell>
          <cell r="D541" t="str">
            <v>Birch White</v>
          </cell>
          <cell r="F541" t="str">
            <v>White</v>
          </cell>
        </row>
        <row r="542">
          <cell r="A542" t="str">
            <v>Shaw Fabrics Icon Blockout Angel</v>
          </cell>
        </row>
        <row r="543">
          <cell r="A543" t="str">
            <v>Shaw Fabrics Icon Blockout Arena</v>
          </cell>
        </row>
        <row r="544">
          <cell r="A544" t="str">
            <v>Shaw Fabrics Icon Blockout Calico</v>
          </cell>
        </row>
        <row r="545">
          <cell r="A545" t="str">
            <v>Shaw Fabrics Icon Blockout Canyon</v>
          </cell>
        </row>
        <row r="546">
          <cell r="A546" t="str">
            <v>Shaw Fabrics Icon Blockout Earth</v>
          </cell>
        </row>
        <row r="547">
          <cell r="A547" t="str">
            <v>Shaw Fabrics Icon Blockout Flint</v>
          </cell>
        </row>
        <row r="548">
          <cell r="A548" t="str">
            <v>Shaw Fabrics Icon Blockout Manilla</v>
          </cell>
        </row>
        <row r="549">
          <cell r="A549" t="str">
            <v>Shaw Fabrics Icon Blockout Night</v>
          </cell>
        </row>
        <row r="550">
          <cell r="A550" t="str">
            <v>Shaw Fabrics Icon Blockout Spritz</v>
          </cell>
        </row>
        <row r="551">
          <cell r="A551" t="str">
            <v>Shaw Fabrics Icon Blockout Stone</v>
          </cell>
        </row>
        <row r="552">
          <cell r="A552" t="str">
            <v>Shaw Fabrics Icon Blockout TBA</v>
          </cell>
        </row>
        <row r="553">
          <cell r="A553" t="str">
            <v>Shaw Fabrics Icon FR Blockout Celon</v>
          </cell>
        </row>
        <row r="554">
          <cell r="A554" t="str">
            <v>Shaw Fabrics Icon FR Blockout Flora</v>
          </cell>
        </row>
        <row r="555">
          <cell r="A555" t="str">
            <v>Shaw Fabrics Icon FR Blockout Harbour</v>
          </cell>
        </row>
        <row r="556">
          <cell r="A556" t="str">
            <v>Shaw Fabrics Icon FR Blockout Jet</v>
          </cell>
        </row>
        <row r="557">
          <cell r="A557" t="str">
            <v>Shaw Fabrics Icon FR Blockout Leather</v>
          </cell>
        </row>
        <row r="558">
          <cell r="A558" t="str">
            <v>Shaw Fabrics Icon FR Blockout Liquorice</v>
          </cell>
        </row>
        <row r="559">
          <cell r="A559" t="str">
            <v>Shaw Fabrics Icon FR Blockout Maritime</v>
          </cell>
        </row>
        <row r="560">
          <cell r="A560" t="str">
            <v>Shaw Fabrics Icon FR Blockout Osprey</v>
          </cell>
        </row>
        <row r="561">
          <cell r="A561" t="str">
            <v>Shaw Fabrics Icon FR Blockout Papyrus</v>
          </cell>
        </row>
        <row r="562">
          <cell r="A562" t="str">
            <v>Shaw Fabrics Icon FR Blockout Sail</v>
          </cell>
        </row>
        <row r="563">
          <cell r="A563" t="str">
            <v>Shaw Fabrics Icon FR Blockout Sculpture</v>
          </cell>
        </row>
        <row r="564">
          <cell r="A564" t="str">
            <v>Shaw Fabrics Icon FR Blockout Sea Mist</v>
          </cell>
        </row>
        <row r="565">
          <cell r="A565" t="str">
            <v>Shaw Fabrics Icon FR Blockout Solar</v>
          </cell>
        </row>
        <row r="566">
          <cell r="A566" t="str">
            <v>Shaw Fabrics Icon FR Blockout Stonewash</v>
          </cell>
        </row>
        <row r="567">
          <cell r="A567" t="str">
            <v>Shaw Fabrics Icon FR Blockout Taurus</v>
          </cell>
        </row>
        <row r="568">
          <cell r="A568" t="str">
            <v>Shaw Fabrics Icon FR Blockout TBA</v>
          </cell>
        </row>
        <row r="569">
          <cell r="A569" t="str">
            <v>Shaw Fabrics Le Reve Blockout Chalk</v>
          </cell>
          <cell r="B569" t="str">
            <v>White</v>
          </cell>
          <cell r="C569" t="str">
            <v>White</v>
          </cell>
          <cell r="D569" t="str">
            <v>White</v>
          </cell>
          <cell r="F569" t="str">
            <v>White</v>
          </cell>
        </row>
        <row r="570">
          <cell r="A570" t="str">
            <v>Shaw Fabrics Le Reve Blockout Concrete</v>
          </cell>
        </row>
        <row r="571">
          <cell r="A571" t="str">
            <v>Shaw Fabrics Le Reve Blockout Crystal</v>
          </cell>
          <cell r="B571" t="str">
            <v>White</v>
          </cell>
          <cell r="C571" t="str">
            <v>White</v>
          </cell>
          <cell r="D571" t="str">
            <v>White</v>
          </cell>
          <cell r="F571" t="str">
            <v>White</v>
          </cell>
        </row>
        <row r="572">
          <cell r="A572" t="str">
            <v>Shaw Fabrics Le Reve Blockout Graphite</v>
          </cell>
          <cell r="B572" t="str">
            <v>White</v>
          </cell>
          <cell r="C572" t="str">
            <v>White</v>
          </cell>
          <cell r="D572" t="str">
            <v>White</v>
          </cell>
          <cell r="F572" t="str">
            <v>White</v>
          </cell>
        </row>
        <row r="573">
          <cell r="A573" t="str">
            <v>Shaw Fabrics Le Reve Blockout Marble</v>
          </cell>
          <cell r="B573" t="str">
            <v>Beige</v>
          </cell>
          <cell r="C573" t="str">
            <v>Anodised Silver</v>
          </cell>
          <cell r="D573" t="str">
            <v>Nickle Steel</v>
          </cell>
          <cell r="F573" t="str">
            <v>White</v>
          </cell>
        </row>
        <row r="574">
          <cell r="A574" t="str">
            <v>Shaw Fabrics Le Reve Blockout Mink</v>
          </cell>
          <cell r="B574" t="str">
            <v>White</v>
          </cell>
          <cell r="C574" t="str">
            <v>Anodised Silver</v>
          </cell>
          <cell r="D574" t="str">
            <v>Nickle Steel</v>
          </cell>
          <cell r="F574" t="str">
            <v>White</v>
          </cell>
        </row>
        <row r="575">
          <cell r="A575" t="str">
            <v>Shaw Fabrics Le Reve Blockout Onyx</v>
          </cell>
          <cell r="B575" t="str">
            <v>Black</v>
          </cell>
          <cell r="C575" t="str">
            <v>Black</v>
          </cell>
          <cell r="D575" t="str">
            <v>Black</v>
          </cell>
          <cell r="F575" t="str">
            <v>Black</v>
          </cell>
        </row>
        <row r="576">
          <cell r="A576" t="str">
            <v>Shaw Fabrics Le Reve Blockout Pewter</v>
          </cell>
          <cell r="B576" t="str">
            <v>Black</v>
          </cell>
          <cell r="C576" t="str">
            <v>Anodised Silver</v>
          </cell>
          <cell r="D576" t="str">
            <v>Nickle Steel</v>
          </cell>
          <cell r="F576" t="str">
            <v>Black</v>
          </cell>
        </row>
        <row r="577">
          <cell r="A577" t="str">
            <v>Shaw Fabrics Le Reve Blockout Sand</v>
          </cell>
          <cell r="B577" t="str">
            <v>Beige</v>
          </cell>
          <cell r="C577" t="str">
            <v>Anodised Silver</v>
          </cell>
          <cell r="D577" t="str">
            <v>Nickle Steel</v>
          </cell>
          <cell r="F577" t="str">
            <v>White</v>
          </cell>
        </row>
        <row r="578">
          <cell r="A578" t="str">
            <v>Shaw Fabrics Le Reve Blockout Shell</v>
          </cell>
          <cell r="B578" t="str">
            <v>White</v>
          </cell>
          <cell r="C578" t="str">
            <v>White</v>
          </cell>
          <cell r="D578" t="str">
            <v>White</v>
          </cell>
          <cell r="F578" t="str">
            <v>White</v>
          </cell>
        </row>
        <row r="579">
          <cell r="A579" t="str">
            <v>Shaw Fabrics Le Reve Blockout TBA</v>
          </cell>
        </row>
        <row r="580">
          <cell r="A580" t="str">
            <v>Shaw Fabrics Le Reve Light Filtering Chalk</v>
          </cell>
          <cell r="B580" t="str">
            <v>White</v>
          </cell>
          <cell r="C580" t="str">
            <v>White</v>
          </cell>
          <cell r="D580" t="str">
            <v>White</v>
          </cell>
          <cell r="F580" t="str">
            <v>White</v>
          </cell>
        </row>
        <row r="581">
          <cell r="A581" t="str">
            <v>Shaw Fabrics Le Reve Light Filtering Concrete</v>
          </cell>
        </row>
        <row r="582">
          <cell r="A582" t="str">
            <v>Shaw Fabrics Le Reve Light Filtering Crystal</v>
          </cell>
          <cell r="B582" t="str">
            <v>White</v>
          </cell>
          <cell r="C582" t="str">
            <v>White</v>
          </cell>
          <cell r="D582" t="str">
            <v>White</v>
          </cell>
          <cell r="F582" t="str">
            <v>White</v>
          </cell>
        </row>
        <row r="583">
          <cell r="A583" t="str">
            <v>Shaw Fabrics Le Reve Light Filtering Graphite</v>
          </cell>
        </row>
        <row r="584">
          <cell r="A584" t="str">
            <v>Shaw Fabrics Le Reve Light Filtering Marble</v>
          </cell>
          <cell r="B584" t="str">
            <v>Beige</v>
          </cell>
          <cell r="C584" t="str">
            <v>Anodised Silver</v>
          </cell>
          <cell r="D584" t="str">
            <v>Nickle Steel</v>
          </cell>
          <cell r="F584" t="str">
            <v>White</v>
          </cell>
        </row>
        <row r="585">
          <cell r="A585" t="str">
            <v>Shaw Fabrics Le Reve Light Filtering Mink</v>
          </cell>
          <cell r="B585" t="str">
            <v>White</v>
          </cell>
          <cell r="C585" t="str">
            <v>Anodised Silver</v>
          </cell>
          <cell r="D585" t="str">
            <v>Nickle Steel</v>
          </cell>
          <cell r="F585" t="str">
            <v>White</v>
          </cell>
        </row>
        <row r="586">
          <cell r="A586" t="str">
            <v>Shaw Fabrics Le Reve Light Filtering Onyx</v>
          </cell>
          <cell r="B586" t="str">
            <v>Black</v>
          </cell>
          <cell r="C586" t="str">
            <v>Black</v>
          </cell>
          <cell r="D586" t="str">
            <v>Black</v>
          </cell>
          <cell r="F586" t="str">
            <v>Black</v>
          </cell>
        </row>
        <row r="587">
          <cell r="A587" t="str">
            <v>Shaw Fabrics Le Reve Light Filtering Pewter</v>
          </cell>
          <cell r="B587" t="str">
            <v>Black</v>
          </cell>
          <cell r="C587" t="str">
            <v>Anodised Silver</v>
          </cell>
          <cell r="D587" t="str">
            <v>Nickle Steel</v>
          </cell>
          <cell r="F587" t="str">
            <v>Black</v>
          </cell>
        </row>
        <row r="588">
          <cell r="A588" t="str">
            <v>Shaw Fabrics Le Reve Light Filtering Sand</v>
          </cell>
          <cell r="B588" t="str">
            <v>Beige</v>
          </cell>
          <cell r="C588" t="str">
            <v>Anodised Silver</v>
          </cell>
          <cell r="D588" t="str">
            <v>Nickle Steel</v>
          </cell>
          <cell r="F588" t="str">
            <v>White</v>
          </cell>
        </row>
        <row r="589">
          <cell r="A589" t="str">
            <v>Shaw Fabrics Le Reve Light Filtering Shell</v>
          </cell>
          <cell r="B589" t="str">
            <v>White</v>
          </cell>
          <cell r="C589" t="str">
            <v>White</v>
          </cell>
          <cell r="D589" t="str">
            <v>White</v>
          </cell>
          <cell r="F589" t="str">
            <v>White</v>
          </cell>
        </row>
        <row r="590">
          <cell r="A590" t="str">
            <v>Shaw Fabrics Le Reve Light Filtering TBA</v>
          </cell>
        </row>
        <row r="591">
          <cell r="A591" t="str">
            <v>Shaw Fabrics Linesque Blockout Almond</v>
          </cell>
        </row>
        <row r="592">
          <cell r="A592" t="str">
            <v>Shaw Fabrics Linesque Blockout Aspen</v>
          </cell>
          <cell r="B592" t="str">
            <v>White</v>
          </cell>
          <cell r="D592" t="str">
            <v>White</v>
          </cell>
          <cell r="F592" t="str">
            <v>White</v>
          </cell>
        </row>
        <row r="593">
          <cell r="A593" t="str">
            <v>Shaw Fabrics Linesque Blockout Blanco</v>
          </cell>
        </row>
        <row r="594">
          <cell r="A594" t="str">
            <v>Shaw Fabrics Linesque Blockout Breeze</v>
          </cell>
        </row>
        <row r="595">
          <cell r="A595" t="str">
            <v>Shaw Fabrics Linesque Blockout Denim</v>
          </cell>
        </row>
        <row r="596">
          <cell r="A596" t="str">
            <v>Shaw Fabrics Linesque Blockout Dove</v>
          </cell>
        </row>
        <row r="597">
          <cell r="A597" t="str">
            <v>Shaw Fabrics Linesque Blockout Fig</v>
          </cell>
        </row>
        <row r="598">
          <cell r="A598" t="str">
            <v>Shaw Fabrics Linesque Blockout Fleece</v>
          </cell>
        </row>
        <row r="599">
          <cell r="A599" t="str">
            <v>Shaw Fabrics Linesque Blockout Fossil</v>
          </cell>
        </row>
        <row r="600">
          <cell r="A600" t="str">
            <v>Shaw Fabrics Linesque Blockout Raffia</v>
          </cell>
        </row>
        <row r="601">
          <cell r="A601" t="str">
            <v>Shaw Fabrics Linesque Blockout Soba</v>
          </cell>
        </row>
        <row r="602">
          <cell r="A602" t="str">
            <v>Shaw Fabrics Linesque Blockout TBA</v>
          </cell>
        </row>
        <row r="603">
          <cell r="A603" t="str">
            <v>Shaw Fabrics Linesque Blockout Vine</v>
          </cell>
        </row>
        <row r="604">
          <cell r="A604" t="str">
            <v>Shaw Fabrics Linesque Light Filtering Chestnut</v>
          </cell>
        </row>
        <row r="605">
          <cell r="A605" t="str">
            <v>Shaw Fabrics Linesque Light Filtering Delta</v>
          </cell>
        </row>
        <row r="606">
          <cell r="A606" t="str">
            <v>Shaw Fabrics Linesque Light Filtering Granite</v>
          </cell>
        </row>
        <row r="607">
          <cell r="A607" t="str">
            <v>Shaw Fabrics Linesque Light Filtering Hazelnut</v>
          </cell>
        </row>
        <row r="608">
          <cell r="A608" t="str">
            <v>Shaw Fabrics Linesque Light Filtering Levi</v>
          </cell>
        </row>
        <row r="609">
          <cell r="A609" t="str">
            <v>Shaw Fabrics Linesque Light Filtering Lily</v>
          </cell>
        </row>
        <row r="610">
          <cell r="A610" t="str">
            <v>Shaw Fabrics Linesque Light Filtering Oatcake</v>
          </cell>
        </row>
        <row r="611">
          <cell r="A611" t="str">
            <v>Shaw Fabrics Linesque Light Filtering Owl</v>
          </cell>
        </row>
        <row r="612">
          <cell r="A612" t="str">
            <v>Shaw Fabrics Linesque Light Filtering Stonewash</v>
          </cell>
        </row>
        <row r="613">
          <cell r="A613" t="str">
            <v>Shaw Fabrics Linesque Light Filtering TBA</v>
          </cell>
        </row>
        <row r="614">
          <cell r="A614" t="str">
            <v>Shaw Fabrics Linesque Light Filtering Trellis</v>
          </cell>
        </row>
        <row r="615">
          <cell r="A615" t="str">
            <v>Shaw Fabrics Linesque Light Filtering Wicker</v>
          </cell>
        </row>
        <row r="616">
          <cell r="A616" t="str">
            <v>Shaw Fabrics Linesque Light Filtering Winter</v>
          </cell>
        </row>
        <row r="617">
          <cell r="A617" t="str">
            <v>Shaw Fabrics Mantra Blockout Cotton</v>
          </cell>
          <cell r="B617" t="str">
            <v>White</v>
          </cell>
          <cell r="C617" t="str">
            <v>White</v>
          </cell>
          <cell r="D617" t="str">
            <v>White</v>
          </cell>
          <cell r="F617" t="str">
            <v>White</v>
          </cell>
        </row>
        <row r="618">
          <cell r="A618" t="str">
            <v>Shaw Fabrics Mantra Blockout Flint</v>
          </cell>
          <cell r="B618" t="str">
            <v>Black</v>
          </cell>
          <cell r="C618" t="str">
            <v>Black</v>
          </cell>
          <cell r="D618" t="str">
            <v>Black</v>
          </cell>
          <cell r="F618" t="str">
            <v>Black</v>
          </cell>
        </row>
        <row r="619">
          <cell r="A619" t="str">
            <v>Shaw Fabrics Mantra Blockout Opal</v>
          </cell>
          <cell r="B619" t="str">
            <v>White</v>
          </cell>
          <cell r="C619" t="str">
            <v>White</v>
          </cell>
          <cell r="D619" t="str">
            <v>White</v>
          </cell>
          <cell r="F619" t="str">
            <v>White</v>
          </cell>
        </row>
        <row r="620">
          <cell r="A620" t="str">
            <v>Shaw Fabrics Mantra Blockout Parchment</v>
          </cell>
          <cell r="B620" t="str">
            <v>White</v>
          </cell>
          <cell r="C620" t="str">
            <v>Anodised Silver</v>
          </cell>
          <cell r="D620" t="str">
            <v>Nickel Steel</v>
          </cell>
          <cell r="F620" t="str">
            <v>White</v>
          </cell>
        </row>
        <row r="621">
          <cell r="A621" t="str">
            <v>Shaw Fabrics Mantra Blockout Seagrass</v>
          </cell>
          <cell r="B621" t="str">
            <v>White</v>
          </cell>
          <cell r="C621" t="str">
            <v>Anodised Silver</v>
          </cell>
          <cell r="D621" t="str">
            <v>Nickel Steel</v>
          </cell>
          <cell r="F621" t="str">
            <v>White</v>
          </cell>
        </row>
        <row r="622">
          <cell r="A622" t="str">
            <v>Shaw Fabrics Mantra Blockout Seed Pearl</v>
          </cell>
          <cell r="B622" t="str">
            <v>White</v>
          </cell>
          <cell r="C622" t="str">
            <v>Anodised Silver</v>
          </cell>
          <cell r="D622" t="str">
            <v>Nickel Steel</v>
          </cell>
          <cell r="F622" t="str">
            <v>White</v>
          </cell>
        </row>
        <row r="623">
          <cell r="A623" t="str">
            <v>Shaw Fabrics Mantra Blockout Sesame</v>
          </cell>
          <cell r="B623" t="str">
            <v>Beige</v>
          </cell>
          <cell r="C623" t="str">
            <v>Anodised Silver</v>
          </cell>
          <cell r="D623" t="str">
            <v>Nickel Steel</v>
          </cell>
          <cell r="F623" t="str">
            <v>White</v>
          </cell>
        </row>
        <row r="624">
          <cell r="A624" t="str">
            <v>Shaw Fabrics Mantra Blockout Spice</v>
          </cell>
          <cell r="B624" t="str">
            <v>Black</v>
          </cell>
          <cell r="C624" t="str">
            <v>Black</v>
          </cell>
          <cell r="D624" t="str">
            <v>Black</v>
          </cell>
          <cell r="F624" t="str">
            <v>Black</v>
          </cell>
        </row>
        <row r="625">
          <cell r="A625" t="str">
            <v>Shaw Fabrics Mantra Blockout TBA</v>
          </cell>
        </row>
        <row r="626">
          <cell r="A626" t="str">
            <v>Shaw Fabrics Mantra Light Filtering Cotton</v>
          </cell>
          <cell r="B626" t="str">
            <v>White</v>
          </cell>
          <cell r="C626" t="str">
            <v>White</v>
          </cell>
          <cell r="D626" t="str">
            <v>White</v>
          </cell>
          <cell r="F626" t="str">
            <v>White</v>
          </cell>
        </row>
        <row r="627">
          <cell r="A627" t="str">
            <v>Shaw Fabrics Mantra Light Filtering Parchment</v>
          </cell>
          <cell r="B627" t="str">
            <v>White</v>
          </cell>
          <cell r="C627" t="str">
            <v>Anodised Silver</v>
          </cell>
          <cell r="D627" t="str">
            <v>Nickel Steel</v>
          </cell>
          <cell r="F627" t="str">
            <v>White</v>
          </cell>
        </row>
        <row r="628">
          <cell r="A628" t="str">
            <v>Shaw Fabrics Mantra Light Filtering Seagrass</v>
          </cell>
          <cell r="B628" t="str">
            <v>White</v>
          </cell>
          <cell r="C628" t="str">
            <v>Anodised Silver</v>
          </cell>
          <cell r="D628" t="str">
            <v>Nickel Steel</v>
          </cell>
          <cell r="F628" t="str">
            <v>White</v>
          </cell>
        </row>
        <row r="629">
          <cell r="A629" t="str">
            <v>Shaw Fabrics Mantra Light Filtering Seed Pearl</v>
          </cell>
          <cell r="B629" t="str">
            <v>White</v>
          </cell>
          <cell r="C629" t="str">
            <v>Anodised Silver</v>
          </cell>
          <cell r="D629" t="str">
            <v>Nickel Steel</v>
          </cell>
          <cell r="F629" t="str">
            <v>White</v>
          </cell>
        </row>
        <row r="630">
          <cell r="A630" t="str">
            <v>Shaw Fabrics Mantra Light Filtering Sesame</v>
          </cell>
          <cell r="B630" t="str">
            <v>Beige</v>
          </cell>
          <cell r="C630" t="str">
            <v>Anodised Silver</v>
          </cell>
          <cell r="D630" t="str">
            <v>Nickel Steel</v>
          </cell>
          <cell r="F630" t="str">
            <v>White</v>
          </cell>
        </row>
        <row r="631">
          <cell r="A631" t="str">
            <v>Shaw Fabrics Mantra Light Filtering TBA</v>
          </cell>
        </row>
        <row r="632">
          <cell r="A632" t="str">
            <v>Shaw Fabrics Palm Beach Blockout Angora</v>
          </cell>
        </row>
        <row r="633">
          <cell r="A633" t="str">
            <v>Shaw Fabrics Palm Beach Blockout Dusk</v>
          </cell>
        </row>
        <row r="634">
          <cell r="A634" t="str">
            <v>Shaw Fabrics Palm Beach Blockout Gull</v>
          </cell>
        </row>
        <row r="635">
          <cell r="A635" t="str">
            <v>Shaw Fabrics Palm Beach Blockout Horizon</v>
          </cell>
        </row>
        <row r="636">
          <cell r="A636" t="str">
            <v>Shaw Fabrics Palm Beach Blockout Ink</v>
          </cell>
        </row>
        <row r="637">
          <cell r="A637" t="str">
            <v>Shaw Fabrics Palm Beach Blockout Iron</v>
          </cell>
        </row>
        <row r="638">
          <cell r="A638" t="str">
            <v>Shaw Fabrics Palm Beach Blockout Jasmine</v>
          </cell>
        </row>
        <row r="639">
          <cell r="A639" t="str">
            <v>Shaw Fabrics Palm Beach Blockout Lyric</v>
          </cell>
        </row>
        <row r="640">
          <cell r="A640" t="str">
            <v>Shaw Fabrics Palm Beach Blockout Melody</v>
          </cell>
        </row>
        <row r="641">
          <cell r="A641" t="str">
            <v>Shaw Fabrics Palm Beach Blockout Merino</v>
          </cell>
        </row>
        <row r="642">
          <cell r="A642" t="str">
            <v>Shaw Fabrics Palm Beach Blockout Monsoon</v>
          </cell>
        </row>
        <row r="643">
          <cell r="A643" t="str">
            <v>Shaw Fabrics Palm Beach Blockout Pearl</v>
          </cell>
        </row>
        <row r="644">
          <cell r="A644" t="str">
            <v>Shaw Fabrics Palm Beach Blockout Porpoise</v>
          </cell>
        </row>
        <row r="645">
          <cell r="A645" t="str">
            <v>Shaw Fabrics Palm Beach Blockout Quartz</v>
          </cell>
        </row>
        <row r="646">
          <cell r="A646" t="str">
            <v>Shaw Fabrics Palm Beach Blockout Quill</v>
          </cell>
        </row>
        <row r="647">
          <cell r="A647" t="str">
            <v>Shaw Fabrics Palm Beach Blockout Steel</v>
          </cell>
        </row>
        <row r="648">
          <cell r="A648" t="str">
            <v>Shaw Fabrics Palm Beach Blockout Summer Storm</v>
          </cell>
        </row>
        <row r="649">
          <cell r="A649" t="str">
            <v>Shaw Fabrics Palm Beach Blockout TBA</v>
          </cell>
        </row>
        <row r="650">
          <cell r="A650" t="str">
            <v>Shaw Fabrics Palm Beach Blockout Thunder</v>
          </cell>
        </row>
        <row r="651">
          <cell r="A651" t="str">
            <v>Shaw Fabrics Palm Beach Blockout Urban</v>
          </cell>
        </row>
        <row r="652">
          <cell r="A652" t="str">
            <v>Shaw Fabrics Palm Beach Light Filtering Angora</v>
          </cell>
        </row>
        <row r="653">
          <cell r="A653" t="str">
            <v>Shaw Fabrics Palm Beach Light Filtering Horizon</v>
          </cell>
        </row>
        <row r="654">
          <cell r="A654" t="str">
            <v>Shaw Fabrics Palm Beach Light Filtering Ink</v>
          </cell>
        </row>
        <row r="655">
          <cell r="A655" t="str">
            <v>Shaw Fabrics Palm Beach Light Filtering Melody</v>
          </cell>
        </row>
        <row r="656">
          <cell r="A656" t="str">
            <v>Shaw Fabrics Palm Beach Light Filtering Monsoon</v>
          </cell>
        </row>
        <row r="657">
          <cell r="A657" t="str">
            <v>Shaw Fabrics Palm Beach Light Filtering Pearl</v>
          </cell>
        </row>
        <row r="658">
          <cell r="A658" t="str">
            <v>Shaw Fabrics Palm Beach Light Filtering Steel</v>
          </cell>
        </row>
        <row r="659">
          <cell r="A659" t="str">
            <v>Shaw Fabrics Palm Beach Light Filtering TBA</v>
          </cell>
        </row>
        <row r="660">
          <cell r="A660" t="str">
            <v>Shaw Fabrics Sheerweave  Ecolibrium 4300 - 3% Sunscreen Charcoal</v>
          </cell>
        </row>
        <row r="661">
          <cell r="A661" t="str">
            <v>Shaw Fabrics Sheerweave  Ecolibrium 4300 - 3% Sunscreen Charcoal Gold</v>
          </cell>
        </row>
        <row r="662">
          <cell r="A662" t="str">
            <v>Shaw Fabrics Sheerweave  Ecolibrium 4300 - 3% Sunscreen Linen</v>
          </cell>
        </row>
        <row r="663">
          <cell r="A663" t="str">
            <v>Shaw Fabrics Sheerweave  Ecolibrium 4300 - 3% Sunscreen Sandstone</v>
          </cell>
        </row>
        <row r="664">
          <cell r="A664" t="str">
            <v>Shaw Fabrics Sheerweave  Ecolibrium 4300 - 3% Sunscreen Slate Stone</v>
          </cell>
        </row>
        <row r="665">
          <cell r="A665" t="str">
            <v>Shaw Fabrics Sheerweave  Ecolibrium 4300 - 3% Sunscreen TBA</v>
          </cell>
        </row>
        <row r="666">
          <cell r="A666" t="str">
            <v>Shaw Fabrics Sheerweave  Ecolibrium 4300 - 3% Sunscreen White</v>
          </cell>
        </row>
        <row r="667">
          <cell r="A667" t="str">
            <v>Shaw Fabrics Sheerweave  Ecolibrium 4300 - 3% Sunscreen White Stone</v>
          </cell>
        </row>
        <row r="668">
          <cell r="A668" t="str">
            <v>Shaw Fabrics Sheerweave 2390 Perf+ 5% Sunscreen Beige</v>
          </cell>
        </row>
        <row r="669">
          <cell r="A669" t="str">
            <v>Shaw Fabrics Sheerweave 2390 Perf+ 5% Sunscreen Charcoal</v>
          </cell>
        </row>
        <row r="670">
          <cell r="A670" t="str">
            <v>Shaw Fabrics Sheerweave 2390 Perf+ 5% Sunscreen Charcoal Chestnut</v>
          </cell>
        </row>
        <row r="671">
          <cell r="A671" t="str">
            <v>Shaw Fabrics Sheerweave 2390 Perf+ 5% Sunscreen Charcoal Gold</v>
          </cell>
        </row>
        <row r="672">
          <cell r="A672" t="str">
            <v>Shaw Fabrics Sheerweave 2390 Perf+ 5% Sunscreen Charcoal Grey</v>
          </cell>
        </row>
        <row r="673">
          <cell r="A673" t="str">
            <v>Shaw Fabrics Sheerweave 2390 Perf+ 5% Sunscreen Oyster</v>
          </cell>
        </row>
        <row r="674">
          <cell r="A674" t="str">
            <v>Shaw Fabrics Sheerweave 2390 Perf+ 5% Sunscreen Oyster Beige</v>
          </cell>
        </row>
        <row r="675">
          <cell r="A675" t="str">
            <v>Shaw Fabrics Sheerweave 2390 Perf+ 5% Sunscreen TBA</v>
          </cell>
        </row>
        <row r="676">
          <cell r="A676" t="str">
            <v>Shaw Fabrics Sheerweave 2410 Perf+ 3% Sunscreen Beige</v>
          </cell>
        </row>
        <row r="677">
          <cell r="A677" t="str">
            <v>Shaw Fabrics Sheerweave 2410 Perf+ 3% Sunscreen Charcoal</v>
          </cell>
        </row>
        <row r="678">
          <cell r="A678" t="str">
            <v>Shaw Fabrics Sheerweave 2410 Perf+ 3% Sunscreen Charcoal Chestnut</v>
          </cell>
        </row>
        <row r="679">
          <cell r="A679" t="str">
            <v>Shaw Fabrics Sheerweave 2410 Perf+ 3% Sunscreen Charcoal Gold</v>
          </cell>
        </row>
        <row r="680">
          <cell r="A680" t="str">
            <v>Shaw Fabrics Sheerweave 2410 Perf+ 3% Sunscreen Charcoal Grey</v>
          </cell>
        </row>
        <row r="681">
          <cell r="A681" t="str">
            <v>Shaw Fabrics Sheerweave 2410 Perf+ 3% Sunscreen Oyster</v>
          </cell>
        </row>
        <row r="682">
          <cell r="A682" t="str">
            <v>Shaw Fabrics Sheerweave 2410 Perf+ 3% Sunscreen Oyster Beige</v>
          </cell>
        </row>
        <row r="683">
          <cell r="A683" t="str">
            <v>Shaw Fabrics Sheerweave 2410 Perf+ 3% Sunscreen TBA</v>
          </cell>
        </row>
        <row r="684">
          <cell r="A684" t="str">
            <v>Shaw Fabrics Sheerweave Ecolibrium 4500 - 5% Sunscreen Charcoal</v>
          </cell>
        </row>
        <row r="685">
          <cell r="A685" t="str">
            <v>Shaw Fabrics Sheerweave Ecolibrium 4500 - 5% Sunscreen Charcoal Bronze</v>
          </cell>
        </row>
        <row r="686">
          <cell r="A686" t="str">
            <v>Shaw Fabrics Sheerweave Ecolibrium 4500 - 5% Sunscreen Charcoal Gold</v>
          </cell>
        </row>
        <row r="687">
          <cell r="A687" t="str">
            <v>Shaw Fabrics Sheerweave Ecolibrium 4500 - 5% Sunscreen Charcoal Grey</v>
          </cell>
        </row>
        <row r="688">
          <cell r="A688" t="str">
            <v>Shaw Fabrics Sheerweave Ecolibrium 4500 - 5% Sunscreen Linen</v>
          </cell>
        </row>
        <row r="689">
          <cell r="A689" t="str">
            <v>Shaw Fabrics Sheerweave Ecolibrium 4500 - 5% Sunscreen Sandstone</v>
          </cell>
        </row>
        <row r="690">
          <cell r="A690" t="str">
            <v>Shaw Fabrics Sheerweave Ecolibrium 4500 - 5% Sunscreen TBA</v>
          </cell>
        </row>
        <row r="691">
          <cell r="A691" t="str">
            <v>Shaw Fabrics Sheerweave Ecolibrium 4500 - 5% Sunscreen White</v>
          </cell>
        </row>
        <row r="692">
          <cell r="A692" t="str">
            <v>Shaw Fabrics Sheerweave Ecolibrium 4500 - 5% Sunscreen White Grey</v>
          </cell>
        </row>
        <row r="693">
          <cell r="A693" t="str">
            <v>Shaw Fabrics Sheerweave Ecolibrium 4500 - 5% Sunscreen White Linen</v>
          </cell>
        </row>
        <row r="694">
          <cell r="A694" t="str">
            <v>Shaw Fabrics Sheerweave Ecolibrium 4500 - 5% Sunscreen White Stone</v>
          </cell>
        </row>
        <row r="695">
          <cell r="A695" t="str">
            <v>Shaw Fabrics Sheerweave Ecolibrium 4510 - 10% Sunscreen Charcoal</v>
          </cell>
        </row>
        <row r="696">
          <cell r="A696" t="str">
            <v>Shaw Fabrics Sheerweave Ecolibrium 4510 - 10% Sunscreen Charcoal Bronze</v>
          </cell>
        </row>
        <row r="697">
          <cell r="A697" t="str">
            <v>Shaw Fabrics Sheerweave Ecolibrium 4510 - 10% Sunscreen Charcoal Gold</v>
          </cell>
        </row>
        <row r="698">
          <cell r="A698" t="str">
            <v>Shaw Fabrics Sheerweave Ecolibrium 4510 - 10% Sunscreen Charcoal Grey</v>
          </cell>
        </row>
        <row r="699">
          <cell r="A699" t="str">
            <v>Shaw Fabrics Sheerweave Ecolibrium 4510 - 10% Sunscreen White</v>
          </cell>
        </row>
        <row r="700">
          <cell r="A700" t="str">
            <v>Shaw Fabrics Sheerweave Ecolibrium 4510 - 10% Sunscreen White Grey</v>
          </cell>
        </row>
        <row r="701">
          <cell r="A701" t="str">
            <v>Shaw Fabrics Sheerweave Ecolibrium 4510 - 10% Sunscreen White Linen</v>
          </cell>
        </row>
        <row r="702">
          <cell r="A702" t="str">
            <v>Shaw Fabrics Sheerweave Ecolibrium 4510 - 10% Sunscreen White Stone</v>
          </cell>
        </row>
        <row r="703">
          <cell r="A703" t="str">
            <v>Shaw Fabrics Sheerweave Ecolibrium 4510 - 10%Sunscreen TBA</v>
          </cell>
        </row>
        <row r="704">
          <cell r="A704" t="str">
            <v>Shaw Fabrics Skye Blockout Blazer</v>
          </cell>
        </row>
        <row r="705">
          <cell r="A705" t="str">
            <v>Shaw Fabrics Skye Blockout Chiffon</v>
          </cell>
        </row>
        <row r="706">
          <cell r="A706" t="str">
            <v>Shaw Fabrics Skye Blockout Chrome</v>
          </cell>
          <cell r="B706" t="str">
            <v>White</v>
          </cell>
          <cell r="F706" t="str">
            <v>White</v>
          </cell>
        </row>
        <row r="707">
          <cell r="A707" t="str">
            <v>Shaw Fabrics Skye Blockout Earl Grey</v>
          </cell>
        </row>
        <row r="708">
          <cell r="A708" t="str">
            <v>Shaw Fabrics Skye Blockout Oyster</v>
          </cell>
        </row>
        <row r="709">
          <cell r="A709" t="str">
            <v>Shaw Fabrics Skye Blockout Porcelain</v>
          </cell>
        </row>
        <row r="710">
          <cell r="A710" t="str">
            <v>Shaw Fabrics Skye Blockout Raven</v>
          </cell>
        </row>
        <row r="711">
          <cell r="A711" t="str">
            <v>Shaw Fabrics Skye Blockout Sail</v>
          </cell>
        </row>
        <row r="712">
          <cell r="A712" t="str">
            <v>Shaw Fabrics Skye Blockout Swan</v>
          </cell>
        </row>
        <row r="713">
          <cell r="A713" t="str">
            <v>Shaw Fabrics Skye Light Filtering Blazer</v>
          </cell>
        </row>
        <row r="714">
          <cell r="A714" t="str">
            <v>Shaw Fabrics Skye Light Filtering Chiffon</v>
          </cell>
        </row>
        <row r="715">
          <cell r="A715" t="str">
            <v>Shaw Fabrics Skye Light Filtering Chrome</v>
          </cell>
        </row>
        <row r="716">
          <cell r="A716" t="str">
            <v>Shaw Fabrics Skye Light Filtering Earl Grey</v>
          </cell>
        </row>
        <row r="717">
          <cell r="A717" t="str">
            <v>Shaw Fabrics Skye Light Filtering Oyster</v>
          </cell>
        </row>
        <row r="718">
          <cell r="A718" t="str">
            <v>Shaw Fabrics Skye Light Filtering Porcelain</v>
          </cell>
        </row>
        <row r="719">
          <cell r="A719" t="str">
            <v>Shaw Fabrics Skye Light Filtering Raven</v>
          </cell>
        </row>
        <row r="720">
          <cell r="A720" t="str">
            <v>Shaw Fabrics Skye Light Filtering Sail</v>
          </cell>
        </row>
        <row r="721">
          <cell r="A721" t="str">
            <v>Shaw Fabrics Skye Light Filtering Swan</v>
          </cell>
        </row>
        <row r="722">
          <cell r="A722" t="str">
            <v>Shaw Fabrics Urbanshade Blockout Alabaster</v>
          </cell>
        </row>
        <row r="723">
          <cell r="A723" t="str">
            <v>Shaw Fabrics Urbanshade Blockout Barley</v>
          </cell>
        </row>
        <row r="724">
          <cell r="A724" t="str">
            <v>Shaw Fabrics Urbanshade Blockout Birch</v>
          </cell>
        </row>
        <row r="725">
          <cell r="A725" t="str">
            <v>Shaw Fabrics Urbanshade Blockout Black</v>
          </cell>
        </row>
        <row r="726">
          <cell r="A726" t="str">
            <v>Shaw Fabrics Urbanshade Blockout Caramel</v>
          </cell>
        </row>
        <row r="727">
          <cell r="A727" t="str">
            <v>Shaw Fabrics Urbanshade Blockout Charcoal</v>
          </cell>
        </row>
        <row r="728">
          <cell r="A728" t="str">
            <v>Shaw Fabrics Urbanshade Blockout Pebble</v>
          </cell>
        </row>
        <row r="729">
          <cell r="A729" t="str">
            <v>Shaw Fabrics Urbanshade Blockout Pewter</v>
          </cell>
        </row>
        <row r="730">
          <cell r="A730" t="str">
            <v>Shaw Fabrics Urbanshade Blockout Quicksand</v>
          </cell>
        </row>
        <row r="731">
          <cell r="A731" t="str">
            <v>Shaw Fabrics Urbanshade Blockout Seal</v>
          </cell>
        </row>
        <row r="732">
          <cell r="A732" t="str">
            <v>Shaw Fabrics Urbanshade Blockout TBA</v>
          </cell>
        </row>
        <row r="733">
          <cell r="A733" t="str">
            <v>Shaw Fabrics Urbanshade Blockout White</v>
          </cell>
        </row>
        <row r="734">
          <cell r="A734" t="str">
            <v>Shaw Fabrics Vibe Blockout Bronze Metallic</v>
          </cell>
        </row>
        <row r="735">
          <cell r="A735" t="str">
            <v>Shaw Fabrics Vibe Blockout Brulee Metallic</v>
          </cell>
          <cell r="B735" t="str">
            <v>Beige</v>
          </cell>
          <cell r="C735" t="str">
            <v>Anodised Silver</v>
          </cell>
          <cell r="D735" t="str">
            <v>Beige</v>
          </cell>
          <cell r="E735" t="str">
            <v>Colour No. 5</v>
          </cell>
          <cell r="F735" t="str">
            <v>White</v>
          </cell>
        </row>
        <row r="736">
          <cell r="A736" t="str">
            <v>Shaw Fabrics Vibe Blockout Cactus</v>
          </cell>
        </row>
        <row r="737">
          <cell r="A737" t="str">
            <v>Shaw Fabrics Vibe Blockout Chintz Metallic</v>
          </cell>
        </row>
        <row r="738">
          <cell r="A738" t="str">
            <v>Shaw Fabrics Vibe Blockout Clay</v>
          </cell>
          <cell r="B738" t="str">
            <v>White</v>
          </cell>
          <cell r="C738" t="str">
            <v>Anodised Silver</v>
          </cell>
          <cell r="D738" t="str">
            <v>Nickel Steel</v>
          </cell>
          <cell r="E738" t="str">
            <v>Colour No. 1</v>
          </cell>
          <cell r="F738" t="str">
            <v>White</v>
          </cell>
        </row>
        <row r="739">
          <cell r="A739" t="str">
            <v>Shaw Fabrics Vibe Blockout Cloud</v>
          </cell>
          <cell r="B739" t="str">
            <v>White</v>
          </cell>
          <cell r="C739" t="str">
            <v>Anodised Silver</v>
          </cell>
          <cell r="D739" t="str">
            <v>Nickel Steel</v>
          </cell>
          <cell r="E739" t="str">
            <v>Colour No. 0</v>
          </cell>
          <cell r="F739" t="str">
            <v>White</v>
          </cell>
        </row>
        <row r="740">
          <cell r="A740" t="str">
            <v>Shaw Fabrics Vibe Blockout Coal</v>
          </cell>
          <cell r="B740" t="str">
            <v>Black</v>
          </cell>
          <cell r="C740" t="str">
            <v>Black</v>
          </cell>
          <cell r="D740" t="str">
            <v>Black</v>
          </cell>
          <cell r="E740" t="str">
            <v>Colour No. 20</v>
          </cell>
          <cell r="F740" t="str">
            <v>Black</v>
          </cell>
        </row>
        <row r="741">
          <cell r="A741" t="str">
            <v>Shaw Fabrics Vibe Blockout Coconut</v>
          </cell>
        </row>
        <row r="742">
          <cell r="A742" t="str">
            <v>Shaw Fabrics Vibe Blockout Cornsilk</v>
          </cell>
          <cell r="B742" t="str">
            <v>White</v>
          </cell>
          <cell r="C742" t="str">
            <v>Anodised Silver</v>
          </cell>
          <cell r="D742" t="str">
            <v>Nickel Steel</v>
          </cell>
          <cell r="E742" t="str">
            <v>Colour No. 0</v>
          </cell>
          <cell r="F742" t="str">
            <v>White</v>
          </cell>
        </row>
        <row r="743">
          <cell r="A743" t="str">
            <v>Shaw Fabrics Vibe Blockout Dune</v>
          </cell>
          <cell r="B743" t="str">
            <v>White</v>
          </cell>
          <cell r="C743" t="str">
            <v>Anodised Silver</v>
          </cell>
          <cell r="D743" t="str">
            <v>Nickel Steel</v>
          </cell>
          <cell r="E743" t="str">
            <v>Colour No. 4</v>
          </cell>
          <cell r="F743" t="str">
            <v>White</v>
          </cell>
        </row>
        <row r="744">
          <cell r="A744" t="str">
            <v>Shaw Fabrics Vibe Blockout Ice</v>
          </cell>
          <cell r="B744" t="str">
            <v>White</v>
          </cell>
          <cell r="C744" t="str">
            <v>White</v>
          </cell>
          <cell r="D744" t="str">
            <v>White</v>
          </cell>
          <cell r="E744" t="str">
            <v>Colour No. 1</v>
          </cell>
          <cell r="F744" t="str">
            <v>White</v>
          </cell>
        </row>
        <row r="745">
          <cell r="A745" t="str">
            <v>Shaw Fabrics Vibe Blockout Lava Metallic</v>
          </cell>
          <cell r="B745" t="str">
            <v>White</v>
          </cell>
          <cell r="C745" t="str">
            <v>Anodised Silver</v>
          </cell>
          <cell r="D745" t="str">
            <v>Nickel Steel</v>
          </cell>
          <cell r="E745" t="str">
            <v>Colour No. 81</v>
          </cell>
          <cell r="F745" t="str">
            <v>White</v>
          </cell>
        </row>
        <row r="746">
          <cell r="A746" t="str">
            <v>Shaw Fabrics Vibe Blockout Loft</v>
          </cell>
          <cell r="B746" t="str">
            <v>Birch White</v>
          </cell>
          <cell r="C746" t="str">
            <v>Cream</v>
          </cell>
          <cell r="D746" t="str">
            <v>Birch White</v>
          </cell>
          <cell r="E746" t="str">
            <v>Colour No. 0</v>
          </cell>
          <cell r="F746" t="str">
            <v>White</v>
          </cell>
        </row>
        <row r="747">
          <cell r="A747" t="str">
            <v>Shaw Fabrics Vibe Blockout Mercury Metallic</v>
          </cell>
          <cell r="B747" t="str">
            <v>White</v>
          </cell>
          <cell r="C747" t="str">
            <v>Anodised Silver</v>
          </cell>
          <cell r="D747" t="str">
            <v>Nickel Steel</v>
          </cell>
          <cell r="E747" t="str">
            <v>Colour No. 4</v>
          </cell>
          <cell r="F747" t="str">
            <v>White</v>
          </cell>
        </row>
        <row r="748">
          <cell r="A748" t="str">
            <v>Shaw Fabrics Vibe Blockout Mist</v>
          </cell>
          <cell r="B748" t="str">
            <v>White</v>
          </cell>
          <cell r="C748" t="str">
            <v>Anodised Silver</v>
          </cell>
          <cell r="D748" t="str">
            <v>Nickel Steel</v>
          </cell>
          <cell r="E748" t="str">
            <v>Colour No. 0</v>
          </cell>
          <cell r="F748" t="str">
            <v>White</v>
          </cell>
        </row>
        <row r="749">
          <cell r="A749" t="str">
            <v>Shaw Fabrics Vibe Blockout Moon</v>
          </cell>
          <cell r="B749" t="str">
            <v>White</v>
          </cell>
          <cell r="C749" t="str">
            <v>Anodised Silver</v>
          </cell>
          <cell r="D749" t="str">
            <v>Nickel Steel</v>
          </cell>
          <cell r="E749" t="str">
            <v>Colour No. 0</v>
          </cell>
          <cell r="F749" t="str">
            <v>White</v>
          </cell>
        </row>
        <row r="750">
          <cell r="A750" t="str">
            <v>Shaw Fabrics Vibe Blockout Odessey</v>
          </cell>
          <cell r="B750" t="str">
            <v>White</v>
          </cell>
          <cell r="C750" t="str">
            <v>Anodised Silver</v>
          </cell>
          <cell r="D750" t="str">
            <v>Nickel Steel</v>
          </cell>
          <cell r="E750" t="str">
            <v>Colour No. 0</v>
          </cell>
          <cell r="F750" t="str">
            <v>White</v>
          </cell>
        </row>
        <row r="751">
          <cell r="A751" t="str">
            <v>Shaw Fabrics Vibe Blockout Orient</v>
          </cell>
          <cell r="B751" t="str">
            <v>White</v>
          </cell>
          <cell r="C751" t="str">
            <v>Anodised Silver</v>
          </cell>
          <cell r="D751" t="str">
            <v>Nickel Steel</v>
          </cell>
          <cell r="E751" t="str">
            <v>Colour No. 0</v>
          </cell>
          <cell r="F751" t="str">
            <v>White</v>
          </cell>
        </row>
        <row r="752">
          <cell r="A752" t="str">
            <v>Shaw Fabrics Vibe Blockout Pool</v>
          </cell>
        </row>
        <row r="753">
          <cell r="A753" t="str">
            <v>Shaw Fabrics Vibe Blockout Spirit</v>
          </cell>
        </row>
        <row r="754">
          <cell r="A754" t="str">
            <v>Shaw Fabrics Vibe Blockout Starfish</v>
          </cell>
        </row>
        <row r="755">
          <cell r="A755" t="str">
            <v>Shaw Fabrics Vibe Blockout Stone</v>
          </cell>
          <cell r="B755" t="str">
            <v>Beige</v>
          </cell>
          <cell r="C755" t="str">
            <v>Anodised Silver</v>
          </cell>
          <cell r="D755" t="str">
            <v>Nickel Steel</v>
          </cell>
          <cell r="E755" t="str">
            <v>Colour No. 0</v>
          </cell>
          <cell r="F755" t="str">
            <v>White</v>
          </cell>
        </row>
        <row r="756">
          <cell r="A756" t="str">
            <v>Shaw Fabrics Vibe Blockout Syllabub</v>
          </cell>
        </row>
        <row r="757">
          <cell r="A757" t="str">
            <v>Shaw Fabrics Vibe Blockout TBA</v>
          </cell>
        </row>
        <row r="758">
          <cell r="A758" t="str">
            <v>Shaw Fabrics Vibe Blockout Whisper</v>
          </cell>
          <cell r="B758" t="str">
            <v>White</v>
          </cell>
          <cell r="C758" t="str">
            <v>Anodised Silver</v>
          </cell>
          <cell r="D758" t="str">
            <v>Nickel Steel</v>
          </cell>
          <cell r="E758" t="str">
            <v>Colour No. 0</v>
          </cell>
          <cell r="F758" t="str">
            <v>White</v>
          </cell>
        </row>
        <row r="759">
          <cell r="A759" t="str">
            <v>Sonata Symphony Light Filtering White</v>
          </cell>
          <cell r="B759" t="str">
            <v>White</v>
          </cell>
          <cell r="C759" t="str">
            <v>White</v>
          </cell>
          <cell r="D759" t="str">
            <v>White</v>
          </cell>
          <cell r="F759" t="str">
            <v>White</v>
          </cell>
        </row>
        <row r="760">
          <cell r="A760" t="str">
            <v>Texstyle Balmoral Blockout Armour</v>
          </cell>
          <cell r="B760" t="str">
            <v>White</v>
          </cell>
          <cell r="C760" t="str">
            <v>Anodised Silver</v>
          </cell>
          <cell r="D760" t="str">
            <v>Nickel Steel</v>
          </cell>
          <cell r="F760" t="str">
            <v>White</v>
          </cell>
        </row>
        <row r="761">
          <cell r="A761" t="str">
            <v>Texstyle Balmoral Blockout Birch</v>
          </cell>
          <cell r="B761" t="str">
            <v>White</v>
          </cell>
          <cell r="C761" t="str">
            <v>Anodised Silver</v>
          </cell>
          <cell r="D761" t="str">
            <v>Nickel Steel</v>
          </cell>
          <cell r="F761" t="str">
            <v>White</v>
          </cell>
        </row>
        <row r="762">
          <cell r="A762" t="str">
            <v>Texstyle Balmoral Blockout Bourneville</v>
          </cell>
          <cell r="B762" t="str">
            <v>White</v>
          </cell>
          <cell r="C762" t="str">
            <v>Anodised Silver</v>
          </cell>
          <cell r="D762" t="str">
            <v>Nickel Steel</v>
          </cell>
          <cell r="F762" t="str">
            <v>White</v>
          </cell>
        </row>
        <row r="763">
          <cell r="A763" t="str">
            <v>Texstyle Balmoral Blockout Chrome</v>
          </cell>
          <cell r="B763" t="str">
            <v>White</v>
          </cell>
          <cell r="C763" t="str">
            <v>Anodised Silver</v>
          </cell>
          <cell r="D763" t="str">
            <v>Nickel Steel</v>
          </cell>
          <cell r="F763" t="str">
            <v>White</v>
          </cell>
        </row>
        <row r="764">
          <cell r="A764" t="str">
            <v>Texstyle Balmoral Blockout Concrete</v>
          </cell>
          <cell r="B764" t="str">
            <v>White</v>
          </cell>
          <cell r="C764" t="str">
            <v>Anodised Silver</v>
          </cell>
          <cell r="D764" t="str">
            <v>Nickel Steel</v>
          </cell>
          <cell r="F764" t="str">
            <v>White</v>
          </cell>
        </row>
        <row r="765">
          <cell r="A765" t="str">
            <v>Texstyle Balmoral Blockout Dove</v>
          </cell>
          <cell r="B765" t="str">
            <v>White</v>
          </cell>
          <cell r="C765" t="str">
            <v>Anodised Silver</v>
          </cell>
          <cell r="D765" t="str">
            <v>Nickel Steel</v>
          </cell>
          <cell r="F765" t="str">
            <v>White</v>
          </cell>
        </row>
        <row r="766">
          <cell r="A766" t="str">
            <v>Texstyle Balmoral Blockout Jet</v>
          </cell>
          <cell r="B766" t="str">
            <v>Black</v>
          </cell>
          <cell r="C766" t="str">
            <v>Black</v>
          </cell>
          <cell r="D766" t="str">
            <v>Black</v>
          </cell>
          <cell r="F766" t="str">
            <v>Black</v>
          </cell>
        </row>
        <row r="767">
          <cell r="A767" t="str">
            <v>Texstyle Balmoral Blockout Pearl</v>
          </cell>
          <cell r="B767" t="str">
            <v>White</v>
          </cell>
          <cell r="C767" t="str">
            <v>White</v>
          </cell>
          <cell r="D767" t="str">
            <v>White</v>
          </cell>
          <cell r="F767" t="str">
            <v>White</v>
          </cell>
        </row>
        <row r="768">
          <cell r="A768" t="str">
            <v>Texstyle Balmoral Blockout Platinum</v>
          </cell>
          <cell r="B768" t="str">
            <v>White</v>
          </cell>
          <cell r="C768" t="str">
            <v>Anodised Silver</v>
          </cell>
          <cell r="D768" t="str">
            <v>Nickel Steel</v>
          </cell>
          <cell r="F768" t="str">
            <v>White</v>
          </cell>
        </row>
        <row r="769">
          <cell r="A769" t="str">
            <v>Texstyle Balmoral Blockout Putty</v>
          </cell>
          <cell r="B769" t="str">
            <v>White</v>
          </cell>
          <cell r="C769" t="str">
            <v>Anodised Silver</v>
          </cell>
          <cell r="D769" t="str">
            <v>Nickel Steel</v>
          </cell>
          <cell r="F769" t="str">
            <v>White</v>
          </cell>
        </row>
        <row r="770">
          <cell r="A770" t="str">
            <v>Texstyle Balmoral Blockout Pyrite</v>
          </cell>
          <cell r="B770" t="str">
            <v>White</v>
          </cell>
          <cell r="C770" t="str">
            <v>Anodised Silver</v>
          </cell>
          <cell r="D770" t="str">
            <v>Nickel Steel</v>
          </cell>
          <cell r="F770" t="str">
            <v>White</v>
          </cell>
        </row>
        <row r="771">
          <cell r="A771" t="str">
            <v>Texstyle Balmoral Blockout Steel</v>
          </cell>
          <cell r="B771" t="str">
            <v>Black</v>
          </cell>
          <cell r="C771" t="str">
            <v>Black</v>
          </cell>
          <cell r="D771" t="str">
            <v>Black</v>
          </cell>
          <cell r="F771" t="str">
            <v>Black</v>
          </cell>
        </row>
        <row r="772">
          <cell r="A772" t="str">
            <v>Texstyle Balmoral Blockout TBA</v>
          </cell>
        </row>
        <row r="773">
          <cell r="A773" t="str">
            <v>Texstyle Balmoral Blockout White</v>
          </cell>
          <cell r="B773" t="str">
            <v>White</v>
          </cell>
          <cell r="C773" t="str">
            <v>White</v>
          </cell>
          <cell r="D773" t="str">
            <v>White</v>
          </cell>
          <cell r="F773" t="str">
            <v>White</v>
          </cell>
        </row>
        <row r="774">
          <cell r="A774" t="str">
            <v>Texstyle Balmoral Light Filtering Armour</v>
          </cell>
          <cell r="B774" t="str">
            <v>White</v>
          </cell>
          <cell r="C774" t="str">
            <v>Anodised Silver</v>
          </cell>
          <cell r="D774" t="str">
            <v>Nickel Steel</v>
          </cell>
          <cell r="F774" t="str">
            <v>White</v>
          </cell>
        </row>
        <row r="775">
          <cell r="A775" t="str">
            <v>Texstyle Balmoral Light Filtering Birch</v>
          </cell>
          <cell r="B775" t="str">
            <v>White</v>
          </cell>
          <cell r="C775" t="str">
            <v>Anodised Silver</v>
          </cell>
          <cell r="D775" t="str">
            <v>Nickel Steel</v>
          </cell>
          <cell r="F775" t="str">
            <v>White</v>
          </cell>
        </row>
        <row r="776">
          <cell r="A776" t="str">
            <v>Texstyle Balmoral Light Filtering Bourneville</v>
          </cell>
          <cell r="B776" t="str">
            <v>White</v>
          </cell>
          <cell r="C776" t="str">
            <v>Anodised Silver</v>
          </cell>
          <cell r="D776" t="str">
            <v>Nickel Steel</v>
          </cell>
          <cell r="F776" t="str">
            <v>White</v>
          </cell>
        </row>
        <row r="777">
          <cell r="A777" t="str">
            <v>Texstyle Balmoral Light Filtering Chrome</v>
          </cell>
          <cell r="B777" t="str">
            <v>White</v>
          </cell>
          <cell r="C777" t="str">
            <v>Anodised Silver</v>
          </cell>
          <cell r="D777" t="str">
            <v>Nickel Steel</v>
          </cell>
          <cell r="F777" t="str">
            <v>White</v>
          </cell>
        </row>
        <row r="778">
          <cell r="A778" t="str">
            <v>Texstyle Balmoral Light Filtering Concrete</v>
          </cell>
          <cell r="B778" t="str">
            <v>White</v>
          </cell>
          <cell r="C778" t="str">
            <v>Anodised Silver</v>
          </cell>
          <cell r="D778" t="str">
            <v>Nickel Steel</v>
          </cell>
          <cell r="F778" t="str">
            <v>White</v>
          </cell>
        </row>
        <row r="779">
          <cell r="A779" t="str">
            <v>Texstyle Balmoral Light Filtering Dove</v>
          </cell>
          <cell r="B779" t="str">
            <v>White</v>
          </cell>
          <cell r="C779" t="str">
            <v>Anodised Silver</v>
          </cell>
          <cell r="D779" t="str">
            <v>Nickel Steel</v>
          </cell>
          <cell r="F779" t="str">
            <v>White</v>
          </cell>
        </row>
        <row r="780">
          <cell r="A780" t="str">
            <v>Texstyle Balmoral Light Filtering Jet</v>
          </cell>
          <cell r="B780" t="str">
            <v>Black</v>
          </cell>
          <cell r="C780" t="str">
            <v>Black</v>
          </cell>
          <cell r="D780" t="str">
            <v>Black</v>
          </cell>
          <cell r="F780" t="str">
            <v>Black</v>
          </cell>
        </row>
        <row r="781">
          <cell r="A781" t="str">
            <v>Texstyle Balmoral Light Filtering Pearl</v>
          </cell>
          <cell r="B781" t="str">
            <v>White</v>
          </cell>
          <cell r="C781" t="str">
            <v>White</v>
          </cell>
          <cell r="D781" t="str">
            <v>White</v>
          </cell>
          <cell r="F781" t="str">
            <v>White</v>
          </cell>
        </row>
        <row r="782">
          <cell r="A782" t="str">
            <v>Texstyle Balmoral Light Filtering Platinum</v>
          </cell>
          <cell r="B782" t="str">
            <v>White</v>
          </cell>
          <cell r="C782" t="str">
            <v>Anodised Silver</v>
          </cell>
          <cell r="D782" t="str">
            <v>Nickel Steel</v>
          </cell>
          <cell r="F782" t="str">
            <v>White</v>
          </cell>
        </row>
        <row r="783">
          <cell r="A783" t="str">
            <v>Texstyle Balmoral Light Filtering Putty</v>
          </cell>
          <cell r="B783" t="str">
            <v>White</v>
          </cell>
          <cell r="C783" t="str">
            <v>Anodised Silver</v>
          </cell>
          <cell r="D783" t="str">
            <v>Nickel Steel</v>
          </cell>
          <cell r="F783" t="str">
            <v>White</v>
          </cell>
        </row>
        <row r="784">
          <cell r="A784" t="str">
            <v>Texstyle Balmoral Light Filtering Pyrite</v>
          </cell>
          <cell r="B784" t="str">
            <v>White</v>
          </cell>
          <cell r="C784" t="str">
            <v>Anodised Silver</v>
          </cell>
          <cell r="D784" t="str">
            <v>Nickel Steel</v>
          </cell>
          <cell r="F784" t="str">
            <v>White</v>
          </cell>
        </row>
        <row r="785">
          <cell r="A785" t="str">
            <v>Texstyle Balmoral Light Filtering Steel</v>
          </cell>
          <cell r="B785" t="str">
            <v>Black</v>
          </cell>
          <cell r="C785" t="str">
            <v>Black</v>
          </cell>
          <cell r="D785" t="str">
            <v>Black</v>
          </cell>
          <cell r="F785" t="str">
            <v>Black</v>
          </cell>
        </row>
        <row r="786">
          <cell r="A786" t="str">
            <v>Texstyle Balmoral Light Filtering TBA</v>
          </cell>
        </row>
        <row r="787">
          <cell r="A787" t="str">
            <v>Texstyle Balmoral Light Filtering White</v>
          </cell>
          <cell r="B787" t="str">
            <v>White</v>
          </cell>
          <cell r="C787" t="str">
            <v>White</v>
          </cell>
          <cell r="D787" t="str">
            <v>White</v>
          </cell>
          <cell r="F787" t="str">
            <v>White</v>
          </cell>
        </row>
        <row r="788">
          <cell r="A788" t="str">
            <v>Texstyle Barbados Blockout Driftwood</v>
          </cell>
          <cell r="B788" t="str">
            <v>White</v>
          </cell>
          <cell r="C788" t="str">
            <v>Anodised Silver</v>
          </cell>
          <cell r="D788" t="str">
            <v>Nickel Steel</v>
          </cell>
          <cell r="F788" t="str">
            <v>White</v>
          </cell>
        </row>
        <row r="789">
          <cell r="A789" t="str">
            <v>Texstyle Barbados Blockout Dune</v>
          </cell>
          <cell r="B789" t="str">
            <v>White</v>
          </cell>
          <cell r="C789" t="str">
            <v>Anodised Silver</v>
          </cell>
          <cell r="D789" t="str">
            <v>Nickel Steel</v>
          </cell>
          <cell r="F789" t="str">
            <v>White</v>
          </cell>
        </row>
        <row r="790">
          <cell r="A790" t="str">
            <v>Texstyle Barbados Blockout Paperbark</v>
          </cell>
          <cell r="B790" t="str">
            <v>White</v>
          </cell>
          <cell r="C790" t="str">
            <v>Anodised Silver</v>
          </cell>
          <cell r="D790" t="str">
            <v>Nickel Steel</v>
          </cell>
          <cell r="F790" t="str">
            <v>White</v>
          </cell>
        </row>
        <row r="791">
          <cell r="A791" t="str">
            <v>Texstyle Barbados Blockout Pumice</v>
          </cell>
          <cell r="B791" t="str">
            <v>White</v>
          </cell>
          <cell r="C791" t="str">
            <v>Anodised Silver</v>
          </cell>
          <cell r="D791" t="str">
            <v>Nickel Steel</v>
          </cell>
          <cell r="F791" t="str">
            <v>White</v>
          </cell>
        </row>
        <row r="792">
          <cell r="A792" t="str">
            <v>Texstyle Barbados Blockout Sand</v>
          </cell>
          <cell r="B792" t="str">
            <v>Beige</v>
          </cell>
          <cell r="C792" t="str">
            <v>Anodised Silver</v>
          </cell>
          <cell r="D792" t="str">
            <v>Beige</v>
          </cell>
          <cell r="F792" t="str">
            <v>White</v>
          </cell>
        </row>
        <row r="793">
          <cell r="A793" t="str">
            <v>Texstyle Barbados Blockout Surf</v>
          </cell>
          <cell r="B793" t="str">
            <v>White</v>
          </cell>
          <cell r="C793" t="str">
            <v>Anodised Silver</v>
          </cell>
          <cell r="D793" t="str">
            <v>Nickel Steel</v>
          </cell>
          <cell r="F793" t="str">
            <v>White</v>
          </cell>
        </row>
        <row r="794">
          <cell r="A794" t="str">
            <v>Texstyle Barbados Blockout TBA</v>
          </cell>
        </row>
        <row r="795">
          <cell r="A795" t="str">
            <v>Texstyle Dakota Sunscreen Coal</v>
          </cell>
        </row>
        <row r="796">
          <cell r="A796" t="str">
            <v>Texstyle Dakota Sunscreen Flint</v>
          </cell>
        </row>
        <row r="797">
          <cell r="A797" t="str">
            <v>Texstyle Dakota Sunscreen Granite</v>
          </cell>
        </row>
        <row r="798">
          <cell r="A798" t="str">
            <v>Texstyle Dakota Sunscreen Marble</v>
          </cell>
        </row>
        <row r="799">
          <cell r="A799" t="str">
            <v>Texstyle Dakota Sunscreen Ore</v>
          </cell>
        </row>
        <row r="800">
          <cell r="A800" t="str">
            <v>Texstyle Dakota Sunscreen Quartz</v>
          </cell>
        </row>
        <row r="801">
          <cell r="A801" t="str">
            <v>Texstyle Dakota Sunscreen TBA</v>
          </cell>
        </row>
        <row r="802">
          <cell r="A802" t="str">
            <v>Texstyle Enviroblock Blockout Arctic</v>
          </cell>
        </row>
        <row r="803">
          <cell r="A803" t="str">
            <v>Texstyle Enviroblock Blockout Beige</v>
          </cell>
        </row>
        <row r="804">
          <cell r="A804" t="str">
            <v>Texstyle Enviroblock Blockout Bronze Pearl</v>
          </cell>
        </row>
        <row r="805">
          <cell r="A805" t="str">
            <v>Texstyle Enviroblock Blockout Icon</v>
          </cell>
        </row>
        <row r="806">
          <cell r="A806" t="str">
            <v>Texstyle Enviroblock Blockout Raven</v>
          </cell>
        </row>
        <row r="807">
          <cell r="A807" t="str">
            <v>Texstyle Enviroblock Blockout Shimmer</v>
          </cell>
        </row>
        <row r="808">
          <cell r="A808" t="str">
            <v>Texstyle Enviroblock Blockout Stone</v>
          </cell>
        </row>
        <row r="809">
          <cell r="A809" t="str">
            <v>Texstyle Enviroblock Blockout TBA</v>
          </cell>
        </row>
        <row r="810">
          <cell r="A810" t="str">
            <v>Texstyle Enviroshade Light Filtering Arctic (Metallised)</v>
          </cell>
        </row>
        <row r="811">
          <cell r="A811" t="str">
            <v>Texstyle Enviroshade Light Filtering Arctic (Non Metallised)</v>
          </cell>
        </row>
        <row r="812">
          <cell r="A812" t="str">
            <v>Texstyle Enviroshade Light Filtering Beige (Metallised)</v>
          </cell>
        </row>
        <row r="813">
          <cell r="A813" t="str">
            <v>Texstyle Enviroshade Light Filtering Beige (Non Metallised)</v>
          </cell>
        </row>
        <row r="814">
          <cell r="A814" t="str">
            <v>Texstyle Enviroshade Light Filtering Bronze/Pearl (Metallised)</v>
          </cell>
        </row>
        <row r="815">
          <cell r="A815" t="str">
            <v>Texstyle Enviroshade Light Filtering Bronze/Pearl (Non Metallised)</v>
          </cell>
        </row>
        <row r="816">
          <cell r="A816" t="str">
            <v>Texstyle Enviroshade Light Filtering Icon (Metallised)</v>
          </cell>
        </row>
        <row r="817">
          <cell r="A817" t="str">
            <v>Texstyle Enviroshade Light Filtering Icon (Non Metallised)</v>
          </cell>
        </row>
        <row r="818">
          <cell r="A818" t="str">
            <v>Texstyle Enviroshade Light Filtering Mercury (Metallised)</v>
          </cell>
        </row>
        <row r="819">
          <cell r="A819" t="str">
            <v>Texstyle Enviroshade Light Filtering Mercury (Non Metallised)</v>
          </cell>
        </row>
        <row r="820">
          <cell r="A820" t="str">
            <v>Texstyle Enviroshade Light Filtering Raven (Metallised)</v>
          </cell>
        </row>
        <row r="821">
          <cell r="A821" t="str">
            <v>Texstyle Enviroshade Light Filtering Raven (Non Metallised)</v>
          </cell>
        </row>
        <row r="822">
          <cell r="A822" t="str">
            <v>Texstyle Enviroshade Light Filtering Shimmer (Metallised)</v>
          </cell>
        </row>
        <row r="823">
          <cell r="A823" t="str">
            <v>Texstyle Enviroshade Light Filtering Shimmer (Non Metallised)</v>
          </cell>
        </row>
        <row r="824">
          <cell r="A824" t="str">
            <v>Texstyle Enviroshade Light Filtering Stone (Metallised)</v>
          </cell>
        </row>
        <row r="825">
          <cell r="A825" t="str">
            <v>Texstyle Enviroshade Light Filtering Stone (Non Metallised)</v>
          </cell>
        </row>
        <row r="826">
          <cell r="A826" t="str">
            <v>Texstyle Enviroshade Light Filtering TBA (Metallised)</v>
          </cell>
        </row>
        <row r="827">
          <cell r="A827" t="str">
            <v>Texstyle Enviroshade Light Filtering TBA (Non Metallised)</v>
          </cell>
        </row>
        <row r="828">
          <cell r="A828" t="str">
            <v>Texstyle Enviroshade Light Filtering Walnut (Metallised)</v>
          </cell>
        </row>
        <row r="829">
          <cell r="A829" t="str">
            <v>Texstyle Enviroshade Light Filtering Walnut (Non Metallised)</v>
          </cell>
        </row>
        <row r="830">
          <cell r="A830" t="str">
            <v>Texstyle Focus Blockout Alabaster</v>
          </cell>
          <cell r="B830" t="str">
            <v>Beige</v>
          </cell>
          <cell r="C830" t="str">
            <v>Anodised Silver</v>
          </cell>
          <cell r="D830" t="str">
            <v>Beige</v>
          </cell>
          <cell r="E830" t="str">
            <v>Colour No. 0</v>
          </cell>
          <cell r="F830" t="str">
            <v>White</v>
          </cell>
        </row>
        <row r="831">
          <cell r="A831" t="str">
            <v>Texstyle Focus Blockout Almond</v>
          </cell>
          <cell r="B831" t="str">
            <v>Beige</v>
          </cell>
          <cell r="C831" t="str">
            <v>Anodised Silver</v>
          </cell>
          <cell r="D831" t="str">
            <v>Beige</v>
          </cell>
          <cell r="E831" t="str">
            <v>Colour No. 5</v>
          </cell>
          <cell r="F831" t="str">
            <v>White</v>
          </cell>
        </row>
        <row r="832">
          <cell r="A832" t="str">
            <v>Texstyle Focus Blockout Ash</v>
          </cell>
          <cell r="B832" t="str">
            <v>White</v>
          </cell>
          <cell r="C832" t="str">
            <v>Anodised Silver</v>
          </cell>
          <cell r="D832" t="str">
            <v>Nickel Steel</v>
          </cell>
          <cell r="E832" t="str">
            <v>Colour No. 81</v>
          </cell>
          <cell r="F832" t="str">
            <v>White</v>
          </cell>
        </row>
        <row r="833">
          <cell r="A833" t="str">
            <v>Texstyle Focus Blockout Beechwood</v>
          </cell>
          <cell r="B833" t="str">
            <v>Beige</v>
          </cell>
          <cell r="C833" t="str">
            <v>Anodised Silver</v>
          </cell>
          <cell r="D833" t="str">
            <v>Nickel Steel</v>
          </cell>
          <cell r="E833" t="str">
            <v>Colour No. 5</v>
          </cell>
          <cell r="F833" t="str">
            <v>White</v>
          </cell>
        </row>
        <row r="834">
          <cell r="A834" t="str">
            <v>Texstyle Focus Blockout Blush</v>
          </cell>
          <cell r="B834" t="str">
            <v>White</v>
          </cell>
          <cell r="C834" t="str">
            <v>Anodised Silver</v>
          </cell>
          <cell r="D834" t="str">
            <v>Nickel Steel</v>
          </cell>
          <cell r="E834" t="str">
            <v>Colour No. 81</v>
          </cell>
          <cell r="F834" t="str">
            <v>White</v>
          </cell>
        </row>
        <row r="835">
          <cell r="A835" t="str">
            <v>Texstyle Focus Blockout Chalk</v>
          </cell>
          <cell r="B835" t="str">
            <v>White</v>
          </cell>
          <cell r="C835" t="str">
            <v>White</v>
          </cell>
          <cell r="D835" t="str">
            <v>White</v>
          </cell>
          <cell r="E835" t="str">
            <v>Colour No. 0</v>
          </cell>
          <cell r="F835" t="str">
            <v>White</v>
          </cell>
        </row>
        <row r="836">
          <cell r="A836" t="str">
            <v>Texstyle Focus Blockout Cloud</v>
          </cell>
          <cell r="B836" t="str">
            <v>White</v>
          </cell>
          <cell r="C836" t="str">
            <v>Anodised Silver</v>
          </cell>
          <cell r="D836" t="str">
            <v>Nickel Steel</v>
          </cell>
          <cell r="E836" t="str">
            <v>Colour No. 77</v>
          </cell>
          <cell r="F836" t="str">
            <v>White</v>
          </cell>
        </row>
        <row r="837">
          <cell r="A837" t="str">
            <v>Texstyle Focus Blockout Coal</v>
          </cell>
          <cell r="B837" t="str">
            <v>Black</v>
          </cell>
          <cell r="C837" t="str">
            <v>Black</v>
          </cell>
          <cell r="D837" t="str">
            <v>Nickel Steel</v>
          </cell>
          <cell r="E837" t="str">
            <v>Colour No. 20</v>
          </cell>
          <cell r="F837" t="str">
            <v>Black</v>
          </cell>
        </row>
        <row r="838">
          <cell r="A838" t="str">
            <v>Texstyle Focus Blockout Cotton</v>
          </cell>
          <cell r="B838" t="str">
            <v>White</v>
          </cell>
          <cell r="C838" t="str">
            <v>Anodised Silver</v>
          </cell>
          <cell r="D838" t="str">
            <v>Nickel Steel</v>
          </cell>
          <cell r="E838" t="str">
            <v>Colour No. 77</v>
          </cell>
          <cell r="F838" t="str">
            <v>White</v>
          </cell>
        </row>
        <row r="839">
          <cell r="A839" t="str">
            <v>Texstyle Focus Blockout Cream</v>
          </cell>
          <cell r="B839" t="str">
            <v>Birch White</v>
          </cell>
          <cell r="C839" t="str">
            <v>Cream</v>
          </cell>
          <cell r="D839" t="str">
            <v>Birch White</v>
          </cell>
          <cell r="E839" t="str">
            <v>Colour No. 0</v>
          </cell>
          <cell r="F839" t="str">
            <v>White</v>
          </cell>
        </row>
        <row r="840">
          <cell r="A840" t="str">
            <v>Texstyle Focus Blockout Dove</v>
          </cell>
          <cell r="B840" t="str">
            <v>White</v>
          </cell>
          <cell r="C840" t="str">
            <v>Anodised Silver</v>
          </cell>
          <cell r="D840" t="str">
            <v>Nickel Steel</v>
          </cell>
          <cell r="E840" t="str">
            <v>Colour No. 0</v>
          </cell>
          <cell r="F840" t="str">
            <v>White</v>
          </cell>
        </row>
        <row r="841">
          <cell r="A841" t="str">
            <v>Texstyle Focus Blockout Duckegg</v>
          </cell>
          <cell r="B841" t="str">
            <v>White</v>
          </cell>
          <cell r="C841" t="str">
            <v>Anodised Silver</v>
          </cell>
          <cell r="D841" t="str">
            <v>Nickel Steel</v>
          </cell>
          <cell r="E841" t="str">
            <v>Colour No. 58</v>
          </cell>
          <cell r="F841" t="str">
            <v>White</v>
          </cell>
        </row>
        <row r="842">
          <cell r="A842" t="str">
            <v>Texstyle Focus Blockout Ebony</v>
          </cell>
          <cell r="B842" t="str">
            <v>Black</v>
          </cell>
          <cell r="C842" t="str">
            <v>Black</v>
          </cell>
          <cell r="D842" t="str">
            <v>Black</v>
          </cell>
          <cell r="E842" t="str">
            <v>Colour No. 20</v>
          </cell>
          <cell r="F842" t="str">
            <v>Black</v>
          </cell>
        </row>
        <row r="843">
          <cell r="A843" t="str">
            <v>Texstyle Focus Blockout Espresso</v>
          </cell>
          <cell r="B843" t="str">
            <v>Black</v>
          </cell>
          <cell r="C843" t="str">
            <v>Black</v>
          </cell>
          <cell r="D843" t="str">
            <v>Black</v>
          </cell>
          <cell r="E843" t="str">
            <v>Colour No. 16</v>
          </cell>
          <cell r="F843" t="str">
            <v>Black</v>
          </cell>
        </row>
        <row r="844">
          <cell r="A844" t="str">
            <v>Texstyle Focus Blockout Eucalypt</v>
          </cell>
          <cell r="B844" t="str">
            <v>White</v>
          </cell>
          <cell r="C844" t="str">
            <v>Anodised Silver</v>
          </cell>
          <cell r="D844" t="str">
            <v>Nickel Steel</v>
          </cell>
          <cell r="E844" t="str">
            <v>Colour No. 58</v>
          </cell>
          <cell r="F844" t="str">
            <v>White</v>
          </cell>
        </row>
        <row r="845">
          <cell r="A845" t="str">
            <v>Texstyle Focus Blockout Fig</v>
          </cell>
          <cell r="B845" t="str">
            <v>Black</v>
          </cell>
          <cell r="C845" t="str">
            <v>Black</v>
          </cell>
          <cell r="D845" t="str">
            <v>Black</v>
          </cell>
          <cell r="E845" t="str">
            <v>Colour No. 81</v>
          </cell>
          <cell r="F845" t="str">
            <v>Black</v>
          </cell>
        </row>
        <row r="846">
          <cell r="A846" t="str">
            <v>Texstyle Focus Blockout Jarrah</v>
          </cell>
          <cell r="B846" t="str">
            <v>Beige</v>
          </cell>
          <cell r="C846" t="str">
            <v>Anodised Silver</v>
          </cell>
          <cell r="D846" t="str">
            <v>Beige</v>
          </cell>
          <cell r="E846" t="str">
            <v>Colour No. 9</v>
          </cell>
          <cell r="F846" t="str">
            <v>White</v>
          </cell>
        </row>
        <row r="847">
          <cell r="A847" t="str">
            <v>Texstyle Focus Blockout Latte</v>
          </cell>
          <cell r="B847" t="str">
            <v>Beige</v>
          </cell>
          <cell r="C847" t="str">
            <v>Anodised Silver</v>
          </cell>
          <cell r="D847" t="str">
            <v>Nickel Steel</v>
          </cell>
          <cell r="E847" t="str">
            <v>Colour No. 5</v>
          </cell>
          <cell r="F847" t="str">
            <v>White</v>
          </cell>
        </row>
        <row r="848">
          <cell r="A848" t="str">
            <v>Texstyle Focus Blockout Linen</v>
          </cell>
          <cell r="B848" t="str">
            <v>Birch White</v>
          </cell>
          <cell r="C848" t="str">
            <v>Cream</v>
          </cell>
          <cell r="D848" t="str">
            <v>Birch White</v>
          </cell>
          <cell r="E848" t="str">
            <v>Colour No. 0</v>
          </cell>
          <cell r="F848" t="str">
            <v>White</v>
          </cell>
        </row>
        <row r="849">
          <cell r="A849" t="str">
            <v>Texstyle Focus Blockout Oyster</v>
          </cell>
          <cell r="B849" t="str">
            <v>White</v>
          </cell>
          <cell r="C849" t="str">
            <v>Anodised Silver</v>
          </cell>
          <cell r="D849" t="str">
            <v>Nickel Steel</v>
          </cell>
          <cell r="E849" t="str">
            <v>Colour No. 4</v>
          </cell>
          <cell r="F849" t="str">
            <v>White</v>
          </cell>
        </row>
        <row r="850">
          <cell r="A850" t="str">
            <v>Texstyle Focus Blockout Powder</v>
          </cell>
          <cell r="B850" t="str">
            <v>Birch White</v>
          </cell>
          <cell r="C850" t="str">
            <v>Anodised Silver</v>
          </cell>
          <cell r="D850" t="str">
            <v>Nickel Steel</v>
          </cell>
          <cell r="E850" t="str">
            <v>Colour No. 0</v>
          </cell>
          <cell r="F850" t="str">
            <v>White</v>
          </cell>
        </row>
        <row r="851">
          <cell r="A851" t="str">
            <v>Texstyle Focus Blockout Pumice</v>
          </cell>
          <cell r="B851" t="str">
            <v>White</v>
          </cell>
          <cell r="C851" t="str">
            <v>Anodised Silver</v>
          </cell>
          <cell r="D851" t="str">
            <v>Nickel Steel</v>
          </cell>
          <cell r="E851" t="str">
            <v>Colour No. 4</v>
          </cell>
          <cell r="F851" t="str">
            <v>White</v>
          </cell>
        </row>
        <row r="852">
          <cell r="A852" t="str">
            <v>Texstyle Focus Blockout Putty</v>
          </cell>
          <cell r="B852" t="str">
            <v>Birch White</v>
          </cell>
          <cell r="C852" t="str">
            <v>Anodised Silver</v>
          </cell>
          <cell r="D852" t="str">
            <v>Nickel Steel</v>
          </cell>
          <cell r="E852" t="str">
            <v>Colour No. 4</v>
          </cell>
          <cell r="F852" t="str">
            <v>White</v>
          </cell>
        </row>
        <row r="853">
          <cell r="A853" t="str">
            <v>Texstyle Focus Blockout Sandstone</v>
          </cell>
          <cell r="B853" t="str">
            <v>Beige</v>
          </cell>
          <cell r="C853" t="str">
            <v>Anodised Silver</v>
          </cell>
          <cell r="D853" t="str">
            <v>Nickel Steel</v>
          </cell>
          <cell r="E853" t="str">
            <v>Colour No. 5</v>
          </cell>
          <cell r="F853" t="str">
            <v>White</v>
          </cell>
        </row>
        <row r="854">
          <cell r="A854" t="str">
            <v>Texstyle Focus Blockout Shell</v>
          </cell>
          <cell r="B854" t="str">
            <v>White</v>
          </cell>
          <cell r="C854" t="str">
            <v>Anodised Silver</v>
          </cell>
          <cell r="D854" t="str">
            <v>Nickel Steel</v>
          </cell>
          <cell r="E854" t="str">
            <v>Colour No. 0</v>
          </cell>
          <cell r="F854" t="str">
            <v>White</v>
          </cell>
        </row>
        <row r="855">
          <cell r="A855" t="str">
            <v>Texstyle Focus Blockout Smoke</v>
          </cell>
          <cell r="B855" t="str">
            <v>White</v>
          </cell>
          <cell r="C855" t="str">
            <v>Anodised Silver</v>
          </cell>
          <cell r="D855" t="str">
            <v>Nickel Steel</v>
          </cell>
          <cell r="E855" t="str">
            <v>Colour No. 71</v>
          </cell>
          <cell r="F855" t="str">
            <v>White</v>
          </cell>
        </row>
        <row r="856">
          <cell r="A856" t="str">
            <v>Texstyle Focus Blockout Stone</v>
          </cell>
          <cell r="B856" t="str">
            <v>Birch White</v>
          </cell>
          <cell r="C856" t="str">
            <v>Cream</v>
          </cell>
          <cell r="D856" t="str">
            <v>Birch White</v>
          </cell>
          <cell r="E856" t="str">
            <v>Colour No. 4</v>
          </cell>
          <cell r="F856" t="str">
            <v>White</v>
          </cell>
        </row>
        <row r="857">
          <cell r="A857" t="str">
            <v>Texstyle Focus Blockout TBA</v>
          </cell>
        </row>
        <row r="858">
          <cell r="A858" t="str">
            <v>Texstyle Focus Blockout Tempest</v>
          </cell>
          <cell r="B858" t="str">
            <v>Black</v>
          </cell>
          <cell r="C858" t="str">
            <v>Black</v>
          </cell>
          <cell r="D858" t="str">
            <v>Black</v>
          </cell>
          <cell r="E858" t="str">
            <v>Colour No. 81</v>
          </cell>
          <cell r="F858" t="str">
            <v>Black</v>
          </cell>
        </row>
        <row r="859">
          <cell r="A859" t="str">
            <v>Texstyle Focus Blockout White</v>
          </cell>
          <cell r="B859" t="str">
            <v>White</v>
          </cell>
          <cell r="C859" t="str">
            <v>White</v>
          </cell>
          <cell r="D859" t="str">
            <v>White</v>
          </cell>
          <cell r="E859" t="str">
            <v>Colour No. 1</v>
          </cell>
          <cell r="F859" t="str">
            <v>White</v>
          </cell>
        </row>
        <row r="860">
          <cell r="A860" t="str">
            <v>Texstyle Gala Blockout Anchor</v>
          </cell>
          <cell r="B860" t="str">
            <v>White</v>
          </cell>
          <cell r="C860" t="str">
            <v>Anodised Silver</v>
          </cell>
          <cell r="D860" t="str">
            <v>Nickel Steel</v>
          </cell>
          <cell r="F860" t="str">
            <v>White</v>
          </cell>
        </row>
        <row r="861">
          <cell r="A861" t="str">
            <v>Texstyle Gala Blockout Apple</v>
          </cell>
          <cell r="B861" t="str">
            <v>White</v>
          </cell>
          <cell r="C861" t="str">
            <v>Anodised Silver</v>
          </cell>
          <cell r="D861" t="str">
            <v>Nickel Steel</v>
          </cell>
          <cell r="F861" t="str">
            <v>White</v>
          </cell>
        </row>
        <row r="862">
          <cell r="A862" t="str">
            <v>Texstyle Gala Blockout Atlantic</v>
          </cell>
          <cell r="B862" t="str">
            <v>White</v>
          </cell>
          <cell r="C862" t="str">
            <v>Anodised Silver</v>
          </cell>
          <cell r="D862" t="str">
            <v>Nickel Steel</v>
          </cell>
          <cell r="F862" t="str">
            <v>White</v>
          </cell>
        </row>
        <row r="863">
          <cell r="A863" t="str">
            <v>Texstyle Gala Blockout Beach</v>
          </cell>
          <cell r="B863" t="str">
            <v>White</v>
          </cell>
          <cell r="C863" t="str">
            <v>White</v>
          </cell>
          <cell r="D863" t="str">
            <v>White</v>
          </cell>
          <cell r="F863" t="str">
            <v>White</v>
          </cell>
        </row>
        <row r="864">
          <cell r="A864" t="str">
            <v>Texstyle Gala Blockout Boardwalk</v>
          </cell>
          <cell r="B864" t="str">
            <v>White</v>
          </cell>
          <cell r="C864" t="str">
            <v>Anodised Silver</v>
          </cell>
          <cell r="D864" t="str">
            <v>Nickel Steel</v>
          </cell>
          <cell r="F864" t="str">
            <v>White</v>
          </cell>
        </row>
        <row r="865">
          <cell r="A865" t="str">
            <v>Texstyle Gala Blockout Bounty</v>
          </cell>
          <cell r="B865" t="str">
            <v>White</v>
          </cell>
          <cell r="C865" t="str">
            <v>White</v>
          </cell>
          <cell r="D865" t="str">
            <v>White</v>
          </cell>
          <cell r="F865" t="str">
            <v>White</v>
          </cell>
        </row>
        <row r="866">
          <cell r="A866" t="str">
            <v>Texstyle Gala Blockout Breeze</v>
          </cell>
          <cell r="B866" t="str">
            <v>White</v>
          </cell>
          <cell r="C866" t="str">
            <v>White</v>
          </cell>
          <cell r="D866" t="str">
            <v>White</v>
          </cell>
          <cell r="F866" t="str">
            <v>White</v>
          </cell>
        </row>
        <row r="867">
          <cell r="A867" t="str">
            <v>Texstyle Gala Blockout Chilli</v>
          </cell>
          <cell r="B867" t="str">
            <v>White</v>
          </cell>
          <cell r="C867" t="str">
            <v>Anodised Silver</v>
          </cell>
          <cell r="D867" t="str">
            <v>Nickel Steel</v>
          </cell>
          <cell r="F867" t="str">
            <v>White</v>
          </cell>
        </row>
        <row r="868">
          <cell r="A868" t="str">
            <v>Texstyle Gala Blockout Dusk</v>
          </cell>
          <cell r="B868" t="str">
            <v>White</v>
          </cell>
          <cell r="C868" t="str">
            <v>White</v>
          </cell>
          <cell r="D868" t="str">
            <v>White</v>
          </cell>
          <cell r="F868" t="str">
            <v>White</v>
          </cell>
        </row>
        <row r="869">
          <cell r="A869" t="str">
            <v>Texstyle Gala Blockout Eclipse</v>
          </cell>
          <cell r="B869" t="str">
            <v>Black</v>
          </cell>
          <cell r="C869" t="str">
            <v>Black</v>
          </cell>
          <cell r="D869" t="str">
            <v>Black</v>
          </cell>
          <cell r="F869" t="str">
            <v>Black</v>
          </cell>
        </row>
        <row r="870">
          <cell r="A870" t="str">
            <v>Texstyle Gala Blockout Espy</v>
          </cell>
          <cell r="B870" t="str">
            <v>White</v>
          </cell>
          <cell r="C870" t="str">
            <v>Anodised Silver</v>
          </cell>
          <cell r="D870" t="str">
            <v>Nickel Steel</v>
          </cell>
          <cell r="F870" t="str">
            <v>White</v>
          </cell>
        </row>
        <row r="871">
          <cell r="A871" t="str">
            <v>Texstyle Gala Blockout Feather</v>
          </cell>
          <cell r="B871" t="str">
            <v>White</v>
          </cell>
          <cell r="C871" t="str">
            <v>Anodised Silver</v>
          </cell>
          <cell r="D871" t="str">
            <v>Nickel Steel</v>
          </cell>
          <cell r="F871" t="str">
            <v>White</v>
          </cell>
        </row>
        <row r="872">
          <cell r="A872" t="str">
            <v>Texstyle Gala Blockout Fog</v>
          </cell>
          <cell r="B872" t="str">
            <v>White</v>
          </cell>
          <cell r="C872" t="str">
            <v>White</v>
          </cell>
          <cell r="D872" t="str">
            <v>White</v>
          </cell>
          <cell r="F872" t="str">
            <v>White</v>
          </cell>
        </row>
        <row r="873">
          <cell r="A873" t="str">
            <v>Texstyle Gala Blockout Frost</v>
          </cell>
          <cell r="B873" t="str">
            <v>White</v>
          </cell>
          <cell r="C873" t="str">
            <v>White</v>
          </cell>
          <cell r="D873" t="str">
            <v>White</v>
          </cell>
          <cell r="F873" t="str">
            <v>White</v>
          </cell>
        </row>
        <row r="874">
          <cell r="A874" t="str">
            <v>Texstyle Gala Blockout Harbour</v>
          </cell>
          <cell r="B874" t="str">
            <v>White</v>
          </cell>
          <cell r="C874" t="str">
            <v>Anodised Silver</v>
          </cell>
          <cell r="D874" t="str">
            <v>Nickel Steel</v>
          </cell>
          <cell r="F874" t="str">
            <v>White</v>
          </cell>
        </row>
        <row r="875">
          <cell r="A875" t="str">
            <v>Texstyle Gala Blockout Island</v>
          </cell>
          <cell r="B875" t="str">
            <v>White</v>
          </cell>
          <cell r="C875" t="str">
            <v>Anodised Silver</v>
          </cell>
          <cell r="D875" t="str">
            <v>Nickel Steel</v>
          </cell>
          <cell r="F875" t="str">
            <v>White</v>
          </cell>
        </row>
        <row r="876">
          <cell r="A876" t="str">
            <v>Texstyle Gala Blockout Jetty</v>
          </cell>
          <cell r="B876" t="str">
            <v>White</v>
          </cell>
          <cell r="C876" t="str">
            <v>Anodised Silver</v>
          </cell>
          <cell r="D876" t="str">
            <v>Nickel Steel</v>
          </cell>
          <cell r="F876" t="str">
            <v>White</v>
          </cell>
        </row>
        <row r="877">
          <cell r="A877" t="str">
            <v>Texstyle Gala Blockout Pelican</v>
          </cell>
          <cell r="B877" t="str">
            <v>White</v>
          </cell>
          <cell r="C877" t="str">
            <v>White</v>
          </cell>
          <cell r="D877" t="str">
            <v>White</v>
          </cell>
          <cell r="F877" t="str">
            <v>White</v>
          </cell>
        </row>
        <row r="878">
          <cell r="A878" t="str">
            <v>Texstyle Gala Blockout Salt</v>
          </cell>
          <cell r="B878" t="str">
            <v>White</v>
          </cell>
          <cell r="C878" t="str">
            <v>White</v>
          </cell>
          <cell r="D878" t="str">
            <v>White</v>
          </cell>
          <cell r="F878" t="str">
            <v>White</v>
          </cell>
        </row>
        <row r="879">
          <cell r="A879" t="str">
            <v>Texstyle Gala Blockout Seashell</v>
          </cell>
          <cell r="B879" t="str">
            <v>White</v>
          </cell>
          <cell r="C879" t="str">
            <v>White</v>
          </cell>
          <cell r="D879" t="str">
            <v>White</v>
          </cell>
          <cell r="F879" t="str">
            <v>White</v>
          </cell>
        </row>
        <row r="880">
          <cell r="A880" t="str">
            <v>Texstyle Gala Blockout Splash</v>
          </cell>
          <cell r="B880" t="str">
            <v>White</v>
          </cell>
          <cell r="C880" t="str">
            <v>Anodised Silver</v>
          </cell>
          <cell r="D880" t="str">
            <v>Nickel Steel</v>
          </cell>
          <cell r="F880" t="str">
            <v>White</v>
          </cell>
        </row>
        <row r="881">
          <cell r="A881" t="str">
            <v>Texstyle Gala Blockout Twilight</v>
          </cell>
          <cell r="B881" t="str">
            <v>Black</v>
          </cell>
          <cell r="C881" t="str">
            <v>Black</v>
          </cell>
          <cell r="D881" t="str">
            <v>Black</v>
          </cell>
          <cell r="F881" t="str">
            <v>Black</v>
          </cell>
        </row>
        <row r="882">
          <cell r="A882" t="str">
            <v>Texstyle Jersey Blockout Opal</v>
          </cell>
          <cell r="B882" t="str">
            <v>White</v>
          </cell>
          <cell r="C882" t="str">
            <v>White</v>
          </cell>
          <cell r="D882" t="str">
            <v>White</v>
          </cell>
          <cell r="F882" t="str">
            <v>White</v>
          </cell>
        </row>
        <row r="883">
          <cell r="A883" t="str">
            <v>Texstyle Jersey Blockout Organic</v>
          </cell>
          <cell r="B883" t="str">
            <v>White</v>
          </cell>
          <cell r="C883" t="str">
            <v>Anodised Silver</v>
          </cell>
          <cell r="D883" t="str">
            <v>Nickel Steel</v>
          </cell>
          <cell r="F883" t="str">
            <v>White</v>
          </cell>
        </row>
        <row r="884">
          <cell r="A884" t="str">
            <v>Texstyle Jersey Blockout Pavement</v>
          </cell>
          <cell r="B884" t="str">
            <v>Black</v>
          </cell>
          <cell r="C884" t="str">
            <v>Black</v>
          </cell>
          <cell r="D884" t="str">
            <v>Black</v>
          </cell>
          <cell r="F884" t="str">
            <v>Black</v>
          </cell>
        </row>
        <row r="885">
          <cell r="A885" t="str">
            <v>Texstyle Jersey Blockout Render</v>
          </cell>
          <cell r="B885" t="str">
            <v>Birch White</v>
          </cell>
          <cell r="C885" t="str">
            <v>Cream</v>
          </cell>
          <cell r="D885" t="str">
            <v>Birch White</v>
          </cell>
          <cell r="E885" t="str">
            <v>Colour No. 0</v>
          </cell>
          <cell r="F885" t="str">
            <v>White</v>
          </cell>
        </row>
        <row r="886">
          <cell r="A886" t="str">
            <v>Texstyle Jersey Blockout Steel</v>
          </cell>
          <cell r="B886" t="str">
            <v>White</v>
          </cell>
          <cell r="C886" t="str">
            <v>Anodised Silver</v>
          </cell>
          <cell r="D886" t="str">
            <v>Nickel Steel</v>
          </cell>
          <cell r="F886" t="str">
            <v>White</v>
          </cell>
        </row>
        <row r="887">
          <cell r="A887" t="str">
            <v>Texstyle Jersey Blockout Stone</v>
          </cell>
          <cell r="B887" t="str">
            <v>Birch White</v>
          </cell>
          <cell r="C887" t="str">
            <v>Cream</v>
          </cell>
          <cell r="D887" t="str">
            <v>Birch White</v>
          </cell>
          <cell r="F887" t="str">
            <v>White</v>
          </cell>
        </row>
        <row r="888">
          <cell r="A888" t="str">
            <v>Texstyle Jersey Blockout TBA</v>
          </cell>
        </row>
        <row r="889">
          <cell r="A889" t="str">
            <v>Texstyle Jersey Blockout Timber</v>
          </cell>
          <cell r="B889" t="str">
            <v>Beige</v>
          </cell>
          <cell r="C889" t="str">
            <v>Anodised Silver</v>
          </cell>
          <cell r="D889" t="str">
            <v>Beige</v>
          </cell>
          <cell r="E889" t="str">
            <v>Colour No. 9</v>
          </cell>
          <cell r="F889" t="str">
            <v>White</v>
          </cell>
        </row>
        <row r="890">
          <cell r="A890" t="str">
            <v>Texstyle Jersey Light Filtering Opal</v>
          </cell>
          <cell r="B890" t="str">
            <v>White</v>
          </cell>
          <cell r="C890" t="str">
            <v>White</v>
          </cell>
          <cell r="D890" t="str">
            <v>White</v>
          </cell>
          <cell r="F890" t="str">
            <v>White</v>
          </cell>
        </row>
        <row r="891">
          <cell r="A891" t="str">
            <v>Texstyle Jersey Light Filtering Organic</v>
          </cell>
          <cell r="B891" t="str">
            <v>White</v>
          </cell>
          <cell r="C891" t="str">
            <v>Anodised Silver</v>
          </cell>
          <cell r="D891" t="str">
            <v>Nickel Steel</v>
          </cell>
          <cell r="F891" t="str">
            <v>White</v>
          </cell>
        </row>
        <row r="892">
          <cell r="A892" t="str">
            <v>Texstyle Jersey Light Filtering Pavement</v>
          </cell>
          <cell r="B892" t="str">
            <v>Black</v>
          </cell>
          <cell r="C892" t="str">
            <v>Black</v>
          </cell>
          <cell r="D892" t="str">
            <v>Black</v>
          </cell>
          <cell r="F892" t="str">
            <v>Black</v>
          </cell>
        </row>
        <row r="893">
          <cell r="A893" t="str">
            <v>Texstyle Jersey Light Filtering Render</v>
          </cell>
          <cell r="B893" t="str">
            <v>Birch White</v>
          </cell>
          <cell r="C893" t="str">
            <v>Cream</v>
          </cell>
          <cell r="D893" t="str">
            <v>Birch White</v>
          </cell>
          <cell r="E893" t="str">
            <v>Colour No. 0</v>
          </cell>
          <cell r="F893" t="str">
            <v>White</v>
          </cell>
        </row>
        <row r="894">
          <cell r="A894" t="str">
            <v>Texstyle Jersey Light Filtering Steel</v>
          </cell>
          <cell r="B894" t="str">
            <v>White</v>
          </cell>
          <cell r="C894" t="str">
            <v>Anodised Silver</v>
          </cell>
          <cell r="D894" t="str">
            <v>Nickel Steel</v>
          </cell>
          <cell r="F894" t="str">
            <v>White</v>
          </cell>
        </row>
        <row r="895">
          <cell r="A895" t="str">
            <v>Texstyle Jersey Light Filtering Stone</v>
          </cell>
          <cell r="B895" t="str">
            <v>Birch White</v>
          </cell>
          <cell r="C895" t="str">
            <v>Cream</v>
          </cell>
          <cell r="D895" t="str">
            <v>Birch White</v>
          </cell>
          <cell r="F895" t="str">
            <v>White</v>
          </cell>
        </row>
        <row r="896">
          <cell r="A896" t="str">
            <v>Texstyle Jersey Light Filtering TBA</v>
          </cell>
        </row>
        <row r="897">
          <cell r="A897" t="str">
            <v>Texstyle Jersey Light Filtering Timber</v>
          </cell>
          <cell r="B897" t="str">
            <v>Beige</v>
          </cell>
          <cell r="C897" t="str">
            <v>Anodised Silver</v>
          </cell>
          <cell r="D897" t="str">
            <v>Beige</v>
          </cell>
          <cell r="E897" t="str">
            <v>Colour No. 9</v>
          </cell>
          <cell r="F897" t="str">
            <v>White</v>
          </cell>
        </row>
        <row r="898">
          <cell r="A898" t="str">
            <v>Texstyle Kew Blockout Bark</v>
          </cell>
          <cell r="B898" t="str">
            <v>White</v>
          </cell>
          <cell r="C898" t="str">
            <v>Anodised Silver</v>
          </cell>
          <cell r="D898" t="str">
            <v>Nickle Steel</v>
          </cell>
          <cell r="F898" t="str">
            <v>White</v>
          </cell>
        </row>
        <row r="899">
          <cell r="A899" t="str">
            <v>Texstyle Kew Blockout Clay</v>
          </cell>
          <cell r="B899" t="str">
            <v>Beige</v>
          </cell>
          <cell r="C899" t="str">
            <v>Anodised Silver</v>
          </cell>
          <cell r="D899" t="str">
            <v>Beige</v>
          </cell>
          <cell r="F899" t="str">
            <v>White</v>
          </cell>
        </row>
        <row r="900">
          <cell r="A900" t="str">
            <v>Texstyle Kew Blockout Earth</v>
          </cell>
          <cell r="B900" t="str">
            <v>White</v>
          </cell>
          <cell r="C900" t="str">
            <v>Anodised Silver</v>
          </cell>
          <cell r="D900" t="str">
            <v>Nickle Steel</v>
          </cell>
          <cell r="F900" t="str">
            <v>White</v>
          </cell>
        </row>
        <row r="901">
          <cell r="A901" t="str">
            <v>Texstyle Kew Blockout Flint</v>
          </cell>
          <cell r="B901" t="str">
            <v>Black</v>
          </cell>
          <cell r="C901" t="str">
            <v>Anodised Silver</v>
          </cell>
          <cell r="D901" t="str">
            <v>Nickle Steel</v>
          </cell>
          <cell r="F901" t="str">
            <v>Black</v>
          </cell>
        </row>
        <row r="902">
          <cell r="A902" t="str">
            <v>Texstyle Kew Blockout Natural</v>
          </cell>
          <cell r="B902" t="str">
            <v>White</v>
          </cell>
          <cell r="C902" t="str">
            <v>White</v>
          </cell>
          <cell r="D902" t="str">
            <v>White</v>
          </cell>
          <cell r="F902" t="str">
            <v>White</v>
          </cell>
        </row>
        <row r="903">
          <cell r="A903" t="str">
            <v>Texstyle Kew Blockout Oak</v>
          </cell>
          <cell r="B903" t="str">
            <v>Beige</v>
          </cell>
          <cell r="C903" t="str">
            <v>Anodised Silver</v>
          </cell>
          <cell r="D903" t="str">
            <v>Beige</v>
          </cell>
          <cell r="F903" t="str">
            <v>White</v>
          </cell>
        </row>
        <row r="904">
          <cell r="A904" t="str">
            <v>Texstyle Kew Blockout Oatmeal</v>
          </cell>
          <cell r="B904" t="str">
            <v>Birch White</v>
          </cell>
          <cell r="C904" t="str">
            <v>Cream</v>
          </cell>
          <cell r="D904" t="str">
            <v>Birch White</v>
          </cell>
          <cell r="F904" t="str">
            <v>White</v>
          </cell>
        </row>
        <row r="905">
          <cell r="A905" t="str">
            <v>Texstyle Kew Blockout Orca</v>
          </cell>
          <cell r="B905" t="str">
            <v>White</v>
          </cell>
          <cell r="C905" t="str">
            <v>Anodised Silver</v>
          </cell>
          <cell r="D905" t="str">
            <v>Nickle Steel</v>
          </cell>
          <cell r="F905" t="str">
            <v>White</v>
          </cell>
        </row>
        <row r="906">
          <cell r="A906" t="str">
            <v>Texstyle Kew Blockout Pebble</v>
          </cell>
          <cell r="B906" t="str">
            <v>White</v>
          </cell>
          <cell r="C906" t="str">
            <v>Anodised Silver</v>
          </cell>
          <cell r="D906" t="str">
            <v>Nickle Steel</v>
          </cell>
          <cell r="F906" t="str">
            <v>White</v>
          </cell>
        </row>
        <row r="907">
          <cell r="A907" t="str">
            <v>Texstyle Kew Blockout Pewter</v>
          </cell>
          <cell r="B907" t="str">
            <v>White</v>
          </cell>
          <cell r="C907" t="str">
            <v>Anodised Silver</v>
          </cell>
          <cell r="D907" t="str">
            <v>Nickle Steel</v>
          </cell>
          <cell r="F907" t="str">
            <v>White</v>
          </cell>
        </row>
        <row r="908">
          <cell r="A908" t="str">
            <v>Texstyle Kew Blockout TBA</v>
          </cell>
        </row>
        <row r="909">
          <cell r="A909" t="str">
            <v>Texstyle Kew Blockout Tobacco</v>
          </cell>
          <cell r="B909" t="str">
            <v>White</v>
          </cell>
          <cell r="C909" t="str">
            <v>Anodised Silver</v>
          </cell>
          <cell r="D909" t="str">
            <v>Nickle Steel</v>
          </cell>
          <cell r="F909" t="str">
            <v>White</v>
          </cell>
        </row>
        <row r="910">
          <cell r="A910" t="str">
            <v>Texstyle Kew Blockout Whisper</v>
          </cell>
          <cell r="B910" t="str">
            <v>White</v>
          </cell>
          <cell r="C910" t="str">
            <v>White</v>
          </cell>
          <cell r="D910" t="str">
            <v>White</v>
          </cell>
          <cell r="F910" t="str">
            <v>White</v>
          </cell>
        </row>
        <row r="911">
          <cell r="A911" t="str">
            <v>Texstyle Metroshade  Light Filtering Dove/White</v>
          </cell>
          <cell r="B911" t="str">
            <v>White</v>
          </cell>
          <cell r="C911" t="str">
            <v>White</v>
          </cell>
          <cell r="D911" t="str">
            <v>White</v>
          </cell>
          <cell r="F911" t="str">
            <v>White</v>
          </cell>
        </row>
        <row r="912">
          <cell r="A912" t="str">
            <v>Texstyle Metroshade  Light Filtering Ecru</v>
          </cell>
          <cell r="B912" t="str">
            <v>Birch White</v>
          </cell>
          <cell r="C912" t="str">
            <v>Cream</v>
          </cell>
          <cell r="D912" t="str">
            <v>Birch White</v>
          </cell>
          <cell r="F912" t="str">
            <v>White</v>
          </cell>
        </row>
        <row r="913">
          <cell r="A913" t="str">
            <v>Texstyle Metroshade  Light Filtering Ice Grey</v>
          </cell>
          <cell r="B913" t="str">
            <v>White</v>
          </cell>
          <cell r="C913" t="str">
            <v>White</v>
          </cell>
          <cell r="D913" t="str">
            <v>White</v>
          </cell>
          <cell r="F913" t="str">
            <v>White</v>
          </cell>
        </row>
        <row r="914">
          <cell r="A914" t="str">
            <v>Texstyle Metroshade  Light Filtering Moonstone</v>
          </cell>
          <cell r="B914" t="str">
            <v>White</v>
          </cell>
          <cell r="C914" t="str">
            <v>Anodised Silver</v>
          </cell>
          <cell r="D914" t="str">
            <v>Nickel Steel</v>
          </cell>
          <cell r="F914" t="str">
            <v>White</v>
          </cell>
        </row>
        <row r="915">
          <cell r="A915" t="str">
            <v>Texstyle Metroshade  Light Filtering Nougat</v>
          </cell>
          <cell r="B915" t="str">
            <v>Birch White</v>
          </cell>
          <cell r="C915" t="str">
            <v>Cream</v>
          </cell>
          <cell r="D915" t="str">
            <v>Birch White</v>
          </cell>
          <cell r="F915" t="str">
            <v>White</v>
          </cell>
        </row>
        <row r="916">
          <cell r="A916" t="str">
            <v>Texstyle Metroshade  Light Filtering Quill</v>
          </cell>
          <cell r="B916" t="str">
            <v>White</v>
          </cell>
          <cell r="C916" t="str">
            <v>Anodised Silver</v>
          </cell>
          <cell r="D916" t="str">
            <v>Nickel Steel</v>
          </cell>
          <cell r="F916" t="str">
            <v>White</v>
          </cell>
        </row>
        <row r="917">
          <cell r="A917" t="str">
            <v>Texstyle Metroshade  Light Filtering TBA</v>
          </cell>
        </row>
        <row r="918">
          <cell r="A918" t="str">
            <v>Texstyle Metroshade Blockout Black</v>
          </cell>
          <cell r="B918" t="str">
            <v>Black</v>
          </cell>
          <cell r="C918" t="str">
            <v>Black</v>
          </cell>
          <cell r="D918" t="str">
            <v>Black</v>
          </cell>
          <cell r="F918" t="str">
            <v>Black</v>
          </cell>
        </row>
        <row r="919">
          <cell r="A919" t="str">
            <v>Texstyle Metroshade Blockout Dove/White</v>
          </cell>
          <cell r="B919" t="str">
            <v>White</v>
          </cell>
          <cell r="C919" t="str">
            <v>White</v>
          </cell>
          <cell r="D919" t="str">
            <v>White</v>
          </cell>
          <cell r="F919" t="str">
            <v>White</v>
          </cell>
        </row>
        <row r="920">
          <cell r="A920" t="str">
            <v>Texstyle Metroshade Blockout Dune</v>
          </cell>
          <cell r="B920" t="str">
            <v>White</v>
          </cell>
          <cell r="C920" t="str">
            <v>Anodised Silver</v>
          </cell>
          <cell r="D920" t="str">
            <v>Nickel Steel</v>
          </cell>
          <cell r="F920" t="str">
            <v>White</v>
          </cell>
        </row>
        <row r="921">
          <cell r="A921" t="str">
            <v>Texstyle Metroshade Blockout Ecru</v>
          </cell>
          <cell r="B921" t="str">
            <v>Birch White</v>
          </cell>
          <cell r="C921" t="str">
            <v>Cream</v>
          </cell>
          <cell r="D921" t="str">
            <v>Birch White</v>
          </cell>
          <cell r="F921" t="str">
            <v>White</v>
          </cell>
        </row>
        <row r="922">
          <cell r="A922" t="str">
            <v>Texstyle Metroshade Blockout Ice Grey</v>
          </cell>
          <cell r="B922" t="str">
            <v>White</v>
          </cell>
          <cell r="C922" t="str">
            <v>White</v>
          </cell>
          <cell r="D922" t="str">
            <v>White</v>
          </cell>
          <cell r="F922" t="str">
            <v>White</v>
          </cell>
        </row>
        <row r="923">
          <cell r="A923" t="str">
            <v>Texstyle Metroshade Blockout Moonstone</v>
          </cell>
          <cell r="B923" t="str">
            <v>White</v>
          </cell>
          <cell r="C923" t="str">
            <v>Anodised Silver</v>
          </cell>
          <cell r="D923" t="str">
            <v>Nickel Steel</v>
          </cell>
          <cell r="F923" t="str">
            <v>White</v>
          </cell>
        </row>
        <row r="924">
          <cell r="A924" t="str">
            <v>Texstyle Metroshade Blockout Nougat</v>
          </cell>
          <cell r="B924" t="str">
            <v>Birch White</v>
          </cell>
          <cell r="C924" t="str">
            <v>Cream</v>
          </cell>
          <cell r="D924" t="str">
            <v>Birch White</v>
          </cell>
          <cell r="F924" t="str">
            <v>White</v>
          </cell>
        </row>
        <row r="925">
          <cell r="A925" t="str">
            <v>Texstyle Metroshade Blockout Pebble</v>
          </cell>
          <cell r="B925" t="str">
            <v>White</v>
          </cell>
          <cell r="C925" t="str">
            <v>Anodised Silver</v>
          </cell>
          <cell r="D925" t="str">
            <v>Nickel Steel</v>
          </cell>
          <cell r="F925" t="str">
            <v>White</v>
          </cell>
        </row>
        <row r="926">
          <cell r="A926" t="str">
            <v>Texstyle Metroshade Blockout Quill</v>
          </cell>
          <cell r="B926" t="str">
            <v>White</v>
          </cell>
          <cell r="C926" t="str">
            <v>Anodised Silver</v>
          </cell>
          <cell r="D926" t="str">
            <v>Nickel Steel</v>
          </cell>
          <cell r="F926" t="str">
            <v>White</v>
          </cell>
        </row>
        <row r="927">
          <cell r="A927" t="str">
            <v>Texstyle Metroshade Blockout Seal</v>
          </cell>
          <cell r="B927" t="str">
            <v>White</v>
          </cell>
          <cell r="C927" t="str">
            <v>Anodised Silver</v>
          </cell>
          <cell r="D927" t="str">
            <v>Nickel Steel</v>
          </cell>
          <cell r="F927" t="str">
            <v>White</v>
          </cell>
        </row>
        <row r="928">
          <cell r="A928" t="str">
            <v>Texstyle Metroshade Blockout Slate</v>
          </cell>
          <cell r="B928" t="str">
            <v>White</v>
          </cell>
          <cell r="C928" t="str">
            <v>Anodised Silver</v>
          </cell>
          <cell r="D928" t="str">
            <v>Nickel Steel</v>
          </cell>
          <cell r="F928" t="str">
            <v>White</v>
          </cell>
        </row>
        <row r="929">
          <cell r="A929" t="str">
            <v>Texstyle Metroshade Blockout Storm</v>
          </cell>
          <cell r="B929" t="str">
            <v>Black</v>
          </cell>
          <cell r="C929" t="str">
            <v>Anodised Silver</v>
          </cell>
          <cell r="D929" t="str">
            <v>Nickel Steel</v>
          </cell>
          <cell r="F929" t="str">
            <v>Black</v>
          </cell>
        </row>
        <row r="930">
          <cell r="A930" t="str">
            <v>Texstyle Metroshade Blockout TBA</v>
          </cell>
        </row>
        <row r="931">
          <cell r="A931" t="str">
            <v>Texstyle One Block Blockout Black</v>
          </cell>
          <cell r="B931" t="str">
            <v>Black</v>
          </cell>
          <cell r="C931" t="str">
            <v>Black</v>
          </cell>
          <cell r="D931" t="str">
            <v>Black</v>
          </cell>
          <cell r="F931" t="str">
            <v>Black</v>
          </cell>
        </row>
        <row r="932">
          <cell r="A932" t="str">
            <v>Texstyle One Block Blockout Charcoal</v>
          </cell>
          <cell r="B932" t="str">
            <v>Black</v>
          </cell>
          <cell r="C932" t="str">
            <v>Black</v>
          </cell>
          <cell r="D932" t="str">
            <v>Black</v>
          </cell>
          <cell r="F932" t="str">
            <v>Black</v>
          </cell>
        </row>
        <row r="933">
          <cell r="A933" t="str">
            <v>Texstyle One Block Blockout Dune</v>
          </cell>
          <cell r="B933" t="str">
            <v>Beige</v>
          </cell>
          <cell r="C933" t="str">
            <v>Anodised Silver</v>
          </cell>
          <cell r="D933" t="str">
            <v>Beige</v>
          </cell>
          <cell r="F933" t="str">
            <v>White</v>
          </cell>
        </row>
        <row r="934">
          <cell r="A934" t="str">
            <v>Texstyle One Block Blockout Grey</v>
          </cell>
          <cell r="B934" t="str">
            <v>White</v>
          </cell>
          <cell r="C934" t="str">
            <v>Anodised Silver</v>
          </cell>
          <cell r="D934" t="str">
            <v>Nickel Steel</v>
          </cell>
          <cell r="F934" t="str">
            <v>White</v>
          </cell>
        </row>
        <row r="935">
          <cell r="A935" t="str">
            <v>Texstyle One Block Blockout Gunmetal</v>
          </cell>
          <cell r="B935" t="str">
            <v>White</v>
          </cell>
          <cell r="C935" t="str">
            <v>Anodised Silver</v>
          </cell>
          <cell r="D935" t="str">
            <v>Nickel Steel</v>
          </cell>
          <cell r="F935" t="str">
            <v>White</v>
          </cell>
        </row>
        <row r="936">
          <cell r="A936" t="str">
            <v>Texstyle One Block Blockout Ice</v>
          </cell>
          <cell r="B936" t="str">
            <v>White</v>
          </cell>
          <cell r="C936" t="str">
            <v>White</v>
          </cell>
          <cell r="D936" t="str">
            <v>White</v>
          </cell>
          <cell r="F936" t="str">
            <v>White</v>
          </cell>
        </row>
        <row r="937">
          <cell r="A937" t="str">
            <v>Texstyle One Block Blockout Linen Bronze</v>
          </cell>
          <cell r="B937" t="str">
            <v>Beige</v>
          </cell>
          <cell r="C937" t="str">
            <v>Anodised Silver</v>
          </cell>
          <cell r="D937" t="str">
            <v>Beige</v>
          </cell>
          <cell r="F937" t="str">
            <v>White</v>
          </cell>
        </row>
        <row r="938">
          <cell r="A938" t="str">
            <v>Texstyle One Block Blockout Mercury</v>
          </cell>
          <cell r="B938" t="str">
            <v>Black</v>
          </cell>
          <cell r="C938" t="str">
            <v>Black</v>
          </cell>
          <cell r="D938" t="str">
            <v>Black</v>
          </cell>
          <cell r="F938" t="str">
            <v>Black</v>
          </cell>
        </row>
        <row r="939">
          <cell r="A939" t="str">
            <v>Texstyle One Block Blockout Sand</v>
          </cell>
          <cell r="B939" t="str">
            <v>Beige</v>
          </cell>
          <cell r="C939" t="str">
            <v>Anodised Silver</v>
          </cell>
          <cell r="D939" t="str">
            <v>Beige</v>
          </cell>
          <cell r="F939" t="str">
            <v>White</v>
          </cell>
        </row>
        <row r="940">
          <cell r="A940" t="str">
            <v>Texstyle One Block Blockout Silver Black</v>
          </cell>
          <cell r="B940" t="str">
            <v>Black</v>
          </cell>
          <cell r="C940" t="str">
            <v>Anodised Silver</v>
          </cell>
          <cell r="D940" t="str">
            <v>Black</v>
          </cell>
          <cell r="F940" t="str">
            <v>Black</v>
          </cell>
        </row>
        <row r="941">
          <cell r="A941" t="str">
            <v>Texstyle One Block Blockout TBA</v>
          </cell>
        </row>
        <row r="942">
          <cell r="A942" t="str">
            <v>Texstyle One Block Blockout Wallaby</v>
          </cell>
          <cell r="B942" t="str">
            <v>Beige</v>
          </cell>
          <cell r="C942" t="str">
            <v>Anodised Silver</v>
          </cell>
          <cell r="D942" t="str">
            <v>Beige</v>
          </cell>
          <cell r="F942" t="str">
            <v>White</v>
          </cell>
        </row>
        <row r="943">
          <cell r="A943" t="str">
            <v>Texstyle One Block Blockout White</v>
          </cell>
          <cell r="B943" t="str">
            <v>White</v>
          </cell>
          <cell r="C943" t="str">
            <v>Anodised Silver</v>
          </cell>
          <cell r="D943" t="str">
            <v>Nickel Steel</v>
          </cell>
          <cell r="F943" t="str">
            <v>White</v>
          </cell>
        </row>
        <row r="944">
          <cell r="A944" t="str">
            <v>Texstyle One Screen Sunscreen Black</v>
          </cell>
          <cell r="B944" t="str">
            <v>Black</v>
          </cell>
          <cell r="C944" t="str">
            <v>Black</v>
          </cell>
          <cell r="D944" t="str">
            <v>Black</v>
          </cell>
          <cell r="F944" t="str">
            <v>Black</v>
          </cell>
        </row>
        <row r="945">
          <cell r="A945" t="str">
            <v>Texstyle One Screen Sunscreen Charcoal</v>
          </cell>
          <cell r="B945" t="str">
            <v>Black</v>
          </cell>
          <cell r="C945" t="str">
            <v>Black</v>
          </cell>
          <cell r="D945" t="str">
            <v>Black</v>
          </cell>
          <cell r="F945" t="str">
            <v>Black</v>
          </cell>
        </row>
        <row r="946">
          <cell r="A946" t="str">
            <v>Texstyle One Screen Sunscreen Dune</v>
          </cell>
          <cell r="B946" t="str">
            <v>Beige</v>
          </cell>
          <cell r="C946" t="str">
            <v>Anodised Silver</v>
          </cell>
          <cell r="D946" t="str">
            <v>Beige</v>
          </cell>
          <cell r="F946" t="str">
            <v>White</v>
          </cell>
        </row>
        <row r="947">
          <cell r="A947" t="str">
            <v>Texstyle One Screen Sunscreen Grey</v>
          </cell>
          <cell r="B947" t="str">
            <v>White</v>
          </cell>
          <cell r="C947" t="str">
            <v>Anodised Silver</v>
          </cell>
          <cell r="D947" t="str">
            <v>Nickel Steel</v>
          </cell>
          <cell r="F947" t="str">
            <v>White</v>
          </cell>
        </row>
        <row r="948">
          <cell r="A948" t="str">
            <v>Texstyle One Screen Sunscreen Gunmetal</v>
          </cell>
          <cell r="B948" t="str">
            <v>White</v>
          </cell>
          <cell r="C948" t="str">
            <v>Anodised Silver</v>
          </cell>
          <cell r="D948" t="str">
            <v>Nickel Steel</v>
          </cell>
          <cell r="F948" t="str">
            <v>White</v>
          </cell>
        </row>
        <row r="949">
          <cell r="A949" t="str">
            <v>Texstyle One Screen Sunscreen Ice</v>
          </cell>
          <cell r="B949" t="str">
            <v>White</v>
          </cell>
          <cell r="C949" t="str">
            <v>White</v>
          </cell>
          <cell r="D949" t="str">
            <v>White</v>
          </cell>
          <cell r="F949" t="str">
            <v>White</v>
          </cell>
        </row>
        <row r="950">
          <cell r="A950" t="str">
            <v>Texstyle One Screen Sunscreen Linen Bronze</v>
          </cell>
          <cell r="B950" t="str">
            <v>Beige</v>
          </cell>
          <cell r="C950" t="str">
            <v>Anodised Silver</v>
          </cell>
          <cell r="D950" t="str">
            <v>Beige</v>
          </cell>
          <cell r="F950" t="str">
            <v>White</v>
          </cell>
        </row>
        <row r="951">
          <cell r="A951" t="str">
            <v>Texstyle One Screen Sunscreen Mercury</v>
          </cell>
          <cell r="B951" t="str">
            <v>Black</v>
          </cell>
          <cell r="C951" t="str">
            <v>Black</v>
          </cell>
          <cell r="D951" t="str">
            <v>Black</v>
          </cell>
          <cell r="F951" t="str">
            <v>Black</v>
          </cell>
        </row>
        <row r="952">
          <cell r="A952" t="str">
            <v>Texstyle One Screen Sunscreen Sand</v>
          </cell>
          <cell r="B952" t="str">
            <v>Beige</v>
          </cell>
          <cell r="C952" t="str">
            <v>Anodised Silver</v>
          </cell>
          <cell r="D952" t="str">
            <v>Beige</v>
          </cell>
          <cell r="F952" t="str">
            <v>White</v>
          </cell>
        </row>
        <row r="953">
          <cell r="A953" t="str">
            <v>Texstyle One Screen Sunscreen Silver Black</v>
          </cell>
          <cell r="B953" t="str">
            <v>Black</v>
          </cell>
          <cell r="C953" t="str">
            <v>Anodised Silver</v>
          </cell>
          <cell r="D953" t="str">
            <v>Black</v>
          </cell>
          <cell r="F953" t="str">
            <v>Black</v>
          </cell>
        </row>
        <row r="954">
          <cell r="A954" t="str">
            <v>Texstyle One Screen Sunscreen TBA</v>
          </cell>
        </row>
        <row r="955">
          <cell r="A955" t="str">
            <v>Texstyle One Screen Sunscreen Wallaby</v>
          </cell>
          <cell r="B955" t="str">
            <v>Beige</v>
          </cell>
          <cell r="C955" t="str">
            <v>Anodised Silver</v>
          </cell>
          <cell r="D955" t="str">
            <v>Beige</v>
          </cell>
          <cell r="F955" t="str">
            <v>White</v>
          </cell>
        </row>
        <row r="956">
          <cell r="A956" t="str">
            <v>Texstyle One Screen Sunscreen White</v>
          </cell>
          <cell r="B956" t="str">
            <v>White</v>
          </cell>
          <cell r="C956" t="str">
            <v>White</v>
          </cell>
          <cell r="D956" t="str">
            <v>White</v>
          </cell>
          <cell r="F956" t="str">
            <v>White</v>
          </cell>
        </row>
        <row r="957">
          <cell r="A957" t="str">
            <v>Texstyle Positano Blockout Argento</v>
          </cell>
          <cell r="B957" t="str">
            <v>White</v>
          </cell>
          <cell r="C957" t="str">
            <v>Anodised Silver</v>
          </cell>
          <cell r="D957" t="str">
            <v>Nickel Steel</v>
          </cell>
          <cell r="F957" t="str">
            <v>White</v>
          </cell>
        </row>
        <row r="958">
          <cell r="A958" t="str">
            <v>Texstyle Positano Blockout Bianco</v>
          </cell>
          <cell r="B958" t="str">
            <v>White</v>
          </cell>
          <cell r="C958" t="str">
            <v>White</v>
          </cell>
          <cell r="D958" t="str">
            <v>White</v>
          </cell>
          <cell r="F958" t="str">
            <v>White</v>
          </cell>
        </row>
        <row r="959">
          <cell r="A959" t="str">
            <v>Texstyle Positano Blockout Cannella</v>
          </cell>
          <cell r="B959" t="str">
            <v>White</v>
          </cell>
          <cell r="C959" t="str">
            <v>Anodised Silver</v>
          </cell>
          <cell r="D959" t="str">
            <v>Nickel Steel</v>
          </cell>
          <cell r="F959" t="str">
            <v>White</v>
          </cell>
        </row>
        <row r="960">
          <cell r="A960" t="str">
            <v>Texstyle Positano Blockout Caramello</v>
          </cell>
          <cell r="B960" t="str">
            <v>Beige</v>
          </cell>
          <cell r="C960" t="str">
            <v>Anodised Silver</v>
          </cell>
          <cell r="D960" t="str">
            <v>Nickel Steel</v>
          </cell>
          <cell r="F960" t="str">
            <v>White</v>
          </cell>
        </row>
        <row r="961">
          <cell r="A961" t="str">
            <v>Texstyle Positano Blockout Choccolato</v>
          </cell>
          <cell r="B961" t="str">
            <v>White</v>
          </cell>
          <cell r="C961" t="str">
            <v>Anodised Silver</v>
          </cell>
          <cell r="D961" t="str">
            <v>Nickel Steel</v>
          </cell>
          <cell r="F961" t="str">
            <v>White</v>
          </cell>
        </row>
        <row r="962">
          <cell r="A962" t="str">
            <v>Texstyle Positano Blockout Granite</v>
          </cell>
          <cell r="B962" t="str">
            <v>White</v>
          </cell>
          <cell r="C962" t="str">
            <v>Anodised Silver</v>
          </cell>
          <cell r="D962" t="str">
            <v>Nickel Steel</v>
          </cell>
          <cell r="F962" t="str">
            <v>White</v>
          </cell>
        </row>
        <row r="963">
          <cell r="A963" t="str">
            <v>Texstyle Positano Blockout Grigio</v>
          </cell>
          <cell r="B963" t="str">
            <v>White</v>
          </cell>
          <cell r="C963" t="str">
            <v>Anodised Silver</v>
          </cell>
          <cell r="D963" t="str">
            <v>Nickel Steel</v>
          </cell>
          <cell r="F963" t="str">
            <v>White</v>
          </cell>
        </row>
        <row r="964">
          <cell r="A964" t="str">
            <v>Texstyle Positano Blockout Pelle</v>
          </cell>
          <cell r="B964" t="str">
            <v>Beige</v>
          </cell>
          <cell r="C964" t="str">
            <v>Anodised Silver</v>
          </cell>
          <cell r="D964" t="str">
            <v>Nickel Steel</v>
          </cell>
          <cell r="F964" t="str">
            <v>White</v>
          </cell>
        </row>
        <row r="965">
          <cell r="A965" t="str">
            <v>Texstyle Positano Blockout Quarzo</v>
          </cell>
          <cell r="B965" t="str">
            <v>Beige</v>
          </cell>
          <cell r="C965" t="str">
            <v>Anodised Silver</v>
          </cell>
          <cell r="D965" t="str">
            <v>Nickel Steel</v>
          </cell>
          <cell r="F965" t="str">
            <v>White</v>
          </cell>
        </row>
        <row r="966">
          <cell r="A966" t="str">
            <v>Texstyle Positano Blockout TBA</v>
          </cell>
        </row>
        <row r="967">
          <cell r="A967" t="str">
            <v>Texstyle Sanctuary Blockout Baltic</v>
          </cell>
          <cell r="B967" t="str">
            <v>White</v>
          </cell>
          <cell r="C967" t="str">
            <v>Anodised Silver</v>
          </cell>
          <cell r="D967" t="str">
            <v>Nickel Steel</v>
          </cell>
          <cell r="F967" t="str">
            <v>White</v>
          </cell>
        </row>
        <row r="968">
          <cell r="A968" t="str">
            <v>Texstyle Sanctuary Blockout Ceramic</v>
          </cell>
          <cell r="B968" t="str">
            <v>White</v>
          </cell>
          <cell r="C968" t="str">
            <v>Anodised Silver</v>
          </cell>
          <cell r="D968" t="str">
            <v>Nickel Steel</v>
          </cell>
          <cell r="E968" t="str">
            <v>Colour No. 0</v>
          </cell>
          <cell r="F968" t="str">
            <v>White</v>
          </cell>
        </row>
        <row r="969">
          <cell r="A969" t="str">
            <v>Texstyle Sanctuary Blockout Fossil</v>
          </cell>
          <cell r="B969" t="str">
            <v>White</v>
          </cell>
          <cell r="C969" t="str">
            <v>Anodised Silver</v>
          </cell>
          <cell r="D969" t="str">
            <v>Nickel Steel</v>
          </cell>
          <cell r="F969" t="str">
            <v>White</v>
          </cell>
        </row>
        <row r="970">
          <cell r="A970" t="str">
            <v>Texstyle Sanctuary Blockout Lava</v>
          </cell>
          <cell r="B970" t="str">
            <v>Black</v>
          </cell>
          <cell r="C970" t="str">
            <v>Black</v>
          </cell>
          <cell r="D970" t="str">
            <v>Black</v>
          </cell>
          <cell r="F970" t="str">
            <v>Black</v>
          </cell>
        </row>
        <row r="971">
          <cell r="A971" t="str">
            <v>Texstyle Sanctuary Blockout Limestone</v>
          </cell>
          <cell r="B971" t="str">
            <v>Birch White</v>
          </cell>
          <cell r="C971" t="str">
            <v>Cream</v>
          </cell>
          <cell r="D971" t="str">
            <v>Birch White</v>
          </cell>
          <cell r="F971" t="str">
            <v>White</v>
          </cell>
        </row>
        <row r="972">
          <cell r="A972" t="str">
            <v>Texstyle Sanctuary Blockout Marble</v>
          </cell>
          <cell r="B972" t="str">
            <v>White</v>
          </cell>
          <cell r="C972" t="str">
            <v>Anodised Silver</v>
          </cell>
          <cell r="D972" t="str">
            <v>Nickel Steel</v>
          </cell>
          <cell r="F972" t="str">
            <v>White</v>
          </cell>
        </row>
        <row r="973">
          <cell r="A973" t="str">
            <v>Texstyle Sanctuary Blockout Mineral</v>
          </cell>
          <cell r="B973" t="str">
            <v>White</v>
          </cell>
          <cell r="C973" t="str">
            <v>Anodised Silver</v>
          </cell>
          <cell r="D973" t="str">
            <v>Nickel Steel</v>
          </cell>
          <cell r="F973" t="str">
            <v>White</v>
          </cell>
        </row>
        <row r="974">
          <cell r="A974" t="str">
            <v>Texstyle Sanctuary Blockout Plaster</v>
          </cell>
          <cell r="B974" t="str">
            <v>White</v>
          </cell>
          <cell r="C974" t="str">
            <v>White</v>
          </cell>
          <cell r="D974" t="str">
            <v>White</v>
          </cell>
          <cell r="F974" t="str">
            <v>White</v>
          </cell>
        </row>
        <row r="975">
          <cell r="A975" t="str">
            <v>Texstyle Sanctuary Blockout Slate</v>
          </cell>
          <cell r="B975" t="str">
            <v>White</v>
          </cell>
          <cell r="C975" t="str">
            <v>Anodised Silver</v>
          </cell>
          <cell r="D975" t="str">
            <v>Nickel Steel</v>
          </cell>
          <cell r="F975" t="str">
            <v>White</v>
          </cell>
        </row>
        <row r="976">
          <cell r="A976" t="str">
            <v>Texstyle Sanctuary Blockout Suede</v>
          </cell>
          <cell r="B976" t="str">
            <v>White</v>
          </cell>
          <cell r="C976" t="str">
            <v>Anodised Silver</v>
          </cell>
          <cell r="D976" t="str">
            <v>Nickel Steel</v>
          </cell>
          <cell r="F976" t="str">
            <v>White</v>
          </cell>
        </row>
        <row r="977">
          <cell r="A977" t="str">
            <v>Texstyle Sanctuary Blockout TBA</v>
          </cell>
        </row>
        <row r="978">
          <cell r="A978" t="str">
            <v>Texstyle Sanctuary Blockout Truffle</v>
          </cell>
          <cell r="B978" t="str">
            <v>White</v>
          </cell>
          <cell r="C978" t="str">
            <v>Anodised Silver</v>
          </cell>
          <cell r="D978" t="str">
            <v>Nickel Steel</v>
          </cell>
          <cell r="F978" t="str">
            <v>White</v>
          </cell>
        </row>
        <row r="979">
          <cell r="A979" t="str">
            <v>Texstyle Serengetti Blockout Albatross</v>
          </cell>
          <cell r="B979" t="str">
            <v>White</v>
          </cell>
          <cell r="C979" t="str">
            <v>Anodised Silver</v>
          </cell>
          <cell r="D979" t="str">
            <v>White</v>
          </cell>
          <cell r="F979" t="str">
            <v>White</v>
          </cell>
        </row>
        <row r="980">
          <cell r="A980" t="str">
            <v>Texstyle Serengetti Blockout Antelope</v>
          </cell>
          <cell r="B980" t="str">
            <v>Black</v>
          </cell>
          <cell r="C980" t="str">
            <v>Black</v>
          </cell>
          <cell r="D980" t="str">
            <v>Black</v>
          </cell>
          <cell r="F980" t="str">
            <v>Black</v>
          </cell>
        </row>
        <row r="981">
          <cell r="A981" t="str">
            <v>Texstyle Serengetti Blockout Caribou</v>
          </cell>
          <cell r="B981" t="str">
            <v>Beige</v>
          </cell>
          <cell r="C981" t="str">
            <v>Anodised Silver</v>
          </cell>
          <cell r="D981" t="str">
            <v>Beige</v>
          </cell>
          <cell r="F981" t="str">
            <v>White</v>
          </cell>
        </row>
        <row r="982">
          <cell r="A982" t="str">
            <v>Texstyle Serengetti Blockout Chamois</v>
          </cell>
          <cell r="B982" t="str">
            <v>White</v>
          </cell>
          <cell r="C982" t="str">
            <v>Anodised Silver</v>
          </cell>
          <cell r="D982" t="str">
            <v>Nickel Steel</v>
          </cell>
          <cell r="F982" t="str">
            <v>White</v>
          </cell>
        </row>
        <row r="983">
          <cell r="A983" t="str">
            <v>Texstyle Serengetti Blockout Eland</v>
          </cell>
          <cell r="B983" t="str">
            <v>White</v>
          </cell>
          <cell r="C983" t="str">
            <v>Anodised Silver</v>
          </cell>
          <cell r="D983" t="str">
            <v>Nickel Steel</v>
          </cell>
          <cell r="F983" t="str">
            <v>White</v>
          </cell>
        </row>
        <row r="984">
          <cell r="A984" t="str">
            <v>Texstyle Serengetti Blockout Hyrax</v>
          </cell>
          <cell r="B984" t="str">
            <v>White</v>
          </cell>
          <cell r="C984" t="str">
            <v>Anodised Silver</v>
          </cell>
          <cell r="D984" t="str">
            <v>White</v>
          </cell>
          <cell r="F984" t="str">
            <v>White</v>
          </cell>
        </row>
        <row r="985">
          <cell r="A985" t="str">
            <v>Texstyle Serengetti Blockout Jackal</v>
          </cell>
          <cell r="B985" t="str">
            <v>White</v>
          </cell>
          <cell r="C985" t="str">
            <v>Anodised Silver</v>
          </cell>
          <cell r="D985" t="str">
            <v>Nickel Steel</v>
          </cell>
          <cell r="F985" t="str">
            <v>White</v>
          </cell>
        </row>
        <row r="986">
          <cell r="A986" t="str">
            <v>Texstyle Serengetti Blockout Llama</v>
          </cell>
          <cell r="B986" t="str">
            <v>White</v>
          </cell>
          <cell r="C986" t="str">
            <v>White</v>
          </cell>
          <cell r="D986" t="str">
            <v>White</v>
          </cell>
          <cell r="F986" t="str">
            <v>White</v>
          </cell>
        </row>
        <row r="987">
          <cell r="A987" t="str">
            <v>Texstyle Serengetti Blockout Mamba</v>
          </cell>
          <cell r="B987" t="str">
            <v>Black</v>
          </cell>
          <cell r="C987" t="str">
            <v>Black</v>
          </cell>
          <cell r="D987" t="str">
            <v>Black</v>
          </cell>
          <cell r="F987" t="str">
            <v>Black</v>
          </cell>
        </row>
        <row r="988">
          <cell r="A988" t="str">
            <v>Texstyle Serengetti Blockout Onyx</v>
          </cell>
          <cell r="B988" t="str">
            <v>Beige</v>
          </cell>
          <cell r="C988" t="str">
            <v>Anodised Silver</v>
          </cell>
          <cell r="D988" t="str">
            <v>Nickel Steel</v>
          </cell>
          <cell r="F988" t="str">
            <v>White</v>
          </cell>
        </row>
        <row r="989">
          <cell r="A989" t="str">
            <v>Texstyle Serengetti Blockout Owl</v>
          </cell>
          <cell r="B989" t="str">
            <v>Beige</v>
          </cell>
          <cell r="C989" t="str">
            <v>Anodised Silver</v>
          </cell>
          <cell r="D989" t="str">
            <v>Nickel Steel</v>
          </cell>
          <cell r="F989" t="str">
            <v>White</v>
          </cell>
        </row>
        <row r="990">
          <cell r="A990" t="str">
            <v>Texstyle Serengetti Blockout Panther</v>
          </cell>
          <cell r="B990" t="str">
            <v>Black</v>
          </cell>
          <cell r="C990" t="str">
            <v>Black</v>
          </cell>
          <cell r="D990" t="str">
            <v>Black</v>
          </cell>
          <cell r="F990" t="str">
            <v>Black</v>
          </cell>
        </row>
        <row r="991">
          <cell r="A991" t="str">
            <v>Texstyle Serengetti Blockout Polar</v>
          </cell>
          <cell r="B991" t="str">
            <v>White</v>
          </cell>
          <cell r="C991" t="str">
            <v>White</v>
          </cell>
          <cell r="D991" t="str">
            <v>White</v>
          </cell>
          <cell r="F991" t="str">
            <v>White</v>
          </cell>
        </row>
        <row r="992">
          <cell r="A992" t="str">
            <v>Texstyle Serengetti Blockout TBA</v>
          </cell>
        </row>
        <row r="993">
          <cell r="A993" t="str">
            <v>Texstyle Serengetti Light Filtering Albatross</v>
          </cell>
          <cell r="B993" t="str">
            <v>White</v>
          </cell>
          <cell r="C993" t="str">
            <v>Anodised Silver</v>
          </cell>
          <cell r="D993" t="str">
            <v>White</v>
          </cell>
          <cell r="F993" t="str">
            <v>White</v>
          </cell>
        </row>
        <row r="994">
          <cell r="A994" t="str">
            <v>Texstyle Serengetti Light Filtering Antelope</v>
          </cell>
          <cell r="B994" t="str">
            <v>Black</v>
          </cell>
          <cell r="C994" t="str">
            <v>Black</v>
          </cell>
          <cell r="D994" t="str">
            <v>Black</v>
          </cell>
          <cell r="F994" t="str">
            <v>Black</v>
          </cell>
        </row>
        <row r="995">
          <cell r="A995" t="str">
            <v>Texstyle Serengetti Light Filtering Caribou</v>
          </cell>
          <cell r="B995" t="str">
            <v>Beige</v>
          </cell>
          <cell r="C995" t="str">
            <v>Anodised Silver</v>
          </cell>
          <cell r="D995" t="str">
            <v>Beige</v>
          </cell>
          <cell r="F995" t="str">
            <v>White</v>
          </cell>
        </row>
        <row r="996">
          <cell r="A996" t="str">
            <v>Texstyle Serengetti Light Filtering Chamois</v>
          </cell>
          <cell r="B996" t="str">
            <v>White</v>
          </cell>
          <cell r="C996" t="str">
            <v>Anodised Silver</v>
          </cell>
          <cell r="D996" t="str">
            <v>Nickel Steel</v>
          </cell>
          <cell r="F996" t="str">
            <v>White</v>
          </cell>
        </row>
        <row r="997">
          <cell r="A997" t="str">
            <v>Texstyle Serengetti Light Filtering Eland</v>
          </cell>
          <cell r="B997" t="str">
            <v>White</v>
          </cell>
          <cell r="C997" t="str">
            <v>Anodised Silver</v>
          </cell>
          <cell r="D997" t="str">
            <v>Nickel Steel</v>
          </cell>
          <cell r="F997" t="str">
            <v>White</v>
          </cell>
        </row>
        <row r="998">
          <cell r="A998" t="str">
            <v>Texstyle Serengetti Light Filtering Hyrax</v>
          </cell>
          <cell r="B998" t="str">
            <v>White</v>
          </cell>
          <cell r="C998" t="str">
            <v>Anodised Silver</v>
          </cell>
          <cell r="D998" t="str">
            <v>White</v>
          </cell>
          <cell r="F998" t="str">
            <v>White</v>
          </cell>
        </row>
        <row r="999">
          <cell r="A999" t="str">
            <v>Texstyle Serengetti Light Filtering Jackal</v>
          </cell>
          <cell r="B999" t="str">
            <v>White</v>
          </cell>
          <cell r="C999" t="str">
            <v>Anodised Silver</v>
          </cell>
          <cell r="D999" t="str">
            <v>Nickel Steel</v>
          </cell>
          <cell r="F999" t="str">
            <v>White</v>
          </cell>
        </row>
        <row r="1000">
          <cell r="A1000" t="str">
            <v>Texstyle Serengetti Light Filtering Llama</v>
          </cell>
          <cell r="B1000" t="str">
            <v>White</v>
          </cell>
          <cell r="C1000" t="str">
            <v>White</v>
          </cell>
          <cell r="D1000" t="str">
            <v>White</v>
          </cell>
          <cell r="F1000" t="str">
            <v>White</v>
          </cell>
        </row>
        <row r="1001">
          <cell r="A1001" t="str">
            <v>Texstyle Serengetti Light Filtering Mamba</v>
          </cell>
          <cell r="B1001" t="str">
            <v>Black</v>
          </cell>
          <cell r="C1001" t="str">
            <v>Black</v>
          </cell>
          <cell r="D1001" t="str">
            <v>Black</v>
          </cell>
          <cell r="F1001" t="str">
            <v>Black</v>
          </cell>
        </row>
        <row r="1002">
          <cell r="A1002" t="str">
            <v>Texstyle Serengetti Light Filtering Onyx</v>
          </cell>
          <cell r="B1002" t="str">
            <v>Beige</v>
          </cell>
          <cell r="C1002" t="str">
            <v>Anodised Silver</v>
          </cell>
          <cell r="D1002" t="str">
            <v>Nickel Steel</v>
          </cell>
          <cell r="F1002" t="str">
            <v>White</v>
          </cell>
        </row>
        <row r="1003">
          <cell r="A1003" t="str">
            <v>Texstyle Serengetti Light Filtering Owl</v>
          </cell>
          <cell r="B1003" t="str">
            <v>Beige</v>
          </cell>
          <cell r="C1003" t="str">
            <v>Anodised Silver</v>
          </cell>
          <cell r="D1003" t="str">
            <v>Nickel Steel</v>
          </cell>
          <cell r="F1003" t="str">
            <v>White</v>
          </cell>
        </row>
        <row r="1004">
          <cell r="A1004" t="str">
            <v>Texstyle Serengetti Light Filtering Panther</v>
          </cell>
          <cell r="B1004" t="str">
            <v>Black</v>
          </cell>
          <cell r="C1004" t="str">
            <v>Black</v>
          </cell>
          <cell r="D1004" t="str">
            <v>Black</v>
          </cell>
          <cell r="F1004" t="str">
            <v>Black</v>
          </cell>
        </row>
        <row r="1005">
          <cell r="A1005" t="str">
            <v>Texstyle Serengetti Light Filtering Polar</v>
          </cell>
          <cell r="B1005" t="str">
            <v>White</v>
          </cell>
          <cell r="C1005" t="str">
            <v>White</v>
          </cell>
          <cell r="D1005" t="str">
            <v>White</v>
          </cell>
          <cell r="F1005" t="str">
            <v>White</v>
          </cell>
        </row>
        <row r="1006">
          <cell r="A1006" t="str">
            <v>Texstyle Serengetti Light Filtering TBA</v>
          </cell>
        </row>
        <row r="1007">
          <cell r="A1007" t="str">
            <v>Texstyle Solar View Sunscreen Alabaster</v>
          </cell>
          <cell r="B1007" t="str">
            <v>White</v>
          </cell>
          <cell r="C1007" t="str">
            <v>Anodised Silver</v>
          </cell>
          <cell r="D1007" t="str">
            <v>Nickel Steel</v>
          </cell>
          <cell r="F1007" t="str">
            <v>White</v>
          </cell>
        </row>
        <row r="1008">
          <cell r="A1008" t="str">
            <v>Texstyle Solar View Sunscreen Black</v>
          </cell>
          <cell r="B1008" t="str">
            <v>Black</v>
          </cell>
          <cell r="C1008" t="str">
            <v>Black</v>
          </cell>
          <cell r="D1008" t="str">
            <v>Black</v>
          </cell>
          <cell r="F1008" t="str">
            <v>Black</v>
          </cell>
        </row>
        <row r="1009">
          <cell r="A1009" t="str">
            <v>Texstyle Solar View Sunscreen Black/Copper</v>
          </cell>
          <cell r="B1009" t="str">
            <v>Black</v>
          </cell>
          <cell r="C1009" t="str">
            <v>Black</v>
          </cell>
          <cell r="D1009" t="str">
            <v>Black</v>
          </cell>
          <cell r="F1009" t="str">
            <v>Black</v>
          </cell>
        </row>
        <row r="1010">
          <cell r="A1010" t="str">
            <v>Texstyle Solar View Sunscreen Bone/Off White</v>
          </cell>
          <cell r="B1010" t="str">
            <v>Beige</v>
          </cell>
          <cell r="C1010" t="str">
            <v>Anodised Silver</v>
          </cell>
          <cell r="D1010" t="str">
            <v>Beige</v>
          </cell>
          <cell r="F1010" t="str">
            <v>White</v>
          </cell>
        </row>
        <row r="1011">
          <cell r="A1011" t="str">
            <v>Texstyle Solar View Sunscreen Bronze/Charcoal</v>
          </cell>
          <cell r="B1011" t="str">
            <v>Black</v>
          </cell>
          <cell r="C1011" t="str">
            <v>Black</v>
          </cell>
          <cell r="D1011" t="str">
            <v>Black</v>
          </cell>
          <cell r="F1011" t="str">
            <v>Black</v>
          </cell>
        </row>
        <row r="1012">
          <cell r="A1012" t="str">
            <v>Texstyle Solar View Sunscreen Charcoal</v>
          </cell>
          <cell r="B1012" t="str">
            <v>Black</v>
          </cell>
          <cell r="C1012" t="str">
            <v>Black</v>
          </cell>
          <cell r="D1012" t="str">
            <v>Black</v>
          </cell>
          <cell r="F1012" t="str">
            <v>Black</v>
          </cell>
        </row>
        <row r="1013">
          <cell r="A1013" t="str">
            <v>Texstyle Solar View Sunscreen Cotton</v>
          </cell>
          <cell r="B1013" t="str">
            <v>Beige</v>
          </cell>
          <cell r="C1013" t="str">
            <v>Anodised Silver</v>
          </cell>
          <cell r="D1013" t="str">
            <v>Beige</v>
          </cell>
          <cell r="F1013" t="str">
            <v>White</v>
          </cell>
        </row>
        <row r="1014">
          <cell r="A1014" t="str">
            <v>Texstyle Solar View Sunscreen Grey</v>
          </cell>
          <cell r="B1014" t="str">
            <v>White</v>
          </cell>
          <cell r="C1014" t="str">
            <v>Anodised Silver</v>
          </cell>
          <cell r="D1014" t="str">
            <v>Nickel Steel</v>
          </cell>
          <cell r="F1014" t="str">
            <v>White</v>
          </cell>
        </row>
        <row r="1015">
          <cell r="A1015" t="str">
            <v>Texstyle Solar View Sunscreen Off White</v>
          </cell>
          <cell r="B1015" t="str">
            <v>White</v>
          </cell>
          <cell r="C1015" t="str">
            <v>White</v>
          </cell>
          <cell r="D1015" t="str">
            <v>White</v>
          </cell>
          <cell r="F1015" t="str">
            <v>White</v>
          </cell>
        </row>
        <row r="1016">
          <cell r="A1016" t="str">
            <v>Texstyle Solar View Sunscreen Platinum</v>
          </cell>
          <cell r="B1016" t="str">
            <v>Black</v>
          </cell>
          <cell r="C1016" t="str">
            <v>Black</v>
          </cell>
          <cell r="D1016" t="str">
            <v>Black</v>
          </cell>
          <cell r="F1016" t="str">
            <v>Black</v>
          </cell>
        </row>
        <row r="1017">
          <cell r="A1017" t="str">
            <v>Texstyle Solar View Sunscreen Taupe</v>
          </cell>
          <cell r="B1017" t="str">
            <v>Beige</v>
          </cell>
          <cell r="C1017" t="str">
            <v>Anodised Silver</v>
          </cell>
          <cell r="D1017" t="str">
            <v>Beige</v>
          </cell>
          <cell r="F1017" t="str">
            <v>White</v>
          </cell>
        </row>
        <row r="1018">
          <cell r="A1018" t="str">
            <v>Texstyle Solar View Sunscreen TBA</v>
          </cell>
        </row>
        <row r="1019">
          <cell r="A1019" t="str">
            <v>Texstyle Solar View Sunscreen White</v>
          </cell>
          <cell r="B1019" t="str">
            <v>White</v>
          </cell>
          <cell r="C1019" t="str">
            <v>White</v>
          </cell>
          <cell r="D1019" t="str">
            <v>White</v>
          </cell>
          <cell r="F1019" t="str">
            <v>White</v>
          </cell>
        </row>
        <row r="1020">
          <cell r="A1020" t="str">
            <v>Texstyle Solitaire Blockout Antique White</v>
          </cell>
          <cell r="B1020" t="str">
            <v>White</v>
          </cell>
          <cell r="C1020" t="str">
            <v>Anodised Silver</v>
          </cell>
          <cell r="D1020" t="str">
            <v>Nickel Steel</v>
          </cell>
          <cell r="F1020" t="str">
            <v>White</v>
          </cell>
        </row>
        <row r="1021">
          <cell r="A1021" t="str">
            <v>Texstyle Solitaire Blockout Champagne</v>
          </cell>
          <cell r="B1021" t="str">
            <v>Birch White</v>
          </cell>
          <cell r="C1021" t="str">
            <v>Cream</v>
          </cell>
          <cell r="D1021" t="str">
            <v>Birch White</v>
          </cell>
          <cell r="F1021" t="str">
            <v>White</v>
          </cell>
        </row>
        <row r="1022">
          <cell r="A1022" t="str">
            <v>Texstyle Solitaire Blockout Coffee</v>
          </cell>
          <cell r="B1022" t="str">
            <v>White</v>
          </cell>
          <cell r="C1022" t="str">
            <v>Anodised Silver</v>
          </cell>
          <cell r="D1022" t="str">
            <v>Nickel Steel</v>
          </cell>
          <cell r="F1022" t="str">
            <v>White</v>
          </cell>
        </row>
        <row r="1023">
          <cell r="A1023" t="str">
            <v>Texstyle Solitaire Blockout Concord</v>
          </cell>
          <cell r="B1023" t="str">
            <v>White</v>
          </cell>
          <cell r="C1023" t="str">
            <v>Anodised Silver</v>
          </cell>
          <cell r="D1023" t="str">
            <v>Nickel Steel</v>
          </cell>
          <cell r="F1023" t="str">
            <v>White</v>
          </cell>
        </row>
        <row r="1024">
          <cell r="A1024" t="str">
            <v>Texstyle Solitaire Blockout Granite</v>
          </cell>
          <cell r="B1024" t="str">
            <v>White</v>
          </cell>
          <cell r="C1024" t="str">
            <v>Anodised Silver</v>
          </cell>
          <cell r="D1024" t="str">
            <v>Nickel Steel</v>
          </cell>
          <cell r="F1024" t="str">
            <v>White</v>
          </cell>
        </row>
        <row r="1025">
          <cell r="A1025" t="str">
            <v>Texstyle Solitaire Blockout Ironstone</v>
          </cell>
          <cell r="B1025" t="str">
            <v>White</v>
          </cell>
          <cell r="C1025" t="str">
            <v>Anodised Silver</v>
          </cell>
          <cell r="D1025" t="str">
            <v>Nickel Steel</v>
          </cell>
          <cell r="F1025" t="str">
            <v>White</v>
          </cell>
        </row>
        <row r="1026">
          <cell r="A1026" t="str">
            <v>Texstyle Solitaire Blockout Onyx</v>
          </cell>
          <cell r="B1026" t="str">
            <v>Black</v>
          </cell>
          <cell r="C1026" t="str">
            <v>Black</v>
          </cell>
          <cell r="D1026" t="str">
            <v>Black</v>
          </cell>
          <cell r="F1026" t="str">
            <v>Black</v>
          </cell>
        </row>
        <row r="1027">
          <cell r="A1027" t="str">
            <v>Texstyle Solitaire Blockout Peat</v>
          </cell>
          <cell r="B1027" t="str">
            <v>White</v>
          </cell>
          <cell r="C1027" t="str">
            <v>Anodised Silver</v>
          </cell>
          <cell r="D1027" t="str">
            <v>Nickel Steel</v>
          </cell>
          <cell r="F1027" t="str">
            <v>White</v>
          </cell>
        </row>
        <row r="1028">
          <cell r="A1028" t="str">
            <v>Texstyle Solitaire Blockout Pepper</v>
          </cell>
          <cell r="B1028" t="str">
            <v>White</v>
          </cell>
          <cell r="C1028" t="str">
            <v>Anodised Silver</v>
          </cell>
          <cell r="D1028" t="str">
            <v>Nickel Steel</v>
          </cell>
          <cell r="F1028" t="str">
            <v>White</v>
          </cell>
        </row>
        <row r="1029">
          <cell r="A1029" t="str">
            <v>Texstyle Solitaire Blockout Snow</v>
          </cell>
          <cell r="B1029" t="str">
            <v>White</v>
          </cell>
          <cell r="C1029" t="str">
            <v>White</v>
          </cell>
          <cell r="D1029" t="str">
            <v>White</v>
          </cell>
          <cell r="F1029" t="str">
            <v>White</v>
          </cell>
        </row>
        <row r="1030">
          <cell r="A1030" t="str">
            <v>Texstyle Solitaire Blockout TBA</v>
          </cell>
        </row>
        <row r="1031">
          <cell r="A1031" t="str">
            <v>Texstyle Tusk Blockout Beach</v>
          </cell>
          <cell r="B1031" t="str">
            <v>Birch White</v>
          </cell>
          <cell r="C1031" t="str">
            <v>Cream</v>
          </cell>
          <cell r="D1031" t="str">
            <v>Birch White</v>
          </cell>
          <cell r="F1031" t="str">
            <v>White</v>
          </cell>
        </row>
        <row r="1032">
          <cell r="A1032" t="str">
            <v>Texstyle Tusk Blockout Coconut</v>
          </cell>
          <cell r="B1032" t="str">
            <v>White</v>
          </cell>
          <cell r="C1032" t="str">
            <v>Anodised Silver</v>
          </cell>
          <cell r="D1032" t="str">
            <v>Nickel Steel</v>
          </cell>
          <cell r="F1032" t="str">
            <v>White</v>
          </cell>
        </row>
        <row r="1033">
          <cell r="A1033" t="str">
            <v>Texstyle Tusk Blockout Hazelnut</v>
          </cell>
          <cell r="B1033" t="str">
            <v>Black</v>
          </cell>
          <cell r="C1033" t="str">
            <v>Black</v>
          </cell>
          <cell r="D1033" t="str">
            <v>Black</v>
          </cell>
          <cell r="F1033" t="str">
            <v>Black</v>
          </cell>
        </row>
        <row r="1034">
          <cell r="A1034" t="str">
            <v>Texstyle Tusk Blockout Henna</v>
          </cell>
          <cell r="B1034" t="str">
            <v>Black</v>
          </cell>
          <cell r="C1034" t="str">
            <v>Black</v>
          </cell>
          <cell r="D1034" t="str">
            <v>Black</v>
          </cell>
          <cell r="F1034" t="str">
            <v>Black</v>
          </cell>
        </row>
        <row r="1035">
          <cell r="A1035" t="str">
            <v>Texstyle Tusk Blockout Mushroom</v>
          </cell>
          <cell r="B1035" t="str">
            <v>Birch White</v>
          </cell>
          <cell r="C1035" t="str">
            <v>Cream</v>
          </cell>
          <cell r="D1035" t="str">
            <v>Birch White</v>
          </cell>
          <cell r="F1035" t="str">
            <v>White</v>
          </cell>
        </row>
        <row r="1036">
          <cell r="A1036" t="str">
            <v>Texstyle Tusk Blockout Pepper</v>
          </cell>
          <cell r="B1036" t="str">
            <v>White</v>
          </cell>
          <cell r="C1036" t="str">
            <v>Anodised Silver</v>
          </cell>
          <cell r="D1036" t="str">
            <v>Nickel Steel</v>
          </cell>
          <cell r="F1036" t="str">
            <v>White</v>
          </cell>
        </row>
        <row r="1037">
          <cell r="A1037" t="str">
            <v>Texstyle Tusk Blockout Slate</v>
          </cell>
          <cell r="B1037" t="str">
            <v>Black</v>
          </cell>
          <cell r="C1037" t="str">
            <v>Black</v>
          </cell>
          <cell r="D1037" t="str">
            <v>Black</v>
          </cell>
          <cell r="F1037" t="str">
            <v>Black</v>
          </cell>
        </row>
        <row r="1038">
          <cell r="A1038" t="str">
            <v>Texstyle Tusk Blockout TBA</v>
          </cell>
        </row>
        <row r="1039">
          <cell r="A1039" t="str">
            <v>Texstyle Tusk Blockout Whisper</v>
          </cell>
          <cell r="B1039" t="str">
            <v>White</v>
          </cell>
          <cell r="C1039" t="str">
            <v>White</v>
          </cell>
          <cell r="D1039" t="str">
            <v>White</v>
          </cell>
          <cell r="F1039" t="str">
            <v>White</v>
          </cell>
        </row>
        <row r="1040">
          <cell r="A1040" t="str">
            <v>Texstyle Tusk Light Filtering Beach</v>
          </cell>
          <cell r="B1040" t="str">
            <v>Birch White</v>
          </cell>
          <cell r="C1040" t="str">
            <v>Cream</v>
          </cell>
          <cell r="D1040" t="str">
            <v>Birch White</v>
          </cell>
          <cell r="F1040" t="str">
            <v>White</v>
          </cell>
        </row>
        <row r="1041">
          <cell r="A1041" t="str">
            <v>Texstyle Tusk Light Filtering Coconut</v>
          </cell>
          <cell r="B1041" t="str">
            <v>White</v>
          </cell>
          <cell r="C1041" t="str">
            <v>Anodised Silver</v>
          </cell>
          <cell r="D1041" t="str">
            <v>Nickel Steel</v>
          </cell>
          <cell r="F1041" t="str">
            <v>White</v>
          </cell>
        </row>
        <row r="1042">
          <cell r="A1042" t="str">
            <v>Texstyle Tusk Light Filtering Hazelnut</v>
          </cell>
          <cell r="B1042" t="str">
            <v>Black</v>
          </cell>
          <cell r="C1042" t="str">
            <v>Black</v>
          </cell>
          <cell r="D1042" t="str">
            <v>Black</v>
          </cell>
          <cell r="F1042" t="str">
            <v>Black</v>
          </cell>
        </row>
        <row r="1043">
          <cell r="A1043" t="str">
            <v>Texstyle Tusk Light Filtering Henna</v>
          </cell>
          <cell r="B1043" t="str">
            <v>Black</v>
          </cell>
          <cell r="C1043" t="str">
            <v>Black</v>
          </cell>
          <cell r="D1043" t="str">
            <v>Black</v>
          </cell>
          <cell r="F1043" t="str">
            <v>Black</v>
          </cell>
        </row>
        <row r="1044">
          <cell r="A1044" t="str">
            <v>Texstyle Tusk Light Filtering Mushroom</v>
          </cell>
          <cell r="B1044" t="str">
            <v>Birch White</v>
          </cell>
          <cell r="C1044" t="str">
            <v>Cream</v>
          </cell>
          <cell r="D1044" t="str">
            <v>Birch White</v>
          </cell>
          <cell r="F1044" t="str">
            <v>White</v>
          </cell>
        </row>
        <row r="1045">
          <cell r="A1045" t="str">
            <v>Texstyle Tusk Light Filtering Pepper</v>
          </cell>
          <cell r="B1045" t="str">
            <v>White</v>
          </cell>
          <cell r="C1045" t="str">
            <v>Anodised Silver</v>
          </cell>
          <cell r="D1045" t="str">
            <v>Nickel Steel</v>
          </cell>
          <cell r="F1045" t="str">
            <v>White</v>
          </cell>
        </row>
        <row r="1046">
          <cell r="A1046" t="str">
            <v>Texstyle Tusk Light Filtering Slate</v>
          </cell>
          <cell r="B1046" t="str">
            <v>Black</v>
          </cell>
          <cell r="C1046" t="str">
            <v>Black</v>
          </cell>
          <cell r="D1046" t="str">
            <v>Black</v>
          </cell>
          <cell r="F1046" t="str">
            <v>Black</v>
          </cell>
        </row>
        <row r="1047">
          <cell r="A1047" t="str">
            <v>Texstyle Tusk Light Filtering TBA</v>
          </cell>
        </row>
        <row r="1048">
          <cell r="A1048" t="str">
            <v>Texstyle Tusk Light Filtering Whisper</v>
          </cell>
          <cell r="B1048" t="str">
            <v>White</v>
          </cell>
          <cell r="C1048" t="str">
            <v>White</v>
          </cell>
          <cell r="D1048" t="str">
            <v>White</v>
          </cell>
          <cell r="F1048" t="str">
            <v>White</v>
          </cell>
        </row>
        <row r="1049">
          <cell r="A1049" t="str">
            <v>Texstyle Vivid Block Blockout Black/Beige</v>
          </cell>
        </row>
        <row r="1050">
          <cell r="A1050" t="str">
            <v>Texstyle Vivid Block Blockout Charcoal/Black</v>
          </cell>
        </row>
        <row r="1051">
          <cell r="A1051" t="str">
            <v>Texstyle Vivid Block Blockout Charcoal/Grey</v>
          </cell>
          <cell r="B1051" t="str">
            <v>Black</v>
          </cell>
          <cell r="C1051" t="str">
            <v>Black</v>
          </cell>
          <cell r="D1051" t="str">
            <v>Black</v>
          </cell>
          <cell r="F1051" t="str">
            <v>Black</v>
          </cell>
        </row>
        <row r="1052">
          <cell r="A1052" t="str">
            <v>Texstyle Vivid Block Blockout Linen/Bronze</v>
          </cell>
          <cell r="B1052" t="str">
            <v>Beige</v>
          </cell>
          <cell r="C1052" t="str">
            <v>Beige</v>
          </cell>
          <cell r="D1052" t="str">
            <v>Beige</v>
          </cell>
          <cell r="F1052" t="str">
            <v>White</v>
          </cell>
        </row>
        <row r="1053">
          <cell r="A1053" t="str">
            <v>Texstyle Vivid Block Blockout TBA</v>
          </cell>
        </row>
        <row r="1054">
          <cell r="A1054" t="str">
            <v>Texstyle Vivid Block Blockout White</v>
          </cell>
          <cell r="B1054" t="str">
            <v>White</v>
          </cell>
          <cell r="C1054" t="str">
            <v>White</v>
          </cell>
          <cell r="D1054" t="str">
            <v>White</v>
          </cell>
          <cell r="F1054" t="str">
            <v>White</v>
          </cell>
        </row>
        <row r="1055">
          <cell r="A1055" t="str">
            <v>Texstyle Vivid Block Blockout White/Bone</v>
          </cell>
          <cell r="B1055" t="str">
            <v>Beige</v>
          </cell>
          <cell r="C1055" t="str">
            <v>Anodised Silver</v>
          </cell>
          <cell r="D1055" t="str">
            <v>Nickel Steel</v>
          </cell>
          <cell r="F1055" t="str">
            <v>White</v>
          </cell>
        </row>
        <row r="1056">
          <cell r="A1056" t="str">
            <v>Texstyle Vivid Block Blockout White/Grey</v>
          </cell>
          <cell r="B1056" t="str">
            <v>White</v>
          </cell>
          <cell r="C1056" t="str">
            <v>Anodised Silver</v>
          </cell>
          <cell r="D1056" t="str">
            <v>White</v>
          </cell>
          <cell r="F1056" t="str">
            <v>White</v>
          </cell>
        </row>
        <row r="1057">
          <cell r="A1057" t="str">
            <v>Texstyle Vivid Block Blockout White/Silver</v>
          </cell>
          <cell r="B1057" t="str">
            <v>White</v>
          </cell>
          <cell r="C1057" t="str">
            <v>Anodised Silver</v>
          </cell>
          <cell r="D1057" t="str">
            <v>White</v>
          </cell>
          <cell r="F1057" t="str">
            <v>White</v>
          </cell>
        </row>
        <row r="1058">
          <cell r="A1058" t="str">
            <v>Texstyle Vivid Block Blockout White/Stone</v>
          </cell>
          <cell r="B1058" t="str">
            <v>Beige</v>
          </cell>
          <cell r="C1058" t="str">
            <v>Anodised Silver</v>
          </cell>
          <cell r="D1058" t="str">
            <v>Nickel Steel</v>
          </cell>
          <cell r="F1058" t="str">
            <v>White</v>
          </cell>
        </row>
        <row r="1059">
          <cell r="A1059" t="str">
            <v>Texstyle Vivid Shade Sunscreen Black</v>
          </cell>
          <cell r="B1059" t="str">
            <v>Black</v>
          </cell>
          <cell r="C1059" t="str">
            <v>Black</v>
          </cell>
          <cell r="D1059" t="str">
            <v>Black</v>
          </cell>
          <cell r="F1059" t="str">
            <v>Black</v>
          </cell>
        </row>
        <row r="1060">
          <cell r="A1060" t="str">
            <v>Texstyle Vivid Shade Sunscreen Black/Beige</v>
          </cell>
          <cell r="F1060" t="str">
            <v>White</v>
          </cell>
        </row>
        <row r="1061">
          <cell r="A1061" t="str">
            <v>Texstyle Vivid Shade Sunscreen Black/Bronze</v>
          </cell>
          <cell r="B1061" t="str">
            <v>Black</v>
          </cell>
          <cell r="C1061" t="str">
            <v>Black</v>
          </cell>
          <cell r="D1061" t="str">
            <v>Black</v>
          </cell>
          <cell r="F1061" t="str">
            <v>Black</v>
          </cell>
        </row>
        <row r="1062">
          <cell r="A1062" t="str">
            <v>Texstyle Vivid Shade Sunscreen Black/Sable</v>
          </cell>
          <cell r="B1062" t="str">
            <v>Black</v>
          </cell>
          <cell r="C1062" t="str">
            <v>Black</v>
          </cell>
          <cell r="D1062" t="str">
            <v>Black</v>
          </cell>
          <cell r="F1062" t="str">
            <v>Black</v>
          </cell>
        </row>
        <row r="1063">
          <cell r="A1063" t="str">
            <v>Texstyle Vivid Shade Sunscreen Bronze/Grey</v>
          </cell>
        </row>
        <row r="1064">
          <cell r="A1064" t="str">
            <v>Texstyle Vivid Shade Sunscreen Charcoal</v>
          </cell>
          <cell r="B1064" t="str">
            <v>Black</v>
          </cell>
          <cell r="C1064" t="str">
            <v>Black</v>
          </cell>
          <cell r="D1064" t="str">
            <v>Black</v>
          </cell>
          <cell r="F1064" t="str">
            <v>Black</v>
          </cell>
        </row>
        <row r="1065">
          <cell r="A1065" t="str">
            <v>Texstyle Vivid Shade Sunscreen Charcoal/Grey</v>
          </cell>
          <cell r="B1065" t="str">
            <v>Black</v>
          </cell>
          <cell r="C1065" t="str">
            <v>Black</v>
          </cell>
          <cell r="D1065" t="str">
            <v>Black</v>
          </cell>
          <cell r="F1065" t="str">
            <v>Black</v>
          </cell>
        </row>
        <row r="1066">
          <cell r="A1066" t="str">
            <v>Texstyle Vivid Shade Sunscreen Linen/Bronze</v>
          </cell>
          <cell r="B1066" t="str">
            <v>Beige</v>
          </cell>
          <cell r="C1066" t="str">
            <v>Beige</v>
          </cell>
          <cell r="D1066" t="str">
            <v>Beige</v>
          </cell>
          <cell r="F1066" t="str">
            <v>White</v>
          </cell>
        </row>
        <row r="1067">
          <cell r="A1067" t="str">
            <v>Texstyle Vivid Shade Sunscreen Silver/Grey</v>
          </cell>
        </row>
        <row r="1068">
          <cell r="A1068" t="str">
            <v>Texstyle Vivid Shade Sunscreen Silver/Linen</v>
          </cell>
        </row>
        <row r="1069">
          <cell r="A1069" t="str">
            <v>Texstyle Vivid Shade Sunscreen TBA</v>
          </cell>
        </row>
        <row r="1070">
          <cell r="A1070" t="str">
            <v>Texstyle Vivid Shade Sunscreen White</v>
          </cell>
          <cell r="B1070" t="str">
            <v>White</v>
          </cell>
          <cell r="C1070" t="str">
            <v>White</v>
          </cell>
          <cell r="D1070" t="str">
            <v>White</v>
          </cell>
          <cell r="F1070" t="str">
            <v>White</v>
          </cell>
        </row>
        <row r="1071">
          <cell r="A1071" t="str">
            <v>Texstyle Vivid Shade Sunscreen White/Bone</v>
          </cell>
          <cell r="B1071" t="str">
            <v>Beige</v>
          </cell>
          <cell r="C1071" t="str">
            <v>Anodised Silver</v>
          </cell>
          <cell r="D1071" t="str">
            <v>Nickel Steel</v>
          </cell>
          <cell r="F1071" t="str">
            <v>White</v>
          </cell>
        </row>
        <row r="1072">
          <cell r="A1072" t="str">
            <v>Texstyle Vivid Shade Sunscreen White/Grey</v>
          </cell>
          <cell r="B1072" t="str">
            <v>White</v>
          </cell>
          <cell r="C1072" t="str">
            <v>Anodised Silver</v>
          </cell>
          <cell r="D1072" t="str">
            <v>White</v>
          </cell>
          <cell r="F1072" t="str">
            <v>White</v>
          </cell>
        </row>
        <row r="1073">
          <cell r="A1073" t="str">
            <v>Texstyle Vivid Shade Sunscreen White/Lily</v>
          </cell>
        </row>
        <row r="1074">
          <cell r="A1074" t="str">
            <v>Texstyle Vivid Shade Sunscreen White/Silver</v>
          </cell>
          <cell r="B1074" t="str">
            <v>White</v>
          </cell>
          <cell r="C1074" t="str">
            <v>Anodised Silver</v>
          </cell>
          <cell r="D1074" t="str">
            <v>White</v>
          </cell>
          <cell r="F1074" t="str">
            <v>White</v>
          </cell>
        </row>
        <row r="1075">
          <cell r="A1075" t="str">
            <v>Texstyle Vivid Shade Sunscreen White/Stone</v>
          </cell>
          <cell r="B1075" t="str">
            <v>Beige</v>
          </cell>
          <cell r="C1075" t="str">
            <v>Anodised Silver</v>
          </cell>
          <cell r="D1075" t="str">
            <v>Nickel Steel</v>
          </cell>
          <cell r="F1075" t="str">
            <v>White</v>
          </cell>
        </row>
        <row r="1076">
          <cell r="A1076" t="str">
            <v>Uniline Dawn Blockout Alabaster</v>
          </cell>
          <cell r="B1076" t="str">
            <v>Beige</v>
          </cell>
          <cell r="C1076" t="str">
            <v>Anodised Silver</v>
          </cell>
          <cell r="D1076" t="str">
            <v>Beige</v>
          </cell>
          <cell r="F1076" t="str">
            <v>White</v>
          </cell>
        </row>
        <row r="1077">
          <cell r="A1077" t="str">
            <v>Uniline Dawn Blockout Arum</v>
          </cell>
          <cell r="B1077" t="str">
            <v>White</v>
          </cell>
          <cell r="C1077" t="str">
            <v>White</v>
          </cell>
          <cell r="D1077" t="str">
            <v>White</v>
          </cell>
          <cell r="E1077" t="str">
            <v>Colour No. 1</v>
          </cell>
          <cell r="F1077" t="str">
            <v>White</v>
          </cell>
        </row>
        <row r="1078">
          <cell r="A1078" t="str">
            <v>Uniline Dawn Blockout Ash Blue</v>
          </cell>
          <cell r="B1078" t="str">
            <v>White</v>
          </cell>
          <cell r="C1078" t="str">
            <v>Anodised Silver</v>
          </cell>
          <cell r="D1078" t="str">
            <v>Nickel Steel</v>
          </cell>
          <cell r="F1078" t="str">
            <v>White</v>
          </cell>
        </row>
        <row r="1079">
          <cell r="A1079" t="str">
            <v>Uniline Dawn Blockout Beige</v>
          </cell>
          <cell r="B1079" t="str">
            <v>Beige</v>
          </cell>
          <cell r="C1079" t="str">
            <v>Anodised Silver</v>
          </cell>
          <cell r="D1079" t="str">
            <v>Beige</v>
          </cell>
          <cell r="F1079" t="str">
            <v>White</v>
          </cell>
        </row>
        <row r="1080">
          <cell r="A1080" t="str">
            <v>Uniline Dawn Blockout Bison</v>
          </cell>
          <cell r="B1080" t="str">
            <v>Beige</v>
          </cell>
          <cell r="C1080" t="str">
            <v>Anodised Silver</v>
          </cell>
          <cell r="D1080" t="str">
            <v>Beige</v>
          </cell>
          <cell r="F1080" t="str">
            <v>White</v>
          </cell>
        </row>
        <row r="1081">
          <cell r="A1081" t="str">
            <v>Uniline Dawn Blockout Black</v>
          </cell>
          <cell r="B1081" t="str">
            <v>Black</v>
          </cell>
          <cell r="C1081" t="str">
            <v>Black</v>
          </cell>
          <cell r="D1081" t="str">
            <v>Black</v>
          </cell>
          <cell r="F1081" t="str">
            <v>Black</v>
          </cell>
        </row>
        <row r="1082">
          <cell r="A1082" t="str">
            <v>Uniline Dawn Blockout Buttermilk</v>
          </cell>
          <cell r="B1082" t="str">
            <v>Beige</v>
          </cell>
          <cell r="C1082" t="str">
            <v>Anodised Silver</v>
          </cell>
          <cell r="D1082" t="str">
            <v>Beige</v>
          </cell>
          <cell r="F1082" t="str">
            <v>White</v>
          </cell>
        </row>
        <row r="1083">
          <cell r="A1083" t="str">
            <v>Uniline Dawn Blockout Cavier</v>
          </cell>
          <cell r="B1083" t="str">
            <v>Black</v>
          </cell>
          <cell r="C1083" t="str">
            <v>Black</v>
          </cell>
          <cell r="D1083" t="str">
            <v>Black</v>
          </cell>
          <cell r="F1083" t="str">
            <v>Black</v>
          </cell>
        </row>
        <row r="1084">
          <cell r="A1084" t="str">
            <v>Uniline Dawn Blockout Cocca</v>
          </cell>
        </row>
        <row r="1085">
          <cell r="A1085" t="str">
            <v>Uniline Dawn Blockout Coffee</v>
          </cell>
        </row>
        <row r="1086">
          <cell r="A1086" t="str">
            <v>Uniline Dawn Blockout Cotton</v>
          </cell>
          <cell r="B1086" t="str">
            <v>White</v>
          </cell>
          <cell r="C1086" t="str">
            <v>White</v>
          </cell>
          <cell r="D1086" t="str">
            <v>White</v>
          </cell>
          <cell r="E1086" t="str">
            <v>Colour No. 1</v>
          </cell>
          <cell r="F1086" t="str">
            <v>White</v>
          </cell>
        </row>
        <row r="1087">
          <cell r="A1087" t="str">
            <v>Uniline Dawn Blockout Crane</v>
          </cell>
          <cell r="B1087" t="str">
            <v>White</v>
          </cell>
          <cell r="C1087" t="str">
            <v>Anodised Silver</v>
          </cell>
          <cell r="D1087" t="str">
            <v>Nickel Steel</v>
          </cell>
          <cell r="F1087" t="str">
            <v>White</v>
          </cell>
        </row>
        <row r="1088">
          <cell r="A1088" t="str">
            <v>Uniline Dawn Blockout Custom Cream</v>
          </cell>
          <cell r="B1088" t="str">
            <v>Birch White</v>
          </cell>
          <cell r="C1088" t="str">
            <v>Cream</v>
          </cell>
          <cell r="D1088" t="str">
            <v>Birch White</v>
          </cell>
          <cell r="E1088" t="str">
            <v>Colour No. 0</v>
          </cell>
          <cell r="F1088" t="str">
            <v>White</v>
          </cell>
        </row>
        <row r="1089">
          <cell r="A1089" t="str">
            <v>Uniline Dawn Blockout Dark Grey</v>
          </cell>
        </row>
        <row r="1090">
          <cell r="A1090" t="str">
            <v>Uniline Dawn Blockout Dune</v>
          </cell>
          <cell r="B1090" t="str">
            <v>Beige</v>
          </cell>
          <cell r="C1090" t="str">
            <v>Anodised Silver</v>
          </cell>
          <cell r="D1090" t="str">
            <v>Beige</v>
          </cell>
          <cell r="F1090" t="str">
            <v>White</v>
          </cell>
        </row>
        <row r="1091">
          <cell r="A1091" t="str">
            <v>Uniline Dawn Blockout Earthen</v>
          </cell>
          <cell r="B1091" t="str">
            <v>Beige</v>
          </cell>
          <cell r="C1091" t="str">
            <v>Anodised Silver</v>
          </cell>
          <cell r="D1091" t="str">
            <v>Beige</v>
          </cell>
          <cell r="F1091" t="str">
            <v>White</v>
          </cell>
        </row>
        <row r="1092">
          <cell r="A1092" t="str">
            <v>Uniline Dawn Blockout Frappe</v>
          </cell>
          <cell r="B1092" t="str">
            <v>White</v>
          </cell>
          <cell r="C1092" t="str">
            <v>Anodised Silver</v>
          </cell>
          <cell r="D1092" t="str">
            <v>Nickel Steel</v>
          </cell>
          <cell r="F1092" t="str">
            <v>White</v>
          </cell>
        </row>
        <row r="1093">
          <cell r="A1093" t="str">
            <v>Uniline Dawn Blockout Grey</v>
          </cell>
          <cell r="B1093" t="str">
            <v>Birch White</v>
          </cell>
          <cell r="C1093" t="str">
            <v>Cream</v>
          </cell>
          <cell r="D1093" t="str">
            <v>White</v>
          </cell>
          <cell r="F1093" t="str">
            <v>White</v>
          </cell>
        </row>
        <row r="1094">
          <cell r="A1094" t="str">
            <v>Uniline Dawn Blockout Ivory</v>
          </cell>
          <cell r="B1094" t="str">
            <v>White</v>
          </cell>
          <cell r="C1094" t="str">
            <v>Anodised Silver</v>
          </cell>
          <cell r="D1094" t="str">
            <v>Nickel Steel</v>
          </cell>
          <cell r="E1094" t="str">
            <v>Colour No. 0</v>
          </cell>
          <cell r="F1094" t="str">
            <v>White</v>
          </cell>
        </row>
        <row r="1095">
          <cell r="A1095" t="str">
            <v>Uniline Dawn Blockout Light Bison</v>
          </cell>
          <cell r="B1095" t="str">
            <v>Beige</v>
          </cell>
          <cell r="C1095" t="str">
            <v>Cream</v>
          </cell>
          <cell r="D1095" t="str">
            <v>Beige</v>
          </cell>
          <cell r="F1095" t="str">
            <v>White</v>
          </cell>
        </row>
        <row r="1096">
          <cell r="A1096" t="str">
            <v>Uniline Dawn Blockout Macchiato</v>
          </cell>
          <cell r="B1096" t="str">
            <v>Beige</v>
          </cell>
          <cell r="C1096" t="str">
            <v>Anodised Silver</v>
          </cell>
          <cell r="D1096" t="str">
            <v>Beige</v>
          </cell>
          <cell r="F1096" t="str">
            <v>White</v>
          </cell>
        </row>
        <row r="1097">
          <cell r="A1097" t="str">
            <v>Uniline Dawn Blockout Mariah</v>
          </cell>
          <cell r="B1097" t="str">
            <v>White</v>
          </cell>
          <cell r="C1097" t="str">
            <v>Anodised Silver</v>
          </cell>
          <cell r="D1097" t="str">
            <v>Nickel Steel</v>
          </cell>
          <cell r="F1097" t="str">
            <v>White</v>
          </cell>
        </row>
        <row r="1098">
          <cell r="A1098" t="str">
            <v>Uniline Dawn Blockout Mid Grey</v>
          </cell>
        </row>
        <row r="1099">
          <cell r="A1099" t="str">
            <v>Uniline Dawn Blockout Misty</v>
          </cell>
          <cell r="B1099" t="str">
            <v>White</v>
          </cell>
          <cell r="C1099" t="str">
            <v>White</v>
          </cell>
          <cell r="D1099" t="str">
            <v>White</v>
          </cell>
          <cell r="F1099" t="str">
            <v>White</v>
          </cell>
        </row>
        <row r="1100">
          <cell r="A1100" t="str">
            <v>Uniline Dawn Blockout Mocca</v>
          </cell>
          <cell r="B1100" t="str">
            <v>Beige</v>
          </cell>
          <cell r="C1100" t="str">
            <v>Anodised Silver</v>
          </cell>
          <cell r="D1100" t="str">
            <v>Beige</v>
          </cell>
          <cell r="F1100" t="str">
            <v>White</v>
          </cell>
        </row>
        <row r="1101">
          <cell r="A1101" t="str">
            <v>Uniline Dawn Blockout Natural</v>
          </cell>
        </row>
        <row r="1102">
          <cell r="A1102" t="str">
            <v>Uniline Dawn Blockout Nutmeg</v>
          </cell>
        </row>
        <row r="1103">
          <cell r="A1103" t="str">
            <v>Uniline Dawn Blockout Pebble</v>
          </cell>
          <cell r="B1103" t="str">
            <v>Beige</v>
          </cell>
          <cell r="C1103" t="str">
            <v>Anodised Silver</v>
          </cell>
          <cell r="D1103" t="str">
            <v>Beige</v>
          </cell>
          <cell r="F1103" t="str">
            <v>White</v>
          </cell>
        </row>
        <row r="1104">
          <cell r="A1104" t="str">
            <v>Uniline Dawn Blockout Pewter</v>
          </cell>
          <cell r="B1104" t="str">
            <v>Beige</v>
          </cell>
          <cell r="C1104" t="str">
            <v>Anodised Silver</v>
          </cell>
          <cell r="D1104" t="str">
            <v>Beige</v>
          </cell>
          <cell r="F1104" t="str">
            <v>White</v>
          </cell>
        </row>
        <row r="1105">
          <cell r="A1105" t="str">
            <v>Uniline Dawn Blockout Rapia</v>
          </cell>
          <cell r="B1105" t="str">
            <v>Birch White</v>
          </cell>
          <cell r="C1105" t="str">
            <v>Anodised Silver</v>
          </cell>
          <cell r="D1105" t="str">
            <v>Birch White</v>
          </cell>
          <cell r="E1105" t="str">
            <v>Colour No. 0</v>
          </cell>
          <cell r="F1105" t="str">
            <v>White</v>
          </cell>
        </row>
        <row r="1106">
          <cell r="A1106" t="str">
            <v>Uniline Dawn Blockout Royal Blue</v>
          </cell>
          <cell r="B1106" t="str">
            <v>White</v>
          </cell>
          <cell r="C1106" t="str">
            <v>Anodised Silver</v>
          </cell>
          <cell r="D1106" t="str">
            <v>Nickel Steel</v>
          </cell>
          <cell r="F1106" t="str">
            <v>White</v>
          </cell>
        </row>
        <row r="1107">
          <cell r="A1107" t="str">
            <v>Uniline Dawn Blockout Sage</v>
          </cell>
          <cell r="B1107" t="str">
            <v>White</v>
          </cell>
          <cell r="C1107" t="str">
            <v>Anodised Silver</v>
          </cell>
          <cell r="D1107" t="str">
            <v>Nickel Steel</v>
          </cell>
          <cell r="F1107" t="str">
            <v>White</v>
          </cell>
        </row>
        <row r="1108">
          <cell r="A1108" t="str">
            <v>Uniline Dawn Blockout Seal</v>
          </cell>
        </row>
        <row r="1109">
          <cell r="A1109" t="str">
            <v>Uniline Dawn Blockout Sesame</v>
          </cell>
          <cell r="B1109" t="str">
            <v>Birch White</v>
          </cell>
          <cell r="C1109" t="str">
            <v>Anodised Silver</v>
          </cell>
          <cell r="D1109" t="str">
            <v>Birch White</v>
          </cell>
          <cell r="E1109" t="str">
            <v>Colour No. 0</v>
          </cell>
          <cell r="F1109" t="str">
            <v>White</v>
          </cell>
        </row>
        <row r="1110">
          <cell r="A1110" t="str">
            <v>Uniline Dawn Blockout Slate</v>
          </cell>
          <cell r="B1110" t="str">
            <v>Black</v>
          </cell>
          <cell r="C1110" t="str">
            <v>Black</v>
          </cell>
          <cell r="D1110" t="str">
            <v>Black</v>
          </cell>
          <cell r="F1110" t="str">
            <v>Black</v>
          </cell>
        </row>
        <row r="1111">
          <cell r="A1111" t="str">
            <v>Uniline Dawn Blockout Taupe</v>
          </cell>
          <cell r="B1111" t="str">
            <v>Beige</v>
          </cell>
          <cell r="D1111" t="str">
            <v>Beige</v>
          </cell>
          <cell r="F1111" t="str">
            <v>White</v>
          </cell>
        </row>
        <row r="1112">
          <cell r="A1112" t="str">
            <v>Uniline Dawn Blockout TBA</v>
          </cell>
        </row>
        <row r="1113">
          <cell r="A1113" t="str">
            <v>Uniline Dawn Blockout Titanium</v>
          </cell>
        </row>
        <row r="1114">
          <cell r="A1114" t="str">
            <v>Uniline Dawn Blockout Warm White</v>
          </cell>
          <cell r="B1114" t="str">
            <v>Birch White</v>
          </cell>
          <cell r="C1114" t="str">
            <v>White</v>
          </cell>
          <cell r="D1114" t="str">
            <v>Birch White</v>
          </cell>
          <cell r="E1114" t="str">
            <v>Colour No. 0</v>
          </cell>
          <cell r="F1114" t="str">
            <v>White</v>
          </cell>
        </row>
        <row r="1115">
          <cell r="A1115" t="str">
            <v>Uniline Dawn Blockout Wedgewood</v>
          </cell>
          <cell r="B1115" t="str">
            <v>White</v>
          </cell>
          <cell r="C1115" t="str">
            <v>Anodised Silver</v>
          </cell>
          <cell r="D1115" t="str">
            <v>Nickel Steel</v>
          </cell>
          <cell r="F1115" t="str">
            <v>White</v>
          </cell>
        </row>
        <row r="1116">
          <cell r="A1116" t="str">
            <v>Uniline Dawn Blockout White</v>
          </cell>
          <cell r="B1116" t="str">
            <v>White</v>
          </cell>
          <cell r="C1116" t="str">
            <v>White</v>
          </cell>
          <cell r="D1116" t="str">
            <v>White</v>
          </cell>
          <cell r="E1116" t="str">
            <v>Colour No. 1</v>
          </cell>
          <cell r="F1116" t="str">
            <v>White</v>
          </cell>
        </row>
        <row r="1117">
          <cell r="A1117" t="str">
            <v>Wilson Fabrics Aruba Sheer Ash</v>
          </cell>
        </row>
        <row r="1118">
          <cell r="A1118" t="str">
            <v>Wilson Fabrics Aruba Sheer Black</v>
          </cell>
        </row>
        <row r="1119">
          <cell r="A1119" t="str">
            <v>Wilson Fabrics Aruba Sheer Chinchilla</v>
          </cell>
        </row>
        <row r="1120">
          <cell r="A1120" t="str">
            <v>Wilson Fabrics Aruba Sheer Cinder</v>
          </cell>
        </row>
        <row r="1121">
          <cell r="A1121" t="str">
            <v>Wilson Fabrics Aruba Sheer Cream</v>
          </cell>
        </row>
        <row r="1122">
          <cell r="A1122" t="str">
            <v>Wilson Fabrics Aruba Sheer Ironbark</v>
          </cell>
        </row>
        <row r="1123">
          <cell r="A1123" t="str">
            <v>Wilson Fabrics Aruba Sheer Silver</v>
          </cell>
        </row>
        <row r="1124">
          <cell r="A1124" t="str">
            <v>Wilson Fabrics Aruba Sheer Snow</v>
          </cell>
        </row>
        <row r="1125">
          <cell r="A1125" t="str">
            <v>Wilson Fabrics Aruba Sheer Snowgum</v>
          </cell>
        </row>
        <row r="1126">
          <cell r="A1126" t="str">
            <v>Wilson Fabrics Aruba Sheer Steel</v>
          </cell>
        </row>
        <row r="1127">
          <cell r="A1127" t="str">
            <v>Wilson Fabrics Aruba Sheer Stone</v>
          </cell>
        </row>
        <row r="1128">
          <cell r="A1128" t="str">
            <v>Wilson Fabrics Aruba Sheer TBA</v>
          </cell>
        </row>
        <row r="1129">
          <cell r="A1129" t="str">
            <v>Wilson Fabrics Aruba Sheer White</v>
          </cell>
        </row>
        <row r="1130">
          <cell r="A1130" t="str">
            <v>Wilson Fabrics Aspen Blockout Charcoal</v>
          </cell>
        </row>
        <row r="1131">
          <cell r="A1131" t="str">
            <v>Wilson Fabrics Aspen Blockout Mink</v>
          </cell>
        </row>
        <row r="1132">
          <cell r="A1132" t="str">
            <v>Wilson Fabrics Aspen Blockout Oyster</v>
          </cell>
        </row>
        <row r="1133">
          <cell r="A1133" t="str">
            <v>Wilson Fabrics Aspen Blockout Pewter</v>
          </cell>
        </row>
        <row r="1134">
          <cell r="A1134" t="str">
            <v>Wilson Fabrics Aspen Blockout Snow</v>
          </cell>
        </row>
        <row r="1135">
          <cell r="A1135" t="str">
            <v>Wilson Fabrics Aspen Blockout Snowgum</v>
          </cell>
        </row>
        <row r="1136">
          <cell r="A1136" t="str">
            <v>Wilson Fabrics Aspen Blockout Stone</v>
          </cell>
        </row>
        <row r="1137">
          <cell r="A1137" t="str">
            <v>Wilson Fabrics Boston II Blockout Charcoal</v>
          </cell>
          <cell r="B1137" t="str">
            <v>Black</v>
          </cell>
          <cell r="C1137" t="str">
            <v>Black</v>
          </cell>
          <cell r="D1137" t="str">
            <v>Black</v>
          </cell>
          <cell r="F1137" t="str">
            <v>Black</v>
          </cell>
        </row>
        <row r="1138">
          <cell r="A1138" t="str">
            <v>Wilson Fabrics Boston II Blockout Chinchilla</v>
          </cell>
          <cell r="B1138" t="str">
            <v>Beige</v>
          </cell>
          <cell r="C1138" t="str">
            <v>Anodised Silver</v>
          </cell>
          <cell r="D1138" t="str">
            <v>Beige</v>
          </cell>
          <cell r="F1138" t="str">
            <v>White</v>
          </cell>
        </row>
        <row r="1139">
          <cell r="A1139" t="str">
            <v>Wilson Fabrics Boston II Blockout Dawn</v>
          </cell>
        </row>
        <row r="1140">
          <cell r="A1140" t="str">
            <v>Wilson Fabrics Boston II Blockout Grey</v>
          </cell>
          <cell r="B1140" t="str">
            <v>White</v>
          </cell>
          <cell r="C1140" t="str">
            <v>White</v>
          </cell>
          <cell r="D1140" t="str">
            <v>White</v>
          </cell>
          <cell r="F1140" t="str">
            <v>White</v>
          </cell>
        </row>
        <row r="1141">
          <cell r="A1141" t="str">
            <v>Wilson Fabrics Boston II Blockout Linen</v>
          </cell>
        </row>
        <row r="1142">
          <cell r="A1142" t="str">
            <v>Wilson Fabrics Boston II Blockout Marshmellow</v>
          </cell>
        </row>
        <row r="1143">
          <cell r="A1143" t="str">
            <v>Wilson Fabrics Boston II Blockout Mist</v>
          </cell>
          <cell r="B1143" t="str">
            <v>White</v>
          </cell>
          <cell r="C1143" t="str">
            <v>Anodised Silver</v>
          </cell>
          <cell r="D1143" t="str">
            <v>Nickel Steel</v>
          </cell>
          <cell r="F1143" t="str">
            <v>White</v>
          </cell>
        </row>
        <row r="1144">
          <cell r="A1144" t="str">
            <v>Wilson Fabrics Boston II Blockout Monument</v>
          </cell>
          <cell r="B1144" t="str">
            <v>White</v>
          </cell>
          <cell r="C1144" t="str">
            <v>Anodised Silver</v>
          </cell>
          <cell r="D1144" t="str">
            <v>Nickel Steel</v>
          </cell>
          <cell r="F1144" t="str">
            <v>White</v>
          </cell>
        </row>
        <row r="1145">
          <cell r="A1145" t="str">
            <v>Wilson Fabrics Boston II Blockout Quartz</v>
          </cell>
          <cell r="B1145" t="str">
            <v>White</v>
          </cell>
          <cell r="C1145" t="str">
            <v>Anodised Silver</v>
          </cell>
          <cell r="D1145" t="str">
            <v>Nickel Steel</v>
          </cell>
          <cell r="F1145" t="str">
            <v>White</v>
          </cell>
        </row>
        <row r="1146">
          <cell r="A1146" t="str">
            <v>Wilson Fabrics Boston II Blockout Shark</v>
          </cell>
          <cell r="B1146" t="str">
            <v>White</v>
          </cell>
          <cell r="C1146" t="str">
            <v>Anodised Silver</v>
          </cell>
          <cell r="D1146" t="str">
            <v>Nickel Steel</v>
          </cell>
          <cell r="F1146" t="str">
            <v>White</v>
          </cell>
        </row>
        <row r="1147">
          <cell r="A1147" t="str">
            <v>Wilson Fabrics Boston II Blockout Silver</v>
          </cell>
          <cell r="B1147" t="str">
            <v>White</v>
          </cell>
          <cell r="C1147" t="str">
            <v>Anodised Silver</v>
          </cell>
          <cell r="D1147" t="str">
            <v>Nickel Steel</v>
          </cell>
          <cell r="F1147" t="str">
            <v>White</v>
          </cell>
        </row>
        <row r="1148">
          <cell r="A1148" t="str">
            <v>Wilson Fabrics Boston II Blockout Stone</v>
          </cell>
          <cell r="B1148" t="str">
            <v>White</v>
          </cell>
          <cell r="C1148" t="str">
            <v>Anodised Silver</v>
          </cell>
          <cell r="D1148" t="str">
            <v>Nickel Steel</v>
          </cell>
          <cell r="F1148" t="str">
            <v>White</v>
          </cell>
        </row>
        <row r="1149">
          <cell r="A1149" t="str">
            <v>Wilson Fabrics Boston II Blockout TBA</v>
          </cell>
        </row>
        <row r="1150">
          <cell r="A1150" t="str">
            <v>Wilson Fabrics Boston II Light Filtering Charcoal</v>
          </cell>
          <cell r="B1150" t="str">
            <v>Black</v>
          </cell>
          <cell r="C1150" t="str">
            <v>Black</v>
          </cell>
          <cell r="D1150" t="str">
            <v>Black</v>
          </cell>
          <cell r="F1150" t="str">
            <v>Black</v>
          </cell>
        </row>
        <row r="1151">
          <cell r="A1151" t="str">
            <v>Wilson Fabrics Boston II Light Filtering Chinchilla</v>
          </cell>
          <cell r="B1151" t="str">
            <v>Beige</v>
          </cell>
          <cell r="C1151" t="str">
            <v>Anodised Silver</v>
          </cell>
          <cell r="D1151" t="str">
            <v>Beige</v>
          </cell>
          <cell r="F1151" t="str">
            <v>White</v>
          </cell>
        </row>
        <row r="1152">
          <cell r="A1152" t="str">
            <v>Wilson Fabrics Boston II Light Filtering Dawn</v>
          </cell>
        </row>
        <row r="1153">
          <cell r="A1153" t="str">
            <v>Wilson Fabrics Boston II Light Filtering Grey</v>
          </cell>
        </row>
        <row r="1154">
          <cell r="A1154" t="str">
            <v>Wilson Fabrics Boston II Light Filtering Linen</v>
          </cell>
        </row>
        <row r="1155">
          <cell r="A1155" t="str">
            <v>Wilson Fabrics Boston II Light Filtering Marshmellow</v>
          </cell>
        </row>
        <row r="1156">
          <cell r="A1156" t="str">
            <v>Wilson Fabrics Boston II Light Filtering Mist</v>
          </cell>
          <cell r="B1156" t="str">
            <v>White</v>
          </cell>
          <cell r="C1156" t="str">
            <v>Anodised Silver</v>
          </cell>
          <cell r="D1156" t="str">
            <v>Nickel Steel</v>
          </cell>
          <cell r="F1156" t="str">
            <v>White</v>
          </cell>
        </row>
        <row r="1157">
          <cell r="A1157" t="str">
            <v>Wilson Fabrics Boston II Light Filtering Monument</v>
          </cell>
          <cell r="B1157" t="str">
            <v>White</v>
          </cell>
          <cell r="C1157" t="str">
            <v>Anodised Silver</v>
          </cell>
          <cell r="D1157" t="str">
            <v>Nickel Steel</v>
          </cell>
          <cell r="F1157" t="str">
            <v>White</v>
          </cell>
        </row>
        <row r="1158">
          <cell r="A1158" t="str">
            <v>Wilson Fabrics Boston II Light Filtering Quartz</v>
          </cell>
          <cell r="B1158" t="str">
            <v>White</v>
          </cell>
          <cell r="C1158" t="str">
            <v>Anodised Silver</v>
          </cell>
          <cell r="D1158" t="str">
            <v>Nickel Steel</v>
          </cell>
          <cell r="F1158" t="str">
            <v>White</v>
          </cell>
        </row>
        <row r="1159">
          <cell r="A1159" t="str">
            <v>Wilson Fabrics Boston II Light Filtering Shark</v>
          </cell>
          <cell r="B1159" t="str">
            <v>White</v>
          </cell>
          <cell r="C1159" t="str">
            <v>Anodised Silver</v>
          </cell>
          <cell r="D1159" t="str">
            <v>Nickel Steel</v>
          </cell>
          <cell r="F1159" t="str">
            <v>White</v>
          </cell>
        </row>
        <row r="1160">
          <cell r="A1160" t="str">
            <v>Wilson Fabrics Boston II Light Filtering Silver</v>
          </cell>
          <cell r="B1160" t="str">
            <v>White</v>
          </cell>
          <cell r="C1160" t="str">
            <v>Anodised Silver</v>
          </cell>
          <cell r="D1160" t="str">
            <v>Nickel Steel</v>
          </cell>
          <cell r="F1160" t="str">
            <v>White</v>
          </cell>
        </row>
        <row r="1161">
          <cell r="A1161" t="str">
            <v>Wilson Fabrics Boston II Light Filtering Stone</v>
          </cell>
          <cell r="B1161" t="str">
            <v>White</v>
          </cell>
          <cell r="C1161" t="str">
            <v>Anodised Silver</v>
          </cell>
          <cell r="D1161" t="str">
            <v>Nickel Steel</v>
          </cell>
          <cell r="F1161" t="str">
            <v>White</v>
          </cell>
        </row>
        <row r="1162">
          <cell r="A1162" t="str">
            <v>Wilson Fabrics Boston II Light Filtering TBA</v>
          </cell>
        </row>
        <row r="1163">
          <cell r="A1163" t="str">
            <v>Wilson Fabrics Broome II Blockout Bluewash</v>
          </cell>
        </row>
        <row r="1164">
          <cell r="A1164" t="str">
            <v>Wilson Fabrics Broome II Blockout Fossil</v>
          </cell>
        </row>
        <row r="1165">
          <cell r="A1165" t="str">
            <v>Wilson Fabrics Broome II Blockout Ivory</v>
          </cell>
          <cell r="B1165" t="str">
            <v>Birch White</v>
          </cell>
          <cell r="C1165" t="str">
            <v>Birch White</v>
          </cell>
          <cell r="D1165" t="str">
            <v>Birch White</v>
          </cell>
          <cell r="F1165" t="str">
            <v>White</v>
          </cell>
        </row>
        <row r="1166">
          <cell r="A1166" t="str">
            <v>Wilson Fabrics Broome II Blockout Mink</v>
          </cell>
        </row>
        <row r="1167">
          <cell r="A1167" t="str">
            <v>Wilson Fabrics Broome II Blockout Monument</v>
          </cell>
        </row>
        <row r="1168">
          <cell r="A1168" t="str">
            <v>Wilson Fabrics Broome II Blockout Nomad</v>
          </cell>
        </row>
        <row r="1169">
          <cell r="A1169" t="str">
            <v>Wilson Fabrics Broome II Blockout Off White</v>
          </cell>
        </row>
        <row r="1170">
          <cell r="A1170" t="str">
            <v>Wilson Fabrics Broome II Blockout Parchment</v>
          </cell>
          <cell r="B1170" t="str">
            <v>Beige</v>
          </cell>
          <cell r="F1170" t="str">
            <v>White</v>
          </cell>
        </row>
        <row r="1171">
          <cell r="A1171" t="str">
            <v>Wilson Fabrics Broome II Blockout Platinum</v>
          </cell>
        </row>
        <row r="1172">
          <cell r="A1172" t="str">
            <v>Wilson Fabrics Broome II Blockout Snow</v>
          </cell>
          <cell r="B1172" t="str">
            <v>White</v>
          </cell>
          <cell r="C1172" t="str">
            <v>White</v>
          </cell>
          <cell r="D1172" t="str">
            <v>White</v>
          </cell>
          <cell r="F1172" t="str">
            <v>White</v>
          </cell>
        </row>
        <row r="1173">
          <cell r="A1173" t="str">
            <v>Wilson Fabrics Broome II Blockout Stone</v>
          </cell>
          <cell r="B1173" t="str">
            <v>Beige</v>
          </cell>
          <cell r="F1173" t="str">
            <v>White</v>
          </cell>
        </row>
        <row r="1174">
          <cell r="A1174" t="str">
            <v>Wilson Fabrics Broome II Blockout TBA</v>
          </cell>
        </row>
        <row r="1175">
          <cell r="A1175" t="str">
            <v>Wilson Fabrics Broome II Light Filtering Bluewash</v>
          </cell>
        </row>
        <row r="1176">
          <cell r="A1176" t="str">
            <v>Wilson Fabrics Broome II Light Filtering Fossil</v>
          </cell>
        </row>
        <row r="1177">
          <cell r="A1177" t="str">
            <v>Wilson Fabrics Broome II Light Filtering Ivory</v>
          </cell>
          <cell r="B1177" t="str">
            <v>Birch White</v>
          </cell>
          <cell r="C1177" t="str">
            <v>Birch White</v>
          </cell>
          <cell r="D1177" t="str">
            <v>Birch White</v>
          </cell>
          <cell r="F1177" t="str">
            <v>White</v>
          </cell>
        </row>
        <row r="1178">
          <cell r="A1178" t="str">
            <v>Wilson Fabrics Broome II Light Filtering Mink</v>
          </cell>
        </row>
        <row r="1179">
          <cell r="A1179" t="str">
            <v>Wilson Fabrics Broome II Light Filtering Monument</v>
          </cell>
        </row>
        <row r="1180">
          <cell r="A1180" t="str">
            <v>Wilson Fabrics Broome II Light Filtering Nomad</v>
          </cell>
        </row>
        <row r="1181">
          <cell r="A1181" t="str">
            <v>Wilson Fabrics Broome II Light Filtering Off White</v>
          </cell>
        </row>
        <row r="1182">
          <cell r="A1182" t="str">
            <v>Wilson Fabrics Broome II Light Filtering Parchment</v>
          </cell>
          <cell r="B1182" t="str">
            <v>Beige</v>
          </cell>
          <cell r="F1182" t="str">
            <v>White</v>
          </cell>
        </row>
        <row r="1183">
          <cell r="A1183" t="str">
            <v>Wilson Fabrics Broome II Light Filtering Platinum</v>
          </cell>
        </row>
        <row r="1184">
          <cell r="A1184" t="str">
            <v>Wilson Fabrics Broome II Light Filtering Snow</v>
          </cell>
          <cell r="B1184" t="str">
            <v>White</v>
          </cell>
          <cell r="C1184" t="str">
            <v>White</v>
          </cell>
          <cell r="D1184" t="str">
            <v>White</v>
          </cell>
          <cell r="F1184" t="str">
            <v>White</v>
          </cell>
        </row>
        <row r="1185">
          <cell r="A1185" t="str">
            <v>Wilson Fabrics Broome II Light Filtering Stone</v>
          </cell>
          <cell r="B1185" t="str">
            <v>Beige</v>
          </cell>
          <cell r="F1185" t="str">
            <v>White</v>
          </cell>
        </row>
        <row r="1186">
          <cell r="A1186" t="str">
            <v>Wilson Fabrics Broome II Light Filtering TBA</v>
          </cell>
        </row>
        <row r="1187">
          <cell r="A1187" t="str">
            <v>Wilson Fabrics Buxton Blockout Charcoasl</v>
          </cell>
        </row>
        <row r="1188">
          <cell r="A1188" t="str">
            <v>Wilson Fabrics Buxton Blockout Eggshell</v>
          </cell>
        </row>
        <row r="1189">
          <cell r="A1189" t="str">
            <v>Wilson Fabrics Buxton Blockout Granite</v>
          </cell>
        </row>
        <row r="1190">
          <cell r="A1190" t="str">
            <v>Wilson Fabrics Buxton Blockout Mink</v>
          </cell>
        </row>
        <row r="1191">
          <cell r="A1191" t="str">
            <v>Wilson Fabrics Buxton Blockout Pewter</v>
          </cell>
        </row>
        <row r="1192">
          <cell r="A1192" t="str">
            <v>Wilson Fabrics Buxton Blockout Snow</v>
          </cell>
        </row>
        <row r="1193">
          <cell r="A1193" t="str">
            <v>Wilson Fabrics Buxton Blockout Snowgum</v>
          </cell>
        </row>
        <row r="1194">
          <cell r="A1194" t="str">
            <v>Wilson Fabrics Buxton Blockout Stone</v>
          </cell>
        </row>
        <row r="1195">
          <cell r="A1195" t="str">
            <v>Wilson Fabrics Buxton Blockout TBA</v>
          </cell>
        </row>
        <row r="1196">
          <cell r="A1196" t="str">
            <v>Wilson Fabrics Concord II Blockout Antique</v>
          </cell>
        </row>
        <row r="1197">
          <cell r="A1197" t="str">
            <v>Wilson Fabrics Concord II Blockout Ash</v>
          </cell>
        </row>
        <row r="1198">
          <cell r="A1198" t="str">
            <v>Wilson Fabrics Concord II Blockout Concrete</v>
          </cell>
        </row>
        <row r="1199">
          <cell r="A1199" t="str">
            <v>Wilson Fabrics Concord II Blockout Ecru</v>
          </cell>
        </row>
        <row r="1200">
          <cell r="A1200" t="str">
            <v>Wilson Fabrics Concord II Blockout Egret</v>
          </cell>
        </row>
        <row r="1201">
          <cell r="A1201" t="str">
            <v>Wilson Fabrics Concord II Blockout Fog</v>
          </cell>
        </row>
        <row r="1202">
          <cell r="A1202" t="str">
            <v>Wilson Fabrics Concord II Blockout Ironbark</v>
          </cell>
        </row>
        <row r="1203">
          <cell r="A1203" t="str">
            <v>Wilson Fabrics Concord II Blockout Pebble</v>
          </cell>
        </row>
        <row r="1204">
          <cell r="A1204" t="str">
            <v>Wilson Fabrics Concord II Blockout Silver</v>
          </cell>
        </row>
        <row r="1205">
          <cell r="A1205" t="str">
            <v>Wilson Fabrics Concord II Blockout Slate</v>
          </cell>
        </row>
        <row r="1206">
          <cell r="A1206" t="str">
            <v>Wilson Fabrics Concord II Blockout Stone</v>
          </cell>
        </row>
        <row r="1207">
          <cell r="A1207" t="str">
            <v>Wilson Fabrics Concord II Blockout TBA</v>
          </cell>
        </row>
        <row r="1208">
          <cell r="A1208" t="str">
            <v>Wilson Fabrics Concord II Light Filtering Antique</v>
          </cell>
        </row>
        <row r="1209">
          <cell r="A1209" t="str">
            <v>Wilson Fabrics Concord II Light Filtering Ash</v>
          </cell>
          <cell r="B1209" t="str">
            <v>White</v>
          </cell>
          <cell r="C1209" t="str">
            <v>Anodised Silver</v>
          </cell>
          <cell r="D1209" t="str">
            <v>Nickel Steel</v>
          </cell>
          <cell r="F1209" t="str">
            <v>White</v>
          </cell>
        </row>
        <row r="1210">
          <cell r="A1210" t="str">
            <v>Wilson Fabrics Concord II Light Filtering Concrete</v>
          </cell>
        </row>
        <row r="1211">
          <cell r="A1211" t="str">
            <v>Wilson Fabrics Concord II Light Filtering Ecru</v>
          </cell>
        </row>
        <row r="1212">
          <cell r="A1212" t="str">
            <v>Wilson Fabrics Concord II Light Filtering Egret</v>
          </cell>
        </row>
        <row r="1213">
          <cell r="A1213" t="str">
            <v>Wilson Fabrics Concord II Light Filtering Fog</v>
          </cell>
        </row>
        <row r="1214">
          <cell r="A1214" t="str">
            <v>Wilson Fabrics Concord II Light Filtering Ironbark</v>
          </cell>
        </row>
        <row r="1215">
          <cell r="A1215" t="str">
            <v>Wilson Fabrics Concord II Light Filtering Pebble</v>
          </cell>
          <cell r="B1215" t="str">
            <v>Birch White</v>
          </cell>
          <cell r="C1215" t="str">
            <v>Cream</v>
          </cell>
          <cell r="D1215" t="str">
            <v>Birch White</v>
          </cell>
          <cell r="F1215" t="str">
            <v>White</v>
          </cell>
        </row>
        <row r="1216">
          <cell r="A1216" t="str">
            <v>Wilson Fabrics Concord II Light Filtering Silver</v>
          </cell>
        </row>
        <row r="1217">
          <cell r="A1217" t="str">
            <v>Wilson Fabrics Concord II Light Filtering Slate</v>
          </cell>
          <cell r="B1217" t="str">
            <v>Black</v>
          </cell>
          <cell r="C1217" t="str">
            <v>Black</v>
          </cell>
          <cell r="D1217" t="str">
            <v>Black</v>
          </cell>
          <cell r="F1217" t="str">
            <v>Black</v>
          </cell>
        </row>
        <row r="1218">
          <cell r="A1218" t="str">
            <v>Wilson Fabrics Concord II Light Filtering Stone</v>
          </cell>
        </row>
        <row r="1219">
          <cell r="A1219" t="str">
            <v>Wilson Fabrics Concord II Light Filtering TBA</v>
          </cell>
        </row>
        <row r="1220">
          <cell r="A1220" t="str">
            <v>Wilson Fabrics Husk II Light Filtering Granite</v>
          </cell>
        </row>
        <row r="1221">
          <cell r="A1221" t="str">
            <v>Wilson Fabrics Husk II Light Filtering Grey</v>
          </cell>
        </row>
        <row r="1222">
          <cell r="A1222" t="str">
            <v>Wilson Fabrics Husk II Light Filtering Ironbark</v>
          </cell>
        </row>
        <row r="1223">
          <cell r="A1223" t="str">
            <v>Wilson Fabrics Husk II Light Filtering Latte</v>
          </cell>
        </row>
        <row r="1224">
          <cell r="A1224" t="str">
            <v>Wilson Fabrics Husk II Light Filtering Linen</v>
          </cell>
        </row>
        <row r="1225">
          <cell r="A1225" t="str">
            <v>Wilson Fabrics Husk II Light Filtering Parchment</v>
          </cell>
        </row>
        <row r="1226">
          <cell r="A1226" t="str">
            <v>Wilson Fabrics Husk II Light Filtering Pearl</v>
          </cell>
        </row>
        <row r="1227">
          <cell r="A1227" t="str">
            <v>Wilson Fabrics Husk II Light Filtering Platinum</v>
          </cell>
        </row>
        <row r="1228">
          <cell r="A1228" t="str">
            <v>Wilson Fabrics Husk II Light Filtering Shark</v>
          </cell>
        </row>
        <row r="1229">
          <cell r="A1229" t="str">
            <v>Wilson Fabrics Husk II Light Filtering Silver</v>
          </cell>
        </row>
        <row r="1230">
          <cell r="A1230" t="str">
            <v>Wilson Fabrics Husk II Light Filtering Snow</v>
          </cell>
        </row>
        <row r="1231">
          <cell r="A1231" t="str">
            <v>Wilson Fabrics Husk II Light Filtering Snowgum</v>
          </cell>
        </row>
        <row r="1232">
          <cell r="A1232" t="str">
            <v>Wilson Fabrics Marley Blockout Charcoal</v>
          </cell>
        </row>
        <row r="1233">
          <cell r="A1233" t="str">
            <v>Wilson Fabrics Marley Blockout Fossil</v>
          </cell>
        </row>
        <row r="1234">
          <cell r="A1234" t="str">
            <v>Wilson Fabrics Marley Blockout Natural</v>
          </cell>
          <cell r="B1234" t="str">
            <v>White</v>
          </cell>
          <cell r="C1234" t="str">
            <v>White</v>
          </cell>
          <cell r="D1234" t="str">
            <v>White</v>
          </cell>
          <cell r="F1234" t="str">
            <v>White</v>
          </cell>
        </row>
        <row r="1235">
          <cell r="A1235" t="str">
            <v>Wilson Fabrics Marley Blockout Ocean</v>
          </cell>
        </row>
        <row r="1236">
          <cell r="A1236" t="str">
            <v>Wilson Fabrics Marley Blockout Pewter</v>
          </cell>
        </row>
        <row r="1237">
          <cell r="A1237" t="str">
            <v>Wilson Fabrics Marley Blockout Steel</v>
          </cell>
        </row>
        <row r="1238">
          <cell r="A1238" t="str">
            <v>Wilson Fabrics Marley Blockout Stone</v>
          </cell>
        </row>
        <row r="1239">
          <cell r="A1239" t="str">
            <v>Wilson Fabrics Marley Blockout TBA</v>
          </cell>
        </row>
        <row r="1240">
          <cell r="A1240" t="str">
            <v>Wilson Fabrics Marley Blockout White</v>
          </cell>
        </row>
        <row r="1241">
          <cell r="A1241" t="str">
            <v>Wilson Fabrics Marley Light Filtering Charcoal</v>
          </cell>
        </row>
        <row r="1242">
          <cell r="A1242" t="str">
            <v>Wilson Fabrics Marley Light Filtering Fossil</v>
          </cell>
        </row>
        <row r="1243">
          <cell r="A1243" t="str">
            <v>Wilson Fabrics Marley Light Filtering Natural</v>
          </cell>
        </row>
        <row r="1244">
          <cell r="A1244" t="str">
            <v>Wilson Fabrics Marley Light Filtering Ocean</v>
          </cell>
        </row>
        <row r="1245">
          <cell r="A1245" t="str">
            <v>Wilson Fabrics Marley Light Filtering Pewter</v>
          </cell>
        </row>
        <row r="1246">
          <cell r="A1246" t="str">
            <v>Wilson Fabrics Marley Light Filtering Steel</v>
          </cell>
        </row>
        <row r="1247">
          <cell r="A1247" t="str">
            <v>Wilson Fabrics Marley Light Filtering Stone</v>
          </cell>
        </row>
        <row r="1248">
          <cell r="A1248" t="str">
            <v>Wilson Fabrics Marley Light Filtering TBA</v>
          </cell>
        </row>
        <row r="1249">
          <cell r="A1249" t="str">
            <v>Wilson Fabrics Marley Light Filtering White</v>
          </cell>
        </row>
        <row r="1250">
          <cell r="A1250" t="str">
            <v>Wilson Fabrics Matrix Blockout Coffee</v>
          </cell>
        </row>
        <row r="1251">
          <cell r="A1251" t="str">
            <v>Wilson Fabrics Matrix Blockout Ebony</v>
          </cell>
        </row>
        <row r="1252">
          <cell r="A1252" t="str">
            <v>Wilson Fabrics Matrix Blockout Grey</v>
          </cell>
        </row>
        <row r="1253">
          <cell r="A1253" t="str">
            <v>Wilson Fabrics Matrix Blockout Ivory</v>
          </cell>
        </row>
        <row r="1254">
          <cell r="A1254" t="str">
            <v>Wilson Fabrics Matrix Blockout Mink</v>
          </cell>
        </row>
        <row r="1255">
          <cell r="A1255" t="str">
            <v>Wilson Fabrics Matrix Blockout Pearl</v>
          </cell>
        </row>
        <row r="1256">
          <cell r="A1256" t="str">
            <v>Wilson Fabrics Matrix Blockout Pewter</v>
          </cell>
        </row>
        <row r="1257">
          <cell r="A1257" t="str">
            <v>Wilson Fabrics Matrix Blockout Pristine</v>
          </cell>
        </row>
        <row r="1258">
          <cell r="A1258" t="str">
            <v>Wilson Fabrics Matrix Blockout Stone</v>
          </cell>
        </row>
        <row r="1259">
          <cell r="A1259" t="str">
            <v>Wilson Fabrics Matrix Blockout TBA</v>
          </cell>
        </row>
        <row r="1260">
          <cell r="A1260" t="str">
            <v>Wilson Fabrics Matrix Blockout White</v>
          </cell>
        </row>
        <row r="1261">
          <cell r="A1261" t="str">
            <v>Wilson Fabrics Matrix Light Filtering Coffee</v>
          </cell>
        </row>
        <row r="1262">
          <cell r="A1262" t="str">
            <v>Wilson Fabrics Matrix Light Filtering Ebony</v>
          </cell>
        </row>
        <row r="1263">
          <cell r="A1263" t="str">
            <v>Wilson Fabrics Matrix Light Filtering Grey</v>
          </cell>
        </row>
        <row r="1264">
          <cell r="A1264" t="str">
            <v>Wilson Fabrics Matrix Light Filtering Ivory</v>
          </cell>
        </row>
        <row r="1265">
          <cell r="A1265" t="str">
            <v>Wilson Fabrics Matrix Light Filtering Mink</v>
          </cell>
        </row>
        <row r="1266">
          <cell r="A1266" t="str">
            <v>Wilson Fabrics Matrix Light Filtering Pearl</v>
          </cell>
        </row>
        <row r="1267">
          <cell r="A1267" t="str">
            <v>Wilson Fabrics Matrix Light Filtering Pewter</v>
          </cell>
        </row>
        <row r="1268">
          <cell r="A1268" t="str">
            <v>Wilson Fabrics Matrix Light Filtering Pristine</v>
          </cell>
        </row>
        <row r="1269">
          <cell r="A1269" t="str">
            <v>Wilson Fabrics Matrix Light Filtering Stone</v>
          </cell>
        </row>
        <row r="1270">
          <cell r="A1270" t="str">
            <v>Wilson Fabrics Matrix Light Filtering TBA</v>
          </cell>
        </row>
        <row r="1271">
          <cell r="A1271" t="str">
            <v>Wilson Fabrics Matrix Light Filtering White</v>
          </cell>
        </row>
        <row r="1272">
          <cell r="A1272" t="str">
            <v>Wilson Fabrics Mercury II Blockout Ash</v>
          </cell>
          <cell r="B1272" t="str">
            <v>White</v>
          </cell>
          <cell r="C1272" t="str">
            <v>Anodised Silver</v>
          </cell>
          <cell r="D1272" t="str">
            <v>Nickel Steel</v>
          </cell>
          <cell r="F1272" t="str">
            <v>White</v>
          </cell>
        </row>
        <row r="1273">
          <cell r="A1273" t="str">
            <v>Wilson Fabrics Mercury II Blockout Black</v>
          </cell>
          <cell r="B1273" t="str">
            <v>Black</v>
          </cell>
          <cell r="C1273" t="str">
            <v>Black</v>
          </cell>
          <cell r="D1273" t="str">
            <v>Black</v>
          </cell>
          <cell r="F1273" t="str">
            <v>Black</v>
          </cell>
        </row>
        <row r="1274">
          <cell r="A1274" t="str">
            <v>Wilson Fabrics Mercury II Blockout Chinchilla</v>
          </cell>
          <cell r="B1274" t="str">
            <v>White</v>
          </cell>
          <cell r="C1274" t="str">
            <v>Anodised Silver</v>
          </cell>
          <cell r="D1274" t="str">
            <v>Nickel Steel</v>
          </cell>
          <cell r="F1274" t="str">
            <v>White</v>
          </cell>
        </row>
        <row r="1275">
          <cell r="A1275" t="str">
            <v>Wilson Fabrics Mercury II Blockout Cinder</v>
          </cell>
          <cell r="B1275" t="str">
            <v>White</v>
          </cell>
          <cell r="C1275" t="str">
            <v>Anodised Silver</v>
          </cell>
          <cell r="D1275" t="str">
            <v>Nickel Steel</v>
          </cell>
          <cell r="F1275" t="str">
            <v>White</v>
          </cell>
        </row>
        <row r="1276">
          <cell r="A1276" t="str">
            <v>Wilson Fabrics Mercury II Blockout Cream</v>
          </cell>
          <cell r="B1276" t="str">
            <v>White</v>
          </cell>
          <cell r="C1276" t="str">
            <v>Anodised Silver</v>
          </cell>
          <cell r="D1276" t="str">
            <v>Nickel Steel</v>
          </cell>
          <cell r="F1276" t="str">
            <v>White</v>
          </cell>
        </row>
        <row r="1277">
          <cell r="A1277" t="str">
            <v>Wilson Fabrics Mercury II Blockout Ironbark</v>
          </cell>
          <cell r="B1277" t="str">
            <v>White</v>
          </cell>
          <cell r="C1277" t="str">
            <v>Anodised Silver</v>
          </cell>
          <cell r="D1277" t="str">
            <v>Nickel Steel</v>
          </cell>
          <cell r="F1277" t="str">
            <v>White</v>
          </cell>
        </row>
        <row r="1278">
          <cell r="A1278" t="str">
            <v>Wilson Fabrics Mercury II Blockout Silver</v>
          </cell>
          <cell r="B1278" t="str">
            <v>White</v>
          </cell>
          <cell r="C1278" t="str">
            <v>Anodised Silver</v>
          </cell>
          <cell r="D1278" t="str">
            <v>Nickel Steel</v>
          </cell>
          <cell r="F1278" t="str">
            <v>White</v>
          </cell>
        </row>
        <row r="1279">
          <cell r="A1279" t="str">
            <v>Wilson Fabrics Mercury II Blockout Snow</v>
          </cell>
          <cell r="B1279" t="str">
            <v>White</v>
          </cell>
          <cell r="C1279" t="str">
            <v>Anodised Silver</v>
          </cell>
          <cell r="D1279" t="str">
            <v>Nickel Steel</v>
          </cell>
          <cell r="F1279" t="str">
            <v>White</v>
          </cell>
        </row>
        <row r="1280">
          <cell r="A1280" t="str">
            <v>Wilson Fabrics Mercury II Blockout Snowgum</v>
          </cell>
          <cell r="B1280" t="str">
            <v>White</v>
          </cell>
          <cell r="C1280" t="str">
            <v>Anodised Silver</v>
          </cell>
          <cell r="D1280" t="str">
            <v>Nickel Steel</v>
          </cell>
          <cell r="F1280" t="str">
            <v>White</v>
          </cell>
        </row>
        <row r="1281">
          <cell r="A1281" t="str">
            <v>Wilson Fabrics Mercury II Blockout Steel</v>
          </cell>
          <cell r="B1281" t="str">
            <v>Black</v>
          </cell>
          <cell r="C1281" t="str">
            <v>Anodised Silver</v>
          </cell>
          <cell r="D1281" t="str">
            <v>Nickel Steel</v>
          </cell>
          <cell r="F1281" t="str">
            <v>Black</v>
          </cell>
        </row>
        <row r="1282">
          <cell r="A1282" t="str">
            <v>Wilson Fabrics Mercury II Blockout Stone</v>
          </cell>
          <cell r="B1282" t="str">
            <v>Beige</v>
          </cell>
          <cell r="C1282" t="str">
            <v>Anodised Silver</v>
          </cell>
          <cell r="D1282" t="str">
            <v>Nickel Steel</v>
          </cell>
          <cell r="F1282" t="str">
            <v>White</v>
          </cell>
        </row>
        <row r="1283">
          <cell r="A1283" t="str">
            <v>Wilson Fabrics Mercury II Blockout TBA</v>
          </cell>
        </row>
        <row r="1284">
          <cell r="A1284" t="str">
            <v>Wilson Fabrics Mercury II Blockout White</v>
          </cell>
          <cell r="B1284" t="str">
            <v>White</v>
          </cell>
          <cell r="C1284" t="str">
            <v>White</v>
          </cell>
          <cell r="D1284" t="str">
            <v>White</v>
          </cell>
          <cell r="F1284" t="str">
            <v>White</v>
          </cell>
        </row>
        <row r="1285">
          <cell r="A1285" t="str">
            <v>Wilson Fabrics Mercury II Light Filtering Ash</v>
          </cell>
          <cell r="B1285" t="str">
            <v>White</v>
          </cell>
          <cell r="C1285" t="str">
            <v>Anodised Silver</v>
          </cell>
          <cell r="D1285" t="str">
            <v>Nickel Steel</v>
          </cell>
          <cell r="F1285" t="str">
            <v>White</v>
          </cell>
        </row>
        <row r="1286">
          <cell r="A1286" t="str">
            <v>Wilson Fabrics Mercury II Light Filtering Black</v>
          </cell>
          <cell r="B1286" t="str">
            <v>Black</v>
          </cell>
          <cell r="C1286" t="str">
            <v>Black</v>
          </cell>
          <cell r="D1286" t="str">
            <v>Black</v>
          </cell>
          <cell r="F1286" t="str">
            <v>Black</v>
          </cell>
        </row>
        <row r="1287">
          <cell r="A1287" t="str">
            <v>Wilson Fabrics Mercury II Light Filtering Chinchilla</v>
          </cell>
          <cell r="B1287" t="str">
            <v>White</v>
          </cell>
          <cell r="C1287" t="str">
            <v>Anodised Silver</v>
          </cell>
          <cell r="D1287" t="str">
            <v>Nickel Steel</v>
          </cell>
          <cell r="F1287" t="str">
            <v>White</v>
          </cell>
        </row>
        <row r="1288">
          <cell r="A1288" t="str">
            <v>Wilson Fabrics Mercury II Light Filtering Cinder</v>
          </cell>
          <cell r="B1288" t="str">
            <v>White</v>
          </cell>
          <cell r="C1288" t="str">
            <v>Anodised Silver</v>
          </cell>
          <cell r="D1288" t="str">
            <v>Nickel Steel</v>
          </cell>
          <cell r="F1288" t="str">
            <v>White</v>
          </cell>
        </row>
        <row r="1289">
          <cell r="A1289" t="str">
            <v>Wilson Fabrics Mercury II Light Filtering Cream</v>
          </cell>
          <cell r="B1289" t="str">
            <v>White</v>
          </cell>
          <cell r="C1289" t="str">
            <v>Anodised Silver</v>
          </cell>
          <cell r="D1289" t="str">
            <v>Nickel Steel</v>
          </cell>
          <cell r="F1289" t="str">
            <v>White</v>
          </cell>
        </row>
        <row r="1290">
          <cell r="A1290" t="str">
            <v>Wilson Fabrics Mercury II Light Filtering Ironbark</v>
          </cell>
          <cell r="B1290" t="str">
            <v>White</v>
          </cell>
          <cell r="C1290" t="str">
            <v>Anodised Silver</v>
          </cell>
          <cell r="D1290" t="str">
            <v>Nickel Steel</v>
          </cell>
          <cell r="F1290" t="str">
            <v>White</v>
          </cell>
        </row>
        <row r="1291">
          <cell r="A1291" t="str">
            <v>Wilson Fabrics Mercury II Light Filtering Silver</v>
          </cell>
          <cell r="B1291" t="str">
            <v>White</v>
          </cell>
          <cell r="C1291" t="str">
            <v>Anodised Silver</v>
          </cell>
          <cell r="D1291" t="str">
            <v>Nickel Steel</v>
          </cell>
          <cell r="F1291" t="str">
            <v>White</v>
          </cell>
        </row>
        <row r="1292">
          <cell r="A1292" t="str">
            <v>Wilson Fabrics Mercury II Light Filtering Snow</v>
          </cell>
          <cell r="B1292" t="str">
            <v>White</v>
          </cell>
          <cell r="C1292" t="str">
            <v>Anodised Silver</v>
          </cell>
          <cell r="D1292" t="str">
            <v>Nickel Steel</v>
          </cell>
          <cell r="F1292" t="str">
            <v>White</v>
          </cell>
        </row>
        <row r="1293">
          <cell r="A1293" t="str">
            <v>Wilson Fabrics Mercury II Light Filtering Snowgum</v>
          </cell>
          <cell r="B1293" t="str">
            <v>White</v>
          </cell>
          <cell r="C1293" t="str">
            <v>Anodised Silver</v>
          </cell>
          <cell r="D1293" t="str">
            <v>Nickel Steel</v>
          </cell>
          <cell r="F1293" t="str">
            <v>White</v>
          </cell>
        </row>
        <row r="1294">
          <cell r="A1294" t="str">
            <v>Wilson Fabrics Mercury II Light Filtering Steel</v>
          </cell>
          <cell r="B1294" t="str">
            <v>Black</v>
          </cell>
          <cell r="C1294" t="str">
            <v>Anodised Silver</v>
          </cell>
          <cell r="D1294" t="str">
            <v>Nickel Steel</v>
          </cell>
          <cell r="F1294" t="str">
            <v>Black</v>
          </cell>
        </row>
        <row r="1295">
          <cell r="A1295" t="str">
            <v>Wilson Fabrics Mercury II Light Filtering Stone</v>
          </cell>
          <cell r="B1295" t="str">
            <v>Beige</v>
          </cell>
          <cell r="C1295" t="str">
            <v>Anodised Silver</v>
          </cell>
          <cell r="D1295" t="str">
            <v>Nickel Steel</v>
          </cell>
          <cell r="F1295" t="str">
            <v>White</v>
          </cell>
        </row>
        <row r="1296">
          <cell r="A1296" t="str">
            <v>Wilson Fabrics Mercury II Light Filtering TBA</v>
          </cell>
        </row>
        <row r="1297">
          <cell r="A1297" t="str">
            <v>Wilson Fabrics Mercury II Light Filtering White</v>
          </cell>
          <cell r="B1297" t="str">
            <v>White</v>
          </cell>
          <cell r="C1297" t="str">
            <v>White</v>
          </cell>
          <cell r="D1297" t="str">
            <v>White</v>
          </cell>
          <cell r="F1297" t="str">
            <v>White</v>
          </cell>
        </row>
        <row r="1298">
          <cell r="A1298" t="str">
            <v>Wilson Fabrics Moma Blockout Black</v>
          </cell>
        </row>
        <row r="1299">
          <cell r="A1299" t="str">
            <v>Wilson Fabrics Moma Blockout Iron</v>
          </cell>
        </row>
        <row r="1300">
          <cell r="A1300" t="str">
            <v>Wilson Fabrics Moma Blockout Shitake</v>
          </cell>
        </row>
        <row r="1301">
          <cell r="A1301" t="str">
            <v>Wilson Fabrics Moma Blockout Snow</v>
          </cell>
        </row>
        <row r="1302">
          <cell r="A1302" t="str">
            <v>Wilson Fabrics Moma Blockout Stone</v>
          </cell>
        </row>
        <row r="1303">
          <cell r="A1303" t="str">
            <v>Wilson Fabrics Moma Blockout TBA</v>
          </cell>
        </row>
        <row r="1304">
          <cell r="A1304" t="str">
            <v>Wilson Fabrics Moma Blockout White</v>
          </cell>
        </row>
        <row r="1305">
          <cell r="A1305" t="str">
            <v>Wilson Fabrics Moma Light Filtering Black</v>
          </cell>
        </row>
        <row r="1306">
          <cell r="A1306" t="str">
            <v>Wilson Fabrics Moma Light Filtering Iron</v>
          </cell>
        </row>
        <row r="1307">
          <cell r="A1307" t="str">
            <v>Wilson Fabrics Moma Light Filtering Shitake</v>
          </cell>
        </row>
        <row r="1308">
          <cell r="A1308" t="str">
            <v>Wilson Fabrics Moma Light Filtering Snow</v>
          </cell>
        </row>
        <row r="1309">
          <cell r="A1309" t="str">
            <v>Wilson Fabrics Moma Light Filtering Stone</v>
          </cell>
        </row>
        <row r="1310">
          <cell r="A1310" t="str">
            <v>Wilson Fabrics Moma Light Filtering TBA</v>
          </cell>
        </row>
        <row r="1311">
          <cell r="A1311" t="str">
            <v>Wilson Fabrics Moma Light Filtering White</v>
          </cell>
        </row>
        <row r="1312">
          <cell r="A1312" t="str">
            <v>Wilson Fabrics Tuscany II Blockout Ash</v>
          </cell>
        </row>
        <row r="1313">
          <cell r="A1313" t="str">
            <v>Wilson Fabrics Tuscany II Blockout Charcoal</v>
          </cell>
        </row>
        <row r="1314">
          <cell r="A1314" t="str">
            <v>Wilson Fabrics Tuscany II Blockout Eggshell</v>
          </cell>
        </row>
        <row r="1315">
          <cell r="A1315" t="str">
            <v>Wilson Fabrics Tuscany II Blockout Granite</v>
          </cell>
        </row>
        <row r="1316">
          <cell r="A1316" t="str">
            <v>Wilson Fabrics Tuscany II Blockout Linen</v>
          </cell>
        </row>
        <row r="1317">
          <cell r="A1317" t="str">
            <v>Wilson Fabrics Tuscany II Blockout Mink</v>
          </cell>
        </row>
        <row r="1318">
          <cell r="A1318" t="str">
            <v>Wilson Fabrics Tuscany II Blockout Natural</v>
          </cell>
        </row>
        <row r="1319">
          <cell r="A1319" t="str">
            <v>Wilson Fabrics Tuscany II Blockout Parchment</v>
          </cell>
        </row>
        <row r="1320">
          <cell r="A1320" t="str">
            <v>Wilson Fabrics Tuscany II Blockout Pewter</v>
          </cell>
        </row>
        <row r="1321">
          <cell r="A1321" t="str">
            <v>Wilson Fabrics Tuscany II Blockout Silver</v>
          </cell>
        </row>
        <row r="1322">
          <cell r="A1322" t="str">
            <v>Wilson Fabrics Tuscany II Blockout TBA</v>
          </cell>
        </row>
        <row r="1323">
          <cell r="A1323" t="str">
            <v>Wilson Fabrics Tuscany II Blockout White</v>
          </cell>
        </row>
        <row r="1324">
          <cell r="A1324" t="str">
            <v>Wilson Fabrics Tuscany II Light Filtering Ash</v>
          </cell>
        </row>
        <row r="1325">
          <cell r="A1325" t="str">
            <v>Wilson Fabrics Tuscany II Light Filtering Charcoal</v>
          </cell>
        </row>
        <row r="1326">
          <cell r="A1326" t="str">
            <v>Wilson Fabrics Tuscany II Light Filtering Eggshell</v>
          </cell>
        </row>
        <row r="1327">
          <cell r="A1327" t="str">
            <v>Wilson Fabrics Tuscany II Light Filtering Granite</v>
          </cell>
        </row>
        <row r="1328">
          <cell r="A1328" t="str">
            <v>Wilson Fabrics Tuscany II Light Filtering Linen</v>
          </cell>
        </row>
        <row r="1329">
          <cell r="A1329" t="str">
            <v>Wilson Fabrics Tuscany II Light Filtering Mink</v>
          </cell>
        </row>
        <row r="1330">
          <cell r="A1330" t="str">
            <v>Wilson Fabrics Tuscany II Light Filtering Natural</v>
          </cell>
        </row>
        <row r="1331">
          <cell r="A1331" t="str">
            <v>Wilson Fabrics Tuscany II Light Filtering Parchment</v>
          </cell>
        </row>
        <row r="1332">
          <cell r="A1332" t="str">
            <v>Wilson Fabrics Tuscany II Light Filtering Pewter</v>
          </cell>
        </row>
        <row r="1333">
          <cell r="A1333" t="str">
            <v>Wilson Fabrics Tuscany II Light Filtering Silver</v>
          </cell>
        </row>
        <row r="1334">
          <cell r="A1334" t="str">
            <v>Wilson Fabrics Tuscany II Light Filtering White</v>
          </cell>
        </row>
        <row r="1335">
          <cell r="A1335" t="str">
            <v>Shaw Fabrics Karma Blockout Cliff</v>
          </cell>
        </row>
        <row r="1336">
          <cell r="A1336" t="str">
            <v>Shaw Fabrics Karma Blockout Dew</v>
          </cell>
        </row>
        <row r="1337">
          <cell r="A1337" t="str">
            <v>Shaw Fabrics Karma Blockout Frost</v>
          </cell>
        </row>
        <row r="1338">
          <cell r="A1338" t="str">
            <v>Shaw Fabrics Karma Blockout Glade</v>
          </cell>
        </row>
        <row r="1339">
          <cell r="A1339" t="str">
            <v>Shaw Fabrics Karma Blockout Haze</v>
          </cell>
        </row>
        <row r="1340">
          <cell r="A1340" t="str">
            <v>Shaw Fabrics Karma Blockout Magma</v>
          </cell>
        </row>
        <row r="1341">
          <cell r="A1341" t="str">
            <v>Shaw Fabrics Karma Blockout Moonscape</v>
          </cell>
        </row>
        <row r="1342">
          <cell r="A1342" t="str">
            <v>Shaw Fabrics Karma Blockout Ocean</v>
          </cell>
        </row>
        <row r="1343">
          <cell r="A1343" t="str">
            <v>Shaw Fabrics Karma Blockout Petrol</v>
          </cell>
          <cell r="B1343" t="str">
            <v>Black</v>
          </cell>
          <cell r="C1343" t="str">
            <v>Black</v>
          </cell>
          <cell r="D1343" t="str">
            <v>Black</v>
          </cell>
        </row>
        <row r="1344">
          <cell r="A1344" t="str">
            <v>Shaw Fabrics Karma Blockout Rock</v>
          </cell>
        </row>
        <row r="1345">
          <cell r="A1345" t="str">
            <v>Shaw Fabrics Karma Blockout Sandstone</v>
          </cell>
        </row>
        <row r="1346">
          <cell r="A1346" t="str">
            <v>Shaw Fabrics Karma Blockout Shell</v>
          </cell>
        </row>
        <row r="1347">
          <cell r="A1347" t="str">
            <v>Shaw Fabrics Karma Blockout TBA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Bagging"/>
      <sheetName val="Assembly(b)"/>
      <sheetName val="Assembly(a)"/>
      <sheetName val="Tube Cutting"/>
      <sheetName val="Fabric Cutting"/>
      <sheetName val="Labels"/>
      <sheetName val="Component Look Ups"/>
      <sheetName val="Component Colour Match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2">
          <cell r="A52" t="str">
            <v>Tube Deduction</v>
          </cell>
        </row>
        <row r="53">
          <cell r="A53" t="str">
            <v>Control</v>
          </cell>
          <cell r="B53" t="str">
            <v>Deduction</v>
          </cell>
          <cell r="C53" t="str">
            <v>Motor Tails</v>
          </cell>
        </row>
        <row r="54">
          <cell r="A54" t="str">
            <v>Spring</v>
          </cell>
          <cell r="B54">
            <v>50</v>
          </cell>
          <cell r="C54" t="str">
            <v>No</v>
          </cell>
        </row>
        <row r="55">
          <cell r="A55" t="str">
            <v>Becker Remote Operated RHS</v>
          </cell>
          <cell r="B55">
            <v>60</v>
          </cell>
          <cell r="C55" t="str">
            <v>Yes</v>
          </cell>
        </row>
        <row r="56">
          <cell r="A56" t="str">
            <v>Becker Remote Operated LHS</v>
          </cell>
          <cell r="B56">
            <v>60</v>
          </cell>
          <cell r="C56" t="str">
            <v>Yes</v>
          </cell>
        </row>
        <row r="57">
          <cell r="A57" t="str">
            <v>Becker Switch Operated RHS</v>
          </cell>
          <cell r="B57">
            <v>60</v>
          </cell>
          <cell r="C57" t="str">
            <v>Yes</v>
          </cell>
        </row>
        <row r="58">
          <cell r="A58" t="str">
            <v>Becker Switch Operated LHS</v>
          </cell>
          <cell r="B58">
            <v>60</v>
          </cell>
          <cell r="C58" t="str">
            <v>Yes</v>
          </cell>
        </row>
        <row r="59">
          <cell r="A59" t="str">
            <v>Gearbox LHS</v>
          </cell>
          <cell r="B59">
            <v>70</v>
          </cell>
          <cell r="C59" t="str">
            <v>No</v>
          </cell>
        </row>
        <row r="60">
          <cell r="A60" t="str">
            <v>Gearbox RHS</v>
          </cell>
          <cell r="B60">
            <v>70</v>
          </cell>
          <cell r="C60" t="str">
            <v>No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AV5" sqref="AV5:XFD5"/>
    </sheetView>
  </sheetViews>
  <sheetFormatPr defaultColWidth="9.44140625" defaultRowHeight="13.5"/>
  <cols>
    <col min="1" max="1" width="14.4285714285714" bestFit="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1428571428571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29" bestFit="1" customWidth="1"/>
    <col min="89" max="89" width="13.5714285714286" style="43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23"/>
      <c r="AW1" s="23"/>
      <c r="AX1" s="27" t="s">
        <v>308</v>
      </c>
      <c r="AY1" s="24"/>
      <c r="AZ1" s="24" t="s">
        <v>16</v>
      </c>
      <c r="BA1" s="26" t="s">
        <v>23</v>
      </c>
      <c r="BB1" s="24"/>
      <c r="BC1" s="24"/>
      <c r="BD1" s="24"/>
      <c r="BE1" s="24"/>
      <c r="BF1" s="24"/>
      <c r="BG1" s="24" t="s">
        <v>10</v>
      </c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38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</row>
    <row r="2" spans="48:123" ht="13.2">
      <c r="AV2" s="25"/>
      <c r="AW2" s="25"/>
      <c r="AX2" s="25"/>
      <c r="AY2" s="26"/>
      <c r="AZ2" s="24" t="s">
        <v>14</v>
      </c>
      <c r="BA2" s="28">
        <v>20</v>
      </c>
      <c r="BB2" s="24" t="s">
        <v>26</v>
      </c>
      <c r="BC2" s="24"/>
      <c r="BD2" s="24"/>
      <c r="BE2" s="24"/>
      <c r="BF2" s="24"/>
      <c r="BG2" s="24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39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</row>
    <row r="3" spans="48:123" ht="13.2">
      <c r="AV3" s="25" t="s">
        <v>25</v>
      </c>
      <c r="AW3" s="25"/>
      <c r="AX3" s="25"/>
      <c r="AY3" s="26"/>
      <c r="AZ3" s="26" t="s">
        <v>17</v>
      </c>
      <c r="BA3" s="26" t="s">
        <v>18</v>
      </c>
      <c r="BB3" s="26"/>
      <c r="BC3" s="26"/>
      <c r="BD3" s="24"/>
      <c r="BE3" s="24"/>
      <c r="BF3" s="24"/>
      <c r="BG3" s="24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39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</row>
    <row r="4" spans="48:127" ht="13.2">
      <c r="AV4" s="20" t="s">
        <v>0</v>
      </c>
      <c r="AW4" s="20" t="s">
        <v>19</v>
      </c>
      <c r="AX4" s="20" t="s">
        <v>1</v>
      </c>
      <c r="AY4" s="20" t="s">
        <v>2</v>
      </c>
      <c r="AZ4" s="20" t="s">
        <v>22</v>
      </c>
      <c r="BA4" s="20" t="s">
        <v>20</v>
      </c>
      <c r="BB4" s="17" t="s">
        <v>27</v>
      </c>
      <c r="BC4" s="17" t="s">
        <v>3</v>
      </c>
      <c r="BD4" s="17" t="s">
        <v>28</v>
      </c>
      <c r="BE4" s="17" t="s">
        <v>29</v>
      </c>
      <c r="BF4" s="17" t="s">
        <v>30</v>
      </c>
      <c r="BG4" s="17" t="s">
        <v>6</v>
      </c>
      <c r="BH4" s="17" t="s">
        <v>31</v>
      </c>
      <c r="BI4" s="17" t="s">
        <v>32</v>
      </c>
      <c r="BJ4" s="17" t="s">
        <v>33</v>
      </c>
      <c r="BK4" s="17" t="s">
        <v>34</v>
      </c>
      <c r="BL4" s="17" t="s">
        <v>35</v>
      </c>
      <c r="BM4" s="17" t="s">
        <v>36</v>
      </c>
      <c r="BN4" s="17" t="s">
        <v>37</v>
      </c>
      <c r="BO4" s="20" t="s">
        <v>38</v>
      </c>
      <c r="BP4" s="20" t="s">
        <v>39</v>
      </c>
      <c r="BQ4" s="20" t="s">
        <v>24</v>
      </c>
      <c r="BR4" s="20" t="s">
        <v>40</v>
      </c>
      <c r="BS4" s="15" t="s">
        <v>41</v>
      </c>
      <c r="BT4" s="15" t="s">
        <v>42</v>
      </c>
      <c r="BU4" s="15" t="s">
        <v>43</v>
      </c>
      <c r="BV4" s="15" t="s">
        <v>44</v>
      </c>
      <c r="BW4" s="15" t="s">
        <v>45</v>
      </c>
      <c r="BX4" s="15" t="s">
        <v>46</v>
      </c>
      <c r="BY4" s="15" t="s">
        <v>47</v>
      </c>
      <c r="BZ4" s="15" t="s">
        <v>48</v>
      </c>
      <c r="CA4" s="15" t="s">
        <v>49</v>
      </c>
      <c r="CB4" s="15" t="s">
        <v>50</v>
      </c>
      <c r="CC4" s="15" t="s">
        <v>51</v>
      </c>
      <c r="CD4" s="15" t="s">
        <v>52</v>
      </c>
      <c r="CE4" s="15" t="s">
        <v>53</v>
      </c>
      <c r="CF4" s="15" t="s">
        <v>54</v>
      </c>
      <c r="CG4" s="15"/>
      <c r="CH4" s="15" t="s">
        <v>55</v>
      </c>
      <c r="CI4" s="15" t="s">
        <v>56</v>
      </c>
      <c r="CJ4" s="15" t="s">
        <v>57</v>
      </c>
      <c r="CK4" s="40" t="s">
        <v>58</v>
      </c>
      <c r="CL4" s="15" t="s">
        <v>59</v>
      </c>
      <c r="CM4" s="15" t="s">
        <v>60</v>
      </c>
      <c r="CN4" s="15" t="s">
        <v>61</v>
      </c>
      <c r="CO4" s="15" t="s">
        <v>62</v>
      </c>
      <c r="CP4" s="15" t="s">
        <v>63</v>
      </c>
      <c r="CQ4" s="15" t="s">
        <v>64</v>
      </c>
      <c r="CR4" s="15" t="s">
        <v>65</v>
      </c>
      <c r="CS4" s="15" t="s">
        <v>66</v>
      </c>
      <c r="CT4" s="15" t="s">
        <v>67</v>
      </c>
      <c r="CU4" s="15" t="s">
        <v>68</v>
      </c>
      <c r="CV4" s="15" t="s">
        <v>69</v>
      </c>
      <c r="CW4" s="15" t="s">
        <v>70</v>
      </c>
      <c r="CX4" s="15" t="s">
        <v>71</v>
      </c>
      <c r="CY4" s="15" t="s">
        <v>72</v>
      </c>
      <c r="CZ4" s="15" t="s">
        <v>73</v>
      </c>
      <c r="DA4" s="15" t="s">
        <v>74</v>
      </c>
      <c r="DB4" s="15" t="s">
        <v>75</v>
      </c>
      <c r="DC4" s="15" t="s">
        <v>76</v>
      </c>
      <c r="DD4" s="15" t="s">
        <v>77</v>
      </c>
      <c r="DE4" s="15" t="s">
        <v>78</v>
      </c>
      <c r="DF4" s="15" t="s">
        <v>79</v>
      </c>
      <c r="DG4" s="15" t="s">
        <v>80</v>
      </c>
      <c r="DH4" s="15" t="s">
        <v>81</v>
      </c>
      <c r="DI4" s="15" t="s">
        <v>82</v>
      </c>
      <c r="DJ4" s="15" t="s">
        <v>83</v>
      </c>
      <c r="DK4" s="15" t="s">
        <v>84</v>
      </c>
      <c r="DL4" s="15" t="s">
        <v>85</v>
      </c>
      <c r="DM4" s="15" t="s">
        <v>86</v>
      </c>
      <c r="DN4" s="15" t="s">
        <v>87</v>
      </c>
      <c r="DO4" s="15" t="s">
        <v>88</v>
      </c>
      <c r="DP4" s="15" t="s">
        <v>89</v>
      </c>
      <c r="DQ4" s="15" t="s">
        <v>90</v>
      </c>
      <c r="DR4" s="15" t="s">
        <v>91</v>
      </c>
      <c r="DS4" s="15" t="s">
        <v>92</v>
      </c>
      <c r="DT4" t="s">
        <v>125</v>
      </c>
      <c r="DU4" t="s">
        <v>137</v>
      </c>
      <c r="DV4" t="s">
        <v>147</v>
      </c>
      <c r="DW4" t="s">
        <v>148</v>
      </c>
    </row>
    <row r="5" spans="1:127" ht="17.4">
      <c r="A5" s="14" t="s">
        <v>116</v>
      </c>
      <c r="B5" s="14"/>
      <c r="C5" s="14"/>
      <c r="D5" s="14"/>
      <c r="E5" s="14"/>
      <c r="F5" s="14"/>
      <c r="AV5" t="s">
        <v>316</v>
      </c>
      <c r="AW5" s="21" t="s">
        <v>317</v>
      </c>
      <c r="AX5" s="21" t="s">
        <v>318</v>
      </c>
      <c r="AY5" s="21" t="s">
        <v>319</v>
      </c>
      <c r="AZ5" s="21" t="s">
        <v>320</v>
      </c>
      <c r="BA5" s="21" t="s">
        <v>321</v>
      </c>
      <c r="BC5" s="21" t="s">
        <v>322</v>
      </c>
      <c r="BD5" s="21" t="s">
        <v>142</v>
      </c>
      <c r="BE5" t="s">
        <v>323</v>
      </c>
      <c r="BF5" t="s">
        <v>324</v>
      </c>
      <c r="BH5" t="s">
        <v>325</v>
      </c>
      <c r="BI5" t="s">
        <v>326</v>
      </c>
      <c r="BJ5" t="s">
        <v>327</v>
      </c>
      <c r="BK5" t="s">
        <v>328</v>
      </c>
      <c r="BM5" t="s">
        <v>329</v>
      </c>
      <c r="BN5" t="s">
        <v>330</v>
      </c>
      <c r="BO5" s="15" t="s">
        <v>331</v>
      </c>
      <c r="BP5" s="19" t="s">
        <v>332</v>
      </c>
      <c r="BQ5" s="19"/>
      <c r="BR5" s="19" t="s">
        <v>333</v>
      </c>
      <c r="BS5" s="15" t="s">
        <v>327</v>
      </c>
      <c r="BT5" s="15" t="s">
        <v>334</v>
      </c>
      <c r="BU5" s="15"/>
      <c r="BV5" s="15"/>
      <c r="BW5" s="15"/>
      <c r="BX5" s="15"/>
      <c r="BY5" s="15" t="s">
        <v>335</v>
      </c>
      <c r="BZ5" s="15" t="s">
        <v>327</v>
      </c>
      <c r="CA5" s="15" t="s">
        <v>327</v>
      </c>
      <c r="CB5" s="15" t="s">
        <v>327</v>
      </c>
      <c r="CC5" s="15" t="s">
        <v>327</v>
      </c>
      <c r="CD5" s="15" t="s">
        <v>327</v>
      </c>
      <c r="CE5" s="15" t="s">
        <v>336</v>
      </c>
      <c r="CF5" s="15" t="s">
        <v>327</v>
      </c>
      <c r="CG5" s="15"/>
      <c r="CH5" s="15"/>
      <c r="CI5" s="15" t="s">
        <v>325</v>
      </c>
      <c r="CJ5" s="15" t="s">
        <v>326</v>
      </c>
      <c r="CK5" s="40" t="s">
        <v>327</v>
      </c>
      <c r="CL5" s="15" t="s">
        <v>328</v>
      </c>
      <c r="CM5" s="15"/>
      <c r="CN5" s="15" t="s">
        <v>329</v>
      </c>
      <c r="CO5" s="15" t="s">
        <v>330</v>
      </c>
      <c r="CP5" s="15" t="s">
        <v>331</v>
      </c>
      <c r="CQ5" s="15" t="s">
        <v>332</v>
      </c>
      <c r="CR5" s="15">
        <v>0</v>
      </c>
      <c r="CS5" s="15">
        <v>0</v>
      </c>
      <c r="CT5" s="15" t="s">
        <v>327</v>
      </c>
      <c r="CU5" s="15" t="s">
        <v>338</v>
      </c>
      <c r="CV5" s="15" t="s">
        <v>339</v>
      </c>
      <c r="CW5" s="15"/>
      <c r="CX5" s="15" t="s">
        <v>338</v>
      </c>
      <c r="CY5" s="15" t="s">
        <v>339</v>
      </c>
      <c r="CZ5" s="15" t="s">
        <v>341</v>
      </c>
      <c r="DA5" s="15" t="s">
        <v>340</v>
      </c>
      <c r="DB5" s="15" t="s">
        <v>334</v>
      </c>
      <c r="DC5" s="15"/>
      <c r="DD5" s="15"/>
      <c r="DE5" s="15"/>
      <c r="DF5" s="15"/>
      <c r="DG5" s="15" t="s">
        <v>342</v>
      </c>
      <c r="DH5" s="15">
        <v>0</v>
      </c>
      <c r="DI5" s="15">
        <v>3503.5</v>
      </c>
      <c r="DJ5" s="15" t="s">
        <v>337</v>
      </c>
      <c r="DK5" s="15" t="s">
        <v>333</v>
      </c>
      <c r="DL5" s="15" t="s">
        <v>327</v>
      </c>
      <c r="DM5" s="15">
        <v>0</v>
      </c>
      <c r="DN5" s="15">
        <v>0</v>
      </c>
      <c r="DO5" s="15">
        <v>0</v>
      </c>
      <c r="DP5" s="15">
        <v>0</v>
      </c>
      <c r="DQ5" s="15">
        <v>3853.8499</v>
      </c>
      <c r="DR5" s="15" t="s">
        <v>343</v>
      </c>
      <c r="DS5" s="15" t="s">
        <v>344</v>
      </c>
      <c r="DT5" t="s">
        <v>298</v>
      </c>
      <c r="DU5" t="s">
        <v>345</v>
      </c>
      <c r="DW5">
        <v>-198429</v>
      </c>
    </row>
    <row r="6" spans="1:123" ht="13.2">
      <c r="A6" s="29" t="s">
        <v>117</v>
      </c>
      <c r="B6" s="29" t="s">
        <v>118</v>
      </c>
      <c r="C6" s="29" t="s">
        <v>119</v>
      </c>
      <c r="D6" s="29" t="s">
        <v>120</v>
      </c>
      <c r="E6" s="29" t="s">
        <v>121</v>
      </c>
      <c r="F6" s="29" t="s">
        <v>122</v>
      </c>
      <c r="AV6" s="15"/>
      <c r="AW6" s="15"/>
      <c r="AX6" s="15"/>
      <c r="AY6" s="19"/>
      <c r="AZ6" s="19"/>
      <c r="BA6" s="15"/>
      <c r="BO6" s="15"/>
      <c r="BP6" s="15"/>
      <c r="BQ6" s="15"/>
      <c r="BR6" s="15"/>
      <c r="BS6" s="15"/>
      <c r="BT6" s="19"/>
      <c r="BU6" s="19"/>
      <c r="BV6" s="19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40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</row>
    <row r="7" spans="1:123" ht="13.2">
      <c r="A7" s="32" t="s">
        <v>146</v>
      </c>
      <c r="B7" s="32">
        <v>11</v>
      </c>
      <c r="C7" s="32">
        <v>20</v>
      </c>
      <c r="D7" s="32" t="s">
        <v>315</v>
      </c>
      <c r="E7" s="32" t="b">
        <v>1</v>
      </c>
      <c r="F7" s="32">
        <v>1</v>
      </c>
      <c r="AV7" s="15"/>
      <c r="AW7" s="15"/>
      <c r="AX7" s="15"/>
      <c r="AY7" s="15"/>
      <c r="AZ7" s="15"/>
      <c r="BA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40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</row>
    <row r="8" spans="1:123" ht="13.2">
      <c r="A8" s="32" t="s">
        <v>159</v>
      </c>
      <c r="B8" s="32">
        <v>11</v>
      </c>
      <c r="C8" s="32">
        <v>20</v>
      </c>
      <c r="D8" s="32" t="s">
        <v>307</v>
      </c>
      <c r="E8" s="32" t="b">
        <v>1</v>
      </c>
      <c r="F8" s="32">
        <v>1</v>
      </c>
      <c r="AV8" s="15"/>
      <c r="AW8" s="15"/>
      <c r="AX8" s="15"/>
      <c r="AY8" s="15"/>
      <c r="AZ8" s="15"/>
      <c r="BA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40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</row>
    <row r="9" spans="1:123" ht="13.2">
      <c r="A9" s="32" t="s">
        <v>225</v>
      </c>
      <c r="B9" s="32">
        <v>11</v>
      </c>
      <c r="C9" s="32">
        <v>20</v>
      </c>
      <c r="D9" s="32" t="s">
        <v>228</v>
      </c>
      <c r="E9" s="32" t="b">
        <v>1</v>
      </c>
      <c r="F9" s="32">
        <v>1</v>
      </c>
      <c r="AV9" s="15"/>
      <c r="AW9" s="15"/>
      <c r="AX9" s="15"/>
      <c r="AY9" s="15"/>
      <c r="AZ9" s="15"/>
      <c r="BA9" s="15"/>
      <c r="BP9" s="15"/>
      <c r="BQ9" s="15"/>
      <c r="BR9" s="15"/>
      <c r="BS9" s="15"/>
      <c r="BT9" s="15"/>
      <c r="BU9" s="15"/>
      <c r="BV9" s="15"/>
      <c r="BW9" s="15"/>
      <c r="BX9" s="16"/>
      <c r="BY9" s="16"/>
      <c r="BZ9" s="16"/>
      <c r="CA9" s="16"/>
      <c r="CB9" s="15"/>
      <c r="CC9" s="15"/>
      <c r="CD9" s="15"/>
      <c r="CE9" s="15"/>
      <c r="CF9" s="15"/>
      <c r="CG9" s="15"/>
      <c r="CH9" s="15"/>
      <c r="CI9" s="15"/>
      <c r="CJ9" s="15"/>
      <c r="CK9" s="40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</row>
    <row r="10" spans="1:123" ht="13.2">
      <c r="A10" s="32" t="s">
        <v>299</v>
      </c>
      <c r="B10" s="32">
        <v>8</v>
      </c>
      <c r="C10" s="32">
        <v>17</v>
      </c>
      <c r="D10" s="32" t="s">
        <v>298</v>
      </c>
      <c r="E10" s="32" t="b">
        <v>1</v>
      </c>
      <c r="F10" s="32">
        <v>1</v>
      </c>
      <c r="AV10" s="17" t="s">
        <v>0</v>
      </c>
      <c r="AW10" s="17" t="s">
        <v>13</v>
      </c>
      <c r="AX10" s="17" t="s">
        <v>93</v>
      </c>
      <c r="AY10" s="17" t="s">
        <v>1</v>
      </c>
      <c r="AZ10" s="17" t="s">
        <v>94</v>
      </c>
      <c r="BA10" s="17" t="s">
        <v>95</v>
      </c>
      <c r="BB10" s="17" t="s">
        <v>96</v>
      </c>
      <c r="BC10" s="17" t="s">
        <v>6</v>
      </c>
      <c r="BD10" s="17" t="s">
        <v>97</v>
      </c>
      <c r="BE10" s="17" t="s">
        <v>98</v>
      </c>
      <c r="BF10" s="17" t="s">
        <v>99</v>
      </c>
      <c r="BG10" s="17" t="s">
        <v>82</v>
      </c>
      <c r="BH10" s="17" t="s">
        <v>100</v>
      </c>
      <c r="BI10" s="17" t="s">
        <v>101</v>
      </c>
      <c r="BJ10" s="17" t="s">
        <v>102</v>
      </c>
      <c r="BK10" s="17" t="s">
        <v>103</v>
      </c>
      <c r="BL10" s="17" t="s">
        <v>104</v>
      </c>
      <c r="BM10" s="17" t="s">
        <v>105</v>
      </c>
      <c r="BN10" t="s">
        <v>106</v>
      </c>
      <c r="BO10" s="17" t="s">
        <v>107</v>
      </c>
      <c r="BP10" s="17" t="s">
        <v>108</v>
      </c>
      <c r="BQ10" s="17" t="s">
        <v>109</v>
      </c>
      <c r="BR10" s="17" t="s">
        <v>110</v>
      </c>
      <c r="BS10" s="17" t="s">
        <v>111</v>
      </c>
      <c r="BT10" s="16" t="s">
        <v>126</v>
      </c>
      <c r="BU10" s="16" t="s">
        <v>127</v>
      </c>
      <c r="BV10" s="16" t="s">
        <v>128</v>
      </c>
      <c r="BW10" s="16" t="s">
        <v>131</v>
      </c>
      <c r="BX10" s="16"/>
      <c r="BY10" s="16"/>
      <c r="BZ10" s="16"/>
      <c r="CA10" s="16" t="s">
        <v>112</v>
      </c>
      <c r="CB10" s="16" t="s">
        <v>0</v>
      </c>
      <c r="CC10" s="16" t="s">
        <v>0</v>
      </c>
      <c r="CD10" s="16" t="s">
        <v>21</v>
      </c>
      <c r="CE10" s="16" t="s">
        <v>112</v>
      </c>
      <c r="CF10" s="16" t="s">
        <v>0</v>
      </c>
      <c r="CG10" s="16" t="s">
        <v>0</v>
      </c>
      <c r="CH10" s="16" t="s">
        <v>21</v>
      </c>
      <c r="CI10" s="16" t="s">
        <v>1</v>
      </c>
      <c r="CJ10" s="16" t="s">
        <v>113</v>
      </c>
      <c r="CK10" s="41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</row>
    <row r="11" spans="1:123" ht="13.2">
      <c r="A11" s="32" t="s">
        <v>232</v>
      </c>
      <c r="B11" s="32">
        <v>3</v>
      </c>
      <c r="C11" s="32">
        <v>12</v>
      </c>
      <c r="D11" s="32" t="s">
        <v>312</v>
      </c>
      <c r="E11" s="32" t="b">
        <v>0</v>
      </c>
      <c r="F11" s="32">
        <v>0</v>
      </c>
      <c r="AV11" t="s">
        <v>346</v>
      </c>
      <c r="AW11">
        <v>1</v>
      </c>
      <c r="AX11" t="s">
        <v>347</v>
      </c>
      <c r="AY11" t="s">
        <v>348</v>
      </c>
      <c r="AZ11">
        <v>1</v>
      </c>
      <c r="BA11">
        <v>1310</v>
      </c>
      <c r="BB11">
        <v>2455</v>
      </c>
      <c r="BC11" t="s">
        <v>327</v>
      </c>
      <c r="BD11" t="s">
        <v>349</v>
      </c>
      <c r="BE11" t="s">
        <v>350</v>
      </c>
      <c r="BF11" s="47">
        <v>46266</v>
      </c>
      <c r="BG11">
        <v>1573.4904</v>
      </c>
      <c r="BH11">
        <v>0</v>
      </c>
      <c r="BI11">
        <v>157.3491</v>
      </c>
      <c r="BJ11">
        <v>1211.5</v>
      </c>
      <c r="BK11">
        <v>361.9901</v>
      </c>
      <c r="BL11">
        <v>654.9516</v>
      </c>
      <c r="BM11" t="s">
        <v>351</v>
      </c>
      <c r="BN11" t="s">
        <v>352</v>
      </c>
      <c r="BO11" t="s">
        <v>353</v>
      </c>
      <c r="BR11" s="21" t="s">
        <v>327</v>
      </c>
      <c r="BS11" s="18" t="s">
        <v>327</v>
      </c>
      <c r="BT11" s="18" t="s">
        <v>354</v>
      </c>
      <c r="BU11" s="18">
        <v>0</v>
      </c>
      <c r="BV11" s="18" t="s">
        <v>327</v>
      </c>
      <c r="BW11" s="18" t="s">
        <v>327</v>
      </c>
      <c r="BX11" s="18"/>
      <c r="BY11" s="18"/>
      <c r="BZ11" s="18"/>
      <c r="CA11" s="18"/>
      <c r="CB11" s="18"/>
      <c r="CC11" s="18"/>
      <c r="CD11" s="18"/>
      <c r="CE11" s="18" t="s">
        <v>355</v>
      </c>
      <c r="CF11" s="18" t="s">
        <v>356</v>
      </c>
      <c r="CG11" s="18" t="s">
        <v>356</v>
      </c>
      <c r="CH11" s="18" t="s">
        <v>346</v>
      </c>
      <c r="CI11" s="18" t="s">
        <v>357</v>
      </c>
      <c r="CJ11" s="18" t="s">
        <v>348</v>
      </c>
      <c r="CK11" s="42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</row>
    <row r="12" spans="1:123" ht="13.2">
      <c r="A12" s="32" t="s">
        <v>170</v>
      </c>
      <c r="B12" s="32">
        <v>11</v>
      </c>
      <c r="C12" s="32">
        <v>20</v>
      </c>
      <c r="D12" s="32" t="s">
        <v>171</v>
      </c>
      <c r="E12" s="32" t="b">
        <v>0</v>
      </c>
      <c r="F12" s="32">
        <v>2</v>
      </c>
      <c r="AV12" t="s">
        <v>415</v>
      </c>
      <c r="AW12">
        <v>2</v>
      </c>
      <c r="AX12" t="s">
        <v>347</v>
      </c>
      <c r="AY12" t="s">
        <v>416</v>
      </c>
      <c r="AZ12">
        <v>1</v>
      </c>
      <c r="BA12">
        <v>1280</v>
      </c>
      <c r="BB12">
        <v>2640</v>
      </c>
      <c r="BC12" t="s">
        <v>327</v>
      </c>
      <c r="BD12" t="s">
        <v>349</v>
      </c>
      <c r="BE12" t="s">
        <v>350</v>
      </c>
      <c r="BF12" s="47">
        <v>46266</v>
      </c>
      <c r="BG12">
        <v>965.0048</v>
      </c>
      <c r="BH12">
        <v>0</v>
      </c>
      <c r="BI12">
        <v>96.5004</v>
      </c>
      <c r="BJ12">
        <v>743</v>
      </c>
      <c r="BK12">
        <v>222.0046</v>
      </c>
      <c r="BL12">
        <v>637.6576</v>
      </c>
      <c r="BM12" t="s">
        <v>351</v>
      </c>
      <c r="BN12" t="s">
        <v>352</v>
      </c>
      <c r="BO12" t="s">
        <v>353</v>
      </c>
      <c r="BR12" s="21" t="s">
        <v>327</v>
      </c>
      <c r="BS12" s="18" t="s">
        <v>327</v>
      </c>
      <c r="BT12" s="18" t="s">
        <v>354</v>
      </c>
      <c r="BU12" s="18">
        <v>0</v>
      </c>
      <c r="BV12" s="18" t="s">
        <v>327</v>
      </c>
      <c r="BW12" s="18" t="s">
        <v>327</v>
      </c>
      <c r="BX12" s="18"/>
      <c r="BY12" s="18"/>
      <c r="BZ12" s="18"/>
      <c r="CA12" s="18"/>
      <c r="CB12" s="18"/>
      <c r="CC12" s="18"/>
      <c r="CD12" s="18"/>
      <c r="CE12" s="18" t="s">
        <v>358</v>
      </c>
      <c r="CF12" s="18" t="s">
        <v>359</v>
      </c>
      <c r="CG12" s="18" t="s">
        <v>359</v>
      </c>
      <c r="CH12" s="22" t="s">
        <v>346</v>
      </c>
      <c r="CI12" s="18" t="s">
        <v>360</v>
      </c>
      <c r="CJ12" s="22" t="s">
        <v>361</v>
      </c>
      <c r="CK12" s="42"/>
      <c r="CL12" s="22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</row>
    <row r="13" spans="1:123" ht="13.2">
      <c r="A13" s="32" t="s">
        <v>141</v>
      </c>
      <c r="B13" s="32">
        <v>0</v>
      </c>
      <c r="C13" s="32">
        <v>0</v>
      </c>
      <c r="D13" s="32" t="s">
        <v>142</v>
      </c>
      <c r="E13" s="32" t="b">
        <v>0</v>
      </c>
      <c r="F13" s="32">
        <v>0</v>
      </c>
      <c r="AV13" t="s">
        <v>451</v>
      </c>
      <c r="AW13">
        <v>3</v>
      </c>
      <c r="AX13" t="s">
        <v>347</v>
      </c>
      <c r="AY13" t="s">
        <v>452</v>
      </c>
      <c r="AZ13">
        <v>1</v>
      </c>
      <c r="BA13">
        <v>1280</v>
      </c>
      <c r="BB13">
        <v>2640</v>
      </c>
      <c r="BC13" t="s">
        <v>327</v>
      </c>
      <c r="BD13" t="s">
        <v>349</v>
      </c>
      <c r="BE13" t="s">
        <v>350</v>
      </c>
      <c r="BF13" s="47">
        <v>46266</v>
      </c>
      <c r="BG13">
        <v>965.0048</v>
      </c>
      <c r="BH13">
        <v>0</v>
      </c>
      <c r="BI13">
        <v>96.5004</v>
      </c>
      <c r="BJ13">
        <v>743</v>
      </c>
      <c r="BK13">
        <v>222.0046</v>
      </c>
      <c r="BL13">
        <v>637.6576</v>
      </c>
      <c r="BM13" t="s">
        <v>351</v>
      </c>
      <c r="BN13" t="s">
        <v>352</v>
      </c>
      <c r="BO13" t="s">
        <v>353</v>
      </c>
      <c r="BR13" s="21" t="s">
        <v>327</v>
      </c>
      <c r="BS13" s="18" t="s">
        <v>327</v>
      </c>
      <c r="BT13" s="18" t="s">
        <v>354</v>
      </c>
      <c r="BU13" s="18">
        <v>0</v>
      </c>
      <c r="BV13" s="18" t="s">
        <v>327</v>
      </c>
      <c r="BW13" s="18" t="s">
        <v>327</v>
      </c>
      <c r="BX13" s="18"/>
      <c r="BY13" s="18"/>
      <c r="BZ13" s="18"/>
      <c r="CA13" s="18"/>
      <c r="CB13" s="18"/>
      <c r="CC13" s="18"/>
      <c r="CD13" s="18"/>
      <c r="CE13" s="18" t="s">
        <v>362</v>
      </c>
      <c r="CF13" s="18" t="s">
        <v>363</v>
      </c>
      <c r="CG13" s="18" t="s">
        <v>363</v>
      </c>
      <c r="CH13" s="22" t="s">
        <v>346</v>
      </c>
      <c r="CI13" s="18" t="s">
        <v>364</v>
      </c>
      <c r="CJ13" s="22" t="s">
        <v>365</v>
      </c>
      <c r="CK13" s="42"/>
      <c r="CL13" s="22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</row>
    <row r="14" spans="1:123" ht="13.2">
      <c r="A14" s="32"/>
      <c r="B14" s="32"/>
      <c r="C14" s="32"/>
      <c r="D14" s="32"/>
      <c r="E14" s="32"/>
      <c r="F14" s="32"/>
      <c r="BF14" s="47"/>
      <c r="BR14" s="21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 t="s">
        <v>366</v>
      </c>
      <c r="CF14" s="18" t="s">
        <v>367</v>
      </c>
      <c r="CG14" s="18" t="s">
        <v>367</v>
      </c>
      <c r="CH14" s="22" t="s">
        <v>346</v>
      </c>
      <c r="CI14" s="18" t="s">
        <v>368</v>
      </c>
      <c r="CJ14" s="22" t="s">
        <v>369</v>
      </c>
      <c r="CK14" s="42"/>
      <c r="CL14" s="22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</row>
    <row r="15" spans="1:123" ht="13.2">
      <c r="A15" s="32"/>
      <c r="B15" s="32"/>
      <c r="C15" s="32"/>
      <c r="D15" s="32"/>
      <c r="E15" s="32"/>
      <c r="F15" s="32"/>
      <c r="BF15" s="47"/>
      <c r="BR15" s="21"/>
      <c r="BS15" s="18"/>
      <c r="BT15" s="22"/>
      <c r="BU15" s="22"/>
      <c r="BV15" s="18"/>
      <c r="BW15" s="18"/>
      <c r="BX15" s="18"/>
      <c r="BY15" s="18"/>
      <c r="BZ15" s="18"/>
      <c r="CA15" s="18"/>
      <c r="CB15" s="18"/>
      <c r="CC15" s="18"/>
      <c r="CD15" s="18"/>
      <c r="CE15" s="18" t="s">
        <v>370</v>
      </c>
      <c r="CF15" s="18" t="s">
        <v>371</v>
      </c>
      <c r="CG15" s="18" t="s">
        <v>371</v>
      </c>
      <c r="CH15" s="18" t="s">
        <v>346</v>
      </c>
      <c r="CI15" s="18" t="s">
        <v>372</v>
      </c>
      <c r="CJ15" s="18" t="s">
        <v>373</v>
      </c>
      <c r="CK15" s="42"/>
      <c r="CL15" s="18"/>
      <c r="CM15" s="22"/>
      <c r="CN15" s="22"/>
      <c r="CO15" s="22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</row>
    <row r="16" spans="1:123" ht="13.2">
      <c r="A16" s="32"/>
      <c r="B16" s="32"/>
      <c r="C16" s="32"/>
      <c r="D16" s="32"/>
      <c r="E16" s="32"/>
      <c r="F16" s="32"/>
      <c r="BF16" s="47"/>
      <c r="BR16" s="21"/>
      <c r="BS16" s="18"/>
      <c r="BT16" s="22"/>
      <c r="BU16" s="22"/>
      <c r="BV16" s="18"/>
      <c r="BW16" s="18"/>
      <c r="BX16" s="18"/>
      <c r="BY16" s="18"/>
      <c r="BZ16" s="18"/>
      <c r="CA16" s="18"/>
      <c r="CB16" s="18"/>
      <c r="CC16" s="18"/>
      <c r="CD16" s="18"/>
      <c r="CE16" s="18" t="s">
        <v>374</v>
      </c>
      <c r="CF16" s="18" t="s">
        <v>375</v>
      </c>
      <c r="CG16" s="18" t="s">
        <v>375</v>
      </c>
      <c r="CH16" s="18" t="s">
        <v>346</v>
      </c>
      <c r="CI16" s="18" t="s">
        <v>376</v>
      </c>
      <c r="CJ16" s="18" t="s">
        <v>377</v>
      </c>
      <c r="CK16" s="42"/>
      <c r="CL16" s="18"/>
      <c r="CM16" s="22"/>
      <c r="CN16" s="22"/>
      <c r="CO16" s="22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</row>
    <row r="17" spans="1:123" ht="13.2">
      <c r="A17" s="32"/>
      <c r="B17" s="32"/>
      <c r="C17" s="32"/>
      <c r="D17" s="32"/>
      <c r="E17" s="32"/>
      <c r="F17" s="32"/>
      <c r="BF17" s="47"/>
      <c r="BR17" s="21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 t="s">
        <v>378</v>
      </c>
      <c r="CF17" s="18" t="s">
        <v>379</v>
      </c>
      <c r="CG17" s="18" t="s">
        <v>379</v>
      </c>
      <c r="CH17" s="18" t="s">
        <v>346</v>
      </c>
      <c r="CI17" s="18" t="s">
        <v>380</v>
      </c>
      <c r="CJ17" s="18" t="s">
        <v>353</v>
      </c>
      <c r="CK17" s="42"/>
      <c r="CL17" s="18"/>
      <c r="CM17" s="22"/>
      <c r="CN17" s="22"/>
      <c r="CO17" s="22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</row>
    <row r="18" spans="1:123" ht="13.2">
      <c r="A18" s="32"/>
      <c r="B18" s="32"/>
      <c r="C18" s="32"/>
      <c r="D18" s="32"/>
      <c r="E18" s="32"/>
      <c r="F18" s="32"/>
      <c r="BF18" s="47"/>
      <c r="BR18" s="21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 t="s">
        <v>381</v>
      </c>
      <c r="CF18" s="18" t="s">
        <v>382</v>
      </c>
      <c r="CG18" s="18" t="s">
        <v>382</v>
      </c>
      <c r="CH18" s="18" t="s">
        <v>346</v>
      </c>
      <c r="CI18" s="18" t="s">
        <v>383</v>
      </c>
      <c r="CJ18" s="18" t="s">
        <v>384</v>
      </c>
      <c r="CK18" s="42"/>
      <c r="CL18" s="18"/>
      <c r="CM18" s="22"/>
      <c r="CN18" s="22"/>
      <c r="CO18" s="22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</row>
    <row r="19" spans="1:123" ht="13.2">
      <c r="A19" s="32"/>
      <c r="B19" s="32"/>
      <c r="C19" s="32"/>
      <c r="D19" s="32"/>
      <c r="E19" s="32"/>
      <c r="F19" s="32"/>
      <c r="BF19" s="47"/>
      <c r="BR19" s="21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 t="s">
        <v>385</v>
      </c>
      <c r="CF19" s="18" t="s">
        <v>386</v>
      </c>
      <c r="CG19" s="18" t="s">
        <v>386</v>
      </c>
      <c r="CH19" s="18" t="s">
        <v>346</v>
      </c>
      <c r="CI19" s="18" t="s">
        <v>387</v>
      </c>
      <c r="CJ19" s="18" t="s">
        <v>181</v>
      </c>
      <c r="CK19" s="42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</row>
    <row r="20" spans="1:123" ht="13.2">
      <c r="A20" s="32"/>
      <c r="B20" s="32"/>
      <c r="C20" s="32"/>
      <c r="D20" s="32"/>
      <c r="E20" s="32"/>
      <c r="F20" s="32"/>
      <c r="BF20" s="47"/>
      <c r="BR20" s="21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 t="s">
        <v>388</v>
      </c>
      <c r="CF20" s="18" t="s">
        <v>389</v>
      </c>
      <c r="CG20" s="18" t="s">
        <v>389</v>
      </c>
      <c r="CH20" s="18" t="s">
        <v>346</v>
      </c>
      <c r="CI20" s="18" t="s">
        <v>390</v>
      </c>
      <c r="CJ20" s="18" t="s">
        <v>391</v>
      </c>
      <c r="CK20" s="42">
        <v>42.5355</v>
      </c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</row>
    <row r="21" spans="1:123" ht="13.2">
      <c r="A21" s="32"/>
      <c r="B21" s="32"/>
      <c r="C21" s="32"/>
      <c r="D21" s="32"/>
      <c r="E21" s="32"/>
      <c r="F21" s="32"/>
      <c r="BF21" s="47"/>
      <c r="BR21" s="21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 t="s">
        <v>392</v>
      </c>
      <c r="CF21" s="18" t="s">
        <v>393</v>
      </c>
      <c r="CG21" s="18" t="s">
        <v>393</v>
      </c>
      <c r="CH21" s="18" t="s">
        <v>346</v>
      </c>
      <c r="CI21" s="18" t="s">
        <v>394</v>
      </c>
      <c r="CJ21" s="18" t="s">
        <v>391</v>
      </c>
      <c r="CK21" s="42">
        <v>79.7136</v>
      </c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</row>
    <row r="22" spans="48:89" ht="13.2">
      <c r="BF22" s="47"/>
      <c r="BR22" s="21"/>
      <c r="CE22" t="s">
        <v>395</v>
      </c>
      <c r="CF22" t="s">
        <v>396</v>
      </c>
      <c r="CG22" t="s">
        <v>396</v>
      </c>
      <c r="CH22" t="s">
        <v>346</v>
      </c>
      <c r="CI22" t="s">
        <v>397</v>
      </c>
      <c r="CJ22" t="s">
        <v>391</v>
      </c>
      <c r="CK22" s="43">
        <v>79.7136</v>
      </c>
    </row>
    <row r="23" spans="48:88" ht="13.2">
      <c r="BF23" s="47"/>
      <c r="CE23" t="s">
        <v>398</v>
      </c>
      <c r="CF23" t="s">
        <v>399</v>
      </c>
      <c r="CG23" t="s">
        <v>399</v>
      </c>
      <c r="CH23" t="s">
        <v>346</v>
      </c>
      <c r="CI23" t="s">
        <v>400</v>
      </c>
      <c r="CJ23" t="s">
        <v>133</v>
      </c>
    </row>
    <row r="24" spans="48:89" ht="13.2">
      <c r="BF24" s="47"/>
      <c r="CE24" t="s">
        <v>401</v>
      </c>
      <c r="CF24" t="s">
        <v>402</v>
      </c>
      <c r="CG24" t="s">
        <v>402</v>
      </c>
      <c r="CH24" t="s">
        <v>346</v>
      </c>
      <c r="CI24" t="s">
        <v>403</v>
      </c>
      <c r="CJ24" t="s">
        <v>404</v>
      </c>
      <c r="CK24" s="43">
        <v>181.8313</v>
      </c>
    </row>
    <row r="25" spans="48:88" ht="13.2">
      <c r="BF25" s="47"/>
      <c r="CE25" t="s">
        <v>405</v>
      </c>
      <c r="CF25" t="s">
        <v>406</v>
      </c>
      <c r="CG25" t="s">
        <v>406</v>
      </c>
      <c r="CH25" t="s">
        <v>346</v>
      </c>
      <c r="CI25" t="s">
        <v>407</v>
      </c>
      <c r="CJ25" t="s">
        <v>408</v>
      </c>
    </row>
    <row r="26" spans="48:88" ht="13.2">
      <c r="BF26" s="21"/>
      <c r="CE26" t="s">
        <v>409</v>
      </c>
      <c r="CF26" t="s">
        <v>410</v>
      </c>
      <c r="CG26" t="s">
        <v>410</v>
      </c>
      <c r="CH26" t="s">
        <v>346</v>
      </c>
      <c r="CI26" t="s">
        <v>411</v>
      </c>
      <c r="CJ26" t="s">
        <v>133</v>
      </c>
    </row>
    <row r="27" spans="48:88" ht="22.8">
      <c r="AX27" s="18"/>
      <c r="AY27" s="18"/>
      <c r="AZ27" s="30"/>
      <c r="BA27" s="18"/>
      <c r="BF27" s="21"/>
      <c r="CE27" t="s">
        <v>412</v>
      </c>
      <c r="CF27" t="s">
        <v>413</v>
      </c>
      <c r="CG27" t="s">
        <v>413</v>
      </c>
      <c r="CH27" t="s">
        <v>346</v>
      </c>
      <c r="CI27" t="s">
        <v>414</v>
      </c>
      <c r="CJ27" t="s">
        <v>133</v>
      </c>
    </row>
    <row r="28" spans="48:88" ht="22.8">
      <c r="AX28" s="18"/>
      <c r="AY28" s="18"/>
      <c r="AZ28" s="30"/>
      <c r="BF28" s="21"/>
      <c r="CE28" t="s">
        <v>417</v>
      </c>
      <c r="CF28" t="s">
        <v>418</v>
      </c>
      <c r="CG28" t="s">
        <v>418</v>
      </c>
      <c r="CH28" t="s">
        <v>415</v>
      </c>
      <c r="CI28" t="s">
        <v>357</v>
      </c>
      <c r="CJ28" t="s">
        <v>416</v>
      </c>
    </row>
    <row r="29" spans="48:88" ht="13.2">
      <c r="BF29" s="21"/>
      <c r="CE29" t="s">
        <v>419</v>
      </c>
      <c r="CF29" t="s">
        <v>420</v>
      </c>
      <c r="CG29" t="s">
        <v>420</v>
      </c>
      <c r="CH29" t="s">
        <v>415</v>
      </c>
      <c r="CI29" t="s">
        <v>360</v>
      </c>
      <c r="CJ29" t="s">
        <v>421</v>
      </c>
    </row>
    <row r="30" spans="48:88" ht="13.2">
      <c r="BF30" s="21"/>
      <c r="CE30" t="s">
        <v>422</v>
      </c>
      <c r="CF30" t="s">
        <v>423</v>
      </c>
      <c r="CG30" t="s">
        <v>423</v>
      </c>
      <c r="CH30" t="s">
        <v>415</v>
      </c>
      <c r="CI30" t="s">
        <v>364</v>
      </c>
      <c r="CJ30" t="s">
        <v>424</v>
      </c>
    </row>
    <row r="31" spans="48:88" ht="13.2">
      <c r="BF31" s="21"/>
      <c r="CE31" t="s">
        <v>425</v>
      </c>
      <c r="CF31" t="s">
        <v>426</v>
      </c>
      <c r="CG31" t="s">
        <v>426</v>
      </c>
      <c r="CH31" t="s">
        <v>415</v>
      </c>
      <c r="CI31" t="s">
        <v>368</v>
      </c>
      <c r="CJ31" t="s">
        <v>369</v>
      </c>
    </row>
    <row r="32" spans="48:88" ht="13.2">
      <c r="BF32" s="21"/>
      <c r="CE32" t="s">
        <v>427</v>
      </c>
      <c r="CF32" t="s">
        <v>428</v>
      </c>
      <c r="CG32" t="s">
        <v>428</v>
      </c>
      <c r="CH32" t="s">
        <v>415</v>
      </c>
      <c r="CI32" t="s">
        <v>372</v>
      </c>
      <c r="CJ32" t="s">
        <v>373</v>
      </c>
    </row>
    <row r="33" spans="48:88" ht="13.2">
      <c r="CE33" t="s">
        <v>429</v>
      </c>
      <c r="CF33" t="s">
        <v>430</v>
      </c>
      <c r="CG33" t="s">
        <v>430</v>
      </c>
      <c r="CH33" t="s">
        <v>415</v>
      </c>
      <c r="CI33" t="s">
        <v>376</v>
      </c>
      <c r="CJ33" t="s">
        <v>377</v>
      </c>
    </row>
    <row r="34" spans="48:88" ht="13.2">
      <c r="CE34" t="s">
        <v>431</v>
      </c>
      <c r="CF34" t="s">
        <v>432</v>
      </c>
      <c r="CG34" t="s">
        <v>432</v>
      </c>
      <c r="CH34" t="s">
        <v>415</v>
      </c>
      <c r="CI34" t="s">
        <v>380</v>
      </c>
      <c r="CJ34" t="s">
        <v>353</v>
      </c>
    </row>
    <row r="35" spans="48:88" ht="13.2">
      <c r="CE35" t="s">
        <v>433</v>
      </c>
      <c r="CF35" t="s">
        <v>434</v>
      </c>
      <c r="CG35" t="s">
        <v>434</v>
      </c>
      <c r="CH35" t="s">
        <v>415</v>
      </c>
      <c r="CI35" t="s">
        <v>383</v>
      </c>
      <c r="CJ35" t="s">
        <v>384</v>
      </c>
    </row>
    <row r="36" spans="48:88" ht="13.2">
      <c r="CE36" t="s">
        <v>435</v>
      </c>
      <c r="CF36" t="s">
        <v>436</v>
      </c>
      <c r="CG36" t="s">
        <v>436</v>
      </c>
      <c r="CH36" t="s">
        <v>415</v>
      </c>
      <c r="CI36" t="s">
        <v>387</v>
      </c>
      <c r="CJ36" t="s">
        <v>215</v>
      </c>
    </row>
    <row r="37" spans="48:89" ht="13.2">
      <c r="CE37" t="s">
        <v>437</v>
      </c>
      <c r="CF37" t="s">
        <v>438</v>
      </c>
      <c r="CG37" t="s">
        <v>438</v>
      </c>
      <c r="CH37" t="s">
        <v>415</v>
      </c>
      <c r="CI37" t="s">
        <v>390</v>
      </c>
      <c r="CJ37" t="s">
        <v>391</v>
      </c>
      <c r="CK37" s="43">
        <v>41.5614</v>
      </c>
    </row>
    <row r="38" spans="48:89" ht="13.2">
      <c r="CE38" t="s">
        <v>439</v>
      </c>
      <c r="CF38" t="s">
        <v>440</v>
      </c>
      <c r="CG38" t="s">
        <v>440</v>
      </c>
      <c r="CH38" t="s">
        <v>415</v>
      </c>
      <c r="CI38" t="s">
        <v>397</v>
      </c>
      <c r="CJ38" t="s">
        <v>391</v>
      </c>
      <c r="CK38" s="43">
        <v>85.7205</v>
      </c>
    </row>
    <row r="39" spans="48:88" ht="13.2">
      <c r="CE39" t="s">
        <v>441</v>
      </c>
      <c r="CF39" t="s">
        <v>442</v>
      </c>
      <c r="CG39" t="s">
        <v>442</v>
      </c>
      <c r="CH39" t="s">
        <v>415</v>
      </c>
      <c r="CI39" t="s">
        <v>400</v>
      </c>
      <c r="CJ39" t="s">
        <v>133</v>
      </c>
    </row>
    <row r="40" spans="48:89" ht="13.2">
      <c r="CE40" t="s">
        <v>443</v>
      </c>
      <c r="CF40" t="s">
        <v>444</v>
      </c>
      <c r="CG40" t="s">
        <v>444</v>
      </c>
      <c r="CH40" t="s">
        <v>415</v>
      </c>
      <c r="CI40" t="s">
        <v>403</v>
      </c>
      <c r="CJ40" t="s">
        <v>404</v>
      </c>
      <c r="CK40" s="43">
        <v>181.8313</v>
      </c>
    </row>
    <row r="41" spans="48:88" ht="13.2">
      <c r="CE41" t="s">
        <v>445</v>
      </c>
      <c r="CF41" t="s">
        <v>446</v>
      </c>
      <c r="CG41" t="s">
        <v>446</v>
      </c>
      <c r="CH41" t="s">
        <v>415</v>
      </c>
      <c r="CI41" t="s">
        <v>407</v>
      </c>
      <c r="CJ41" t="s">
        <v>408</v>
      </c>
    </row>
    <row r="42" spans="48:88" ht="13.2">
      <c r="CE42" t="s">
        <v>447</v>
      </c>
      <c r="CF42" t="s">
        <v>448</v>
      </c>
      <c r="CG42" t="s">
        <v>448</v>
      </c>
      <c r="CH42" t="s">
        <v>415</v>
      </c>
      <c r="CI42" t="s">
        <v>411</v>
      </c>
      <c r="CJ42" t="s">
        <v>133</v>
      </c>
    </row>
    <row r="43" spans="48:88" ht="13.2">
      <c r="CE43" t="s">
        <v>449</v>
      </c>
      <c r="CF43" t="s">
        <v>450</v>
      </c>
      <c r="CG43" t="s">
        <v>450</v>
      </c>
      <c r="CH43" t="s">
        <v>415</v>
      </c>
      <c r="CI43" t="s">
        <v>414</v>
      </c>
      <c r="CJ43" t="s">
        <v>133</v>
      </c>
    </row>
    <row r="44" spans="48:88" ht="13.2">
      <c r="CE44" t="s">
        <v>453</v>
      </c>
      <c r="CF44" t="s">
        <v>454</v>
      </c>
      <c r="CG44" t="s">
        <v>454</v>
      </c>
      <c r="CH44" t="s">
        <v>451</v>
      </c>
      <c r="CI44" t="s">
        <v>357</v>
      </c>
      <c r="CJ44" t="s">
        <v>452</v>
      </c>
    </row>
    <row r="45" spans="48:88" ht="13.2">
      <c r="CE45" t="s">
        <v>455</v>
      </c>
      <c r="CF45" t="s">
        <v>456</v>
      </c>
      <c r="CG45" t="s">
        <v>456</v>
      </c>
      <c r="CH45" t="s">
        <v>451</v>
      </c>
      <c r="CI45" t="s">
        <v>360</v>
      </c>
      <c r="CJ45" t="s">
        <v>421</v>
      </c>
    </row>
    <row r="46" spans="48:88" ht="13.2">
      <c r="CE46" t="s">
        <v>457</v>
      </c>
      <c r="CF46" t="s">
        <v>458</v>
      </c>
      <c r="CG46" t="s">
        <v>458</v>
      </c>
      <c r="CH46" t="s">
        <v>451</v>
      </c>
      <c r="CI46" t="s">
        <v>364</v>
      </c>
      <c r="CJ46" t="s">
        <v>424</v>
      </c>
    </row>
    <row r="47" spans="48:88" ht="13.2">
      <c r="CE47" t="s">
        <v>459</v>
      </c>
      <c r="CF47" t="s">
        <v>460</v>
      </c>
      <c r="CG47" t="s">
        <v>460</v>
      </c>
      <c r="CH47" t="s">
        <v>451</v>
      </c>
      <c r="CI47" t="s">
        <v>368</v>
      </c>
      <c r="CJ47" t="s">
        <v>369</v>
      </c>
    </row>
    <row r="48" spans="48:88" ht="13.2">
      <c r="CE48" t="s">
        <v>461</v>
      </c>
      <c r="CF48" t="s">
        <v>462</v>
      </c>
      <c r="CG48" t="s">
        <v>462</v>
      </c>
      <c r="CH48" t="s">
        <v>451</v>
      </c>
      <c r="CI48" t="s">
        <v>372</v>
      </c>
      <c r="CJ48" t="s">
        <v>373</v>
      </c>
    </row>
    <row r="49" spans="48:88" ht="13.2">
      <c r="CE49" t="s">
        <v>463</v>
      </c>
      <c r="CF49" t="s">
        <v>464</v>
      </c>
      <c r="CG49" t="s">
        <v>464</v>
      </c>
      <c r="CH49" t="s">
        <v>451</v>
      </c>
      <c r="CI49" t="s">
        <v>376</v>
      </c>
      <c r="CJ49" t="s">
        <v>377</v>
      </c>
    </row>
    <row r="50" spans="48:88" ht="13.2">
      <c r="CE50" t="s">
        <v>465</v>
      </c>
      <c r="CF50" t="s">
        <v>466</v>
      </c>
      <c r="CG50" t="s">
        <v>466</v>
      </c>
      <c r="CH50" t="s">
        <v>451</v>
      </c>
      <c r="CI50" t="s">
        <v>380</v>
      </c>
      <c r="CJ50" t="s">
        <v>353</v>
      </c>
    </row>
    <row r="51" spans="48:88" ht="13.2">
      <c r="CE51" t="s">
        <v>467</v>
      </c>
      <c r="CF51" t="s">
        <v>468</v>
      </c>
      <c r="CG51" t="s">
        <v>468</v>
      </c>
      <c r="CH51" t="s">
        <v>451</v>
      </c>
      <c r="CI51" t="s">
        <v>383</v>
      </c>
      <c r="CJ51" t="s">
        <v>384</v>
      </c>
    </row>
    <row r="52" spans="48:88" ht="13.2">
      <c r="CE52" t="s">
        <v>469</v>
      </c>
      <c r="CF52" t="s">
        <v>470</v>
      </c>
      <c r="CG52" t="s">
        <v>470</v>
      </c>
      <c r="CH52" t="s">
        <v>451</v>
      </c>
      <c r="CI52" t="s">
        <v>387</v>
      </c>
      <c r="CJ52" t="s">
        <v>215</v>
      </c>
    </row>
    <row r="53" spans="48:89" ht="13.2">
      <c r="CE53" t="s">
        <v>471</v>
      </c>
      <c r="CF53" t="s">
        <v>472</v>
      </c>
      <c r="CG53" t="s">
        <v>472</v>
      </c>
      <c r="CH53" t="s">
        <v>451</v>
      </c>
      <c r="CI53" t="s">
        <v>390</v>
      </c>
      <c r="CJ53" t="s">
        <v>391</v>
      </c>
      <c r="CK53" s="43">
        <v>41.5614</v>
      </c>
    </row>
    <row r="54" spans="48:89" ht="13.2">
      <c r="CE54" t="s">
        <v>473</v>
      </c>
      <c r="CF54" t="s">
        <v>474</v>
      </c>
      <c r="CG54" t="s">
        <v>474</v>
      </c>
      <c r="CH54" t="s">
        <v>451</v>
      </c>
      <c r="CI54" t="s">
        <v>397</v>
      </c>
      <c r="CJ54" t="s">
        <v>391</v>
      </c>
      <c r="CK54" s="43">
        <v>85.7205</v>
      </c>
    </row>
    <row r="55" spans="48:88" ht="13.2">
      <c r="CE55" t="s">
        <v>475</v>
      </c>
      <c r="CF55" t="s">
        <v>476</v>
      </c>
      <c r="CG55" t="s">
        <v>476</v>
      </c>
      <c r="CH55" t="s">
        <v>451</v>
      </c>
      <c r="CI55" t="s">
        <v>400</v>
      </c>
      <c r="CJ55" t="s">
        <v>133</v>
      </c>
    </row>
    <row r="56" spans="48:89" ht="13.2">
      <c r="CE56" t="s">
        <v>477</v>
      </c>
      <c r="CF56" t="s">
        <v>478</v>
      </c>
      <c r="CG56" t="s">
        <v>478</v>
      </c>
      <c r="CH56" t="s">
        <v>451</v>
      </c>
      <c r="CI56" t="s">
        <v>403</v>
      </c>
      <c r="CJ56" t="s">
        <v>404</v>
      </c>
      <c r="CK56" s="43">
        <v>181.8313</v>
      </c>
    </row>
    <row r="57" spans="48:88" ht="13.2">
      <c r="CE57" t="s">
        <v>479</v>
      </c>
      <c r="CF57" t="s">
        <v>480</v>
      </c>
      <c r="CG57" t="s">
        <v>480</v>
      </c>
      <c r="CH57" t="s">
        <v>451</v>
      </c>
      <c r="CI57" t="s">
        <v>407</v>
      </c>
      <c r="CJ57" t="s">
        <v>408</v>
      </c>
    </row>
    <row r="58" spans="48:88" ht="13.2">
      <c r="CE58" t="s">
        <v>481</v>
      </c>
      <c r="CF58" t="s">
        <v>482</v>
      </c>
      <c r="CG58" t="s">
        <v>482</v>
      </c>
      <c r="CH58" t="s">
        <v>451</v>
      </c>
      <c r="CI58" t="s">
        <v>411</v>
      </c>
      <c r="CJ58" t="s">
        <v>133</v>
      </c>
    </row>
    <row r="59" spans="48:88" ht="13.2">
      <c r="CE59" t="s">
        <v>483</v>
      </c>
      <c r="CF59" t="s">
        <v>484</v>
      </c>
      <c r="CG59" t="s">
        <v>484</v>
      </c>
      <c r="CH59" t="s">
        <v>451</v>
      </c>
      <c r="CI59" t="s">
        <v>414</v>
      </c>
      <c r="CJ59" t="s">
        <v>133</v>
      </c>
    </row>
    <row r="60" spans="48:88" ht="13.2">
      <c r="CE60" t="s">
        <v>485</v>
      </c>
      <c r="CF60" t="s">
        <v>486</v>
      </c>
      <c r="CG60" t="s">
        <v>486</v>
      </c>
      <c r="CH60" t="s">
        <v>487</v>
      </c>
      <c r="CI60" t="s">
        <v>488</v>
      </c>
      <c r="CJ60" t="s">
        <v>133</v>
      </c>
    </row>
    <row r="61" spans="48:74" ht="13.2"/>
    <row r="62" spans="48:74" ht="13.2"/>
    <row r="63" spans="48:74" ht="13.2"/>
    <row r="64" spans="48:74" ht="13.2"/>
    <row r="65" spans="48:74" ht="13.2"/>
    <row r="66" spans="48:74" ht="13.2"/>
    <row r="67" spans="48:74" ht="13.2"/>
    <row r="68" spans="48:74" ht="13.2"/>
    <row r="69" spans="48:74" ht="13.2"/>
    <row r="70" spans="48:74" ht="13.2"/>
    <row r="71" spans="48:74" ht="13.2"/>
    <row r="72" spans="48:74" ht="13.2"/>
    <row r="73" spans="48:74" ht="13.2"/>
    <row r="74" spans="48:74" ht="13.2"/>
    <row r="75" spans="48:74" ht="13.2"/>
    <row r="76" spans="48:74" ht="13.2"/>
    <row r="77" spans="48:74" ht="13.2"/>
    <row r="78" spans="48:74" ht="13.2"/>
    <row r="79" spans="48:74" ht="13.2"/>
    <row r="80" spans="48:74" ht="13.2"/>
    <row r="81" spans="48:74" ht="13.2"/>
    <row r="82" spans="48:74" ht="13.2"/>
    <row r="83" spans="48:74" ht="13.2"/>
    <row r="84" spans="48:74" ht="13.2"/>
    <row r="85" spans="48:74" ht="13.2"/>
    <row r="86" spans="48:74" ht="13.2"/>
    <row r="87" spans="48:74" ht="13.2"/>
    <row r="88" spans="48:74" ht="13.2"/>
    <row r="89" spans="48:74" ht="13.2"/>
    <row r="90" spans="48:74" ht="13.2"/>
    <row r="91" spans="48:74" ht="13.2"/>
    <row r="92" spans="48:74" ht="13.2"/>
    <row r="93" spans="48:74" ht="13.2"/>
    <row r="94" spans="48:74" ht="13.2"/>
    <row r="95" spans="48:74" ht="13.2"/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C894-A946-45CD-B51B-661B67AE39A9}">
  <sheetPr codeName="JobSheet1">
    <pageSetUpPr fitToPage="1"/>
  </sheetPr>
  <dimension ref="A1:AT20"/>
  <sheetViews>
    <sheetView showZeros="0" view="pageBreakPreview" zoomScale="55" zoomScaleNormal="25" zoomScaleSheetLayoutView="55" zoomScalePageLayoutView="25" workbookViewId="0" topLeftCell="P3">
      <selection pane="topLeft" activeCell="P11" sqref="A11:XFD20"/>
    </sheetView>
  </sheetViews>
  <sheetFormatPr defaultColWidth="9.44140625" defaultRowHeight="39.9" customHeight="1"/>
  <cols>
    <col min="1" max="1" width="10.4285714285714" style="46" customWidth="1"/>
    <col min="2" max="2" width="30.5714285714286" style="46" customWidth="1"/>
    <col min="3" max="3" width="17.5714285714286" style="46" customWidth="1"/>
    <col min="4" max="4" width="17.4285714285714" style="46" customWidth="1"/>
    <col min="5" max="5" width="17" style="46" bestFit="1" customWidth="1"/>
    <col min="6" max="6" width="21.2857142857143" style="46" customWidth="1"/>
    <col min="7" max="7" width="19" style="46" customWidth="1"/>
    <col min="8" max="8" width="15.2857142857143" style="46" customWidth="1"/>
    <col min="9" max="9" width="18.4285714285714" style="46" customWidth="1"/>
    <col min="10" max="10" width="26" style="34" customWidth="1"/>
    <col min="11" max="11" width="17.7142857142857" style="34" customWidth="1"/>
    <col min="12" max="14" width="17.7142857142857" style="46" customWidth="1"/>
    <col min="15" max="16" width="19" style="46" customWidth="1"/>
    <col min="17" max="17" width="17.7142857142857" style="35" customWidth="1"/>
    <col min="18" max="18" width="21.8571428571429" style="46" customWidth="1"/>
    <col min="19" max="19" width="15.7142857142857" style="46" customWidth="1"/>
    <col min="20" max="20" width="16.1428571428571" style="46" customWidth="1"/>
    <col min="21" max="21" width="22.8571428571429" customWidth="1"/>
    <col min="22" max="22" width="43.1428571428571" customWidth="1"/>
    <col min="23" max="23" width="4.28571428571429" customWidth="1"/>
    <col min="24" max="24" width="38.5714285714286" customWidth="1"/>
    <col min="25" max="25" width="15.2857142857143" customWidth="1"/>
    <col min="26" max="26" width="21.1428571428571" customWidth="1"/>
    <col min="27" max="27" width="14" customWidth="1"/>
    <col min="28" max="28" width="23.2857142857143" customWidth="1"/>
    <col min="29" max="29" width="3.71428571428571" style="37" customWidth="1"/>
    <col min="30" max="31" width="16.5714285714286" style="37" customWidth="1"/>
    <col min="32" max="32" width="4.85714285714286" style="37" customWidth="1"/>
    <col min="33" max="36" width="14.7142857142857" customWidth="1"/>
    <col min="37" max="37" width="3.28571428571429" customWidth="1"/>
    <col min="38" max="41" width="14.7142857142857" customWidth="1"/>
    <col min="42" max="42" width="3" customWidth="1"/>
    <col min="43" max="47" width="14.7142857142857" customWidth="1"/>
  </cols>
  <sheetData>
    <row r="1" spans="8:17" ht="37.5" customHeight="1" hidden="1">
      <c r="H1" s="33"/>
      <c r="I1" s="33"/>
      <c r="J1" s="33"/>
      <c r="K1" s="33"/>
      <c r="L1" s="33"/>
      <c r="M1" s="33"/>
      <c r="O1" s="33"/>
      <c r="P1" s="33"/>
      <c r="Q1" s="33"/>
    </row>
    <row r="2" spans="1:32" s="24" customFormat="1" ht="219" customHeight="1">
      <c r="A2" s="2" t="s">
        <v>158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98"/>
      <c r="W2" s="44"/>
      <c r="X2" s="83"/>
      <c r="Y2" s="83"/>
      <c r="Z2" s="83"/>
      <c r="AA2" s="83"/>
      <c r="AC2" s="37"/>
      <c r="AD2" s="37"/>
      <c r="AE2" s="37"/>
      <c r="AF2" s="37"/>
    </row>
    <row r="3" spans="1:32" s="36" customFormat="1" ht="50.1" customHeight="1">
      <c r="A3" s="5" t="s">
        <v>7</v>
      </c>
      <c r="B3" s="5"/>
      <c r="C3" s="116"/>
      <c r="D3" s="116"/>
      <c r="E3" s="116"/>
      <c r="F3" s="116"/>
      <c r="G3" s="116" t="s">
        <v>114</v>
      </c>
      <c r="H3" s="116"/>
      <c r="I3" s="116"/>
      <c r="J3" s="114" t="str">
        <f>Data!BF5</f>
        <v>Mcleod, Eric</v>
      </c>
      <c r="K3" s="114"/>
      <c r="L3" s="114"/>
      <c r="M3" s="114"/>
      <c r="N3" s="114"/>
      <c r="O3" s="114"/>
      <c r="P3" s="99" t="s">
        <v>4</v>
      </c>
      <c r="Q3" s="100"/>
      <c r="R3" s="100"/>
      <c r="S3" s="100"/>
      <c r="T3" s="100"/>
      <c r="U3" s="100"/>
      <c r="V3" s="101"/>
      <c r="W3" s="44"/>
      <c r="X3" s="84"/>
      <c r="Y3" s="84"/>
      <c r="Z3" s="84"/>
      <c r="AA3" s="84"/>
      <c r="AC3" s="37"/>
      <c r="AD3" s="37"/>
      <c r="AE3" s="37"/>
      <c r="AF3" s="37"/>
    </row>
    <row r="4" spans="1:32" s="36" customFormat="1" ht="50.1" customHeight="1">
      <c r="A4" s="117" t="s">
        <v>130</v>
      </c>
      <c r="B4" s="117"/>
      <c r="C4" s="7" t="str">
        <f>Data!BC5</f>
        <v>10940</v>
      </c>
      <c r="D4" s="7"/>
      <c r="E4" s="7"/>
      <c r="F4" s="7"/>
      <c r="G4" s="115" t="s">
        <v>8</v>
      </c>
      <c r="H4" s="115"/>
      <c r="I4" s="115"/>
      <c r="J4" s="114" t="str">
        <f>TRIM(Data!AX5)</f>
        <v>Retractable Flyscreen</v>
      </c>
      <c r="K4" s="114"/>
      <c r="L4" s="114"/>
      <c r="M4" s="114"/>
      <c r="N4" s="114"/>
      <c r="O4" s="114"/>
      <c r="P4" s="102" t="str">
        <f>TRIM(Data!BG5)</f>
        <v/>
      </c>
      <c r="Q4" s="103"/>
      <c r="R4" s="103"/>
      <c r="S4" s="103"/>
      <c r="T4" s="103"/>
      <c r="U4" s="103"/>
      <c r="V4" s="104"/>
      <c r="W4" s="45"/>
      <c r="X4" s="85"/>
      <c r="Y4" s="85"/>
      <c r="Z4" s="85"/>
      <c r="AA4" s="85"/>
      <c r="AC4" s="37"/>
      <c r="AD4" s="37"/>
      <c r="AE4" s="37"/>
      <c r="AF4" s="37"/>
    </row>
    <row r="5" spans="1:27" s="37" customFormat="1" ht="50.1" customHeight="1">
      <c r="A5" s="6" t="s">
        <v>15</v>
      </c>
      <c r="B5" s="6"/>
      <c r="C5" s="7" t="str">
        <f>Data!BD5</f>
        <v>A</v>
      </c>
      <c r="D5" s="7"/>
      <c r="E5" s="7"/>
      <c r="F5" s="7"/>
      <c r="G5" s="115" t="s">
        <v>124</v>
      </c>
      <c r="H5" s="115"/>
      <c r="I5" s="115"/>
      <c r="J5" s="114" t="str">
        <f>LEFT(Data!BA5,10)</f>
        <v>21/09/2026</v>
      </c>
      <c r="K5" s="114"/>
      <c r="L5" s="114"/>
      <c r="M5" s="114"/>
      <c r="N5" s="114"/>
      <c r="O5" s="114"/>
      <c r="P5" s="105"/>
      <c r="Q5" s="106"/>
      <c r="R5" s="106"/>
      <c r="S5" s="106"/>
      <c r="T5" s="106"/>
      <c r="U5" s="106"/>
      <c r="V5" s="107"/>
      <c r="W5" s="30"/>
      <c r="X5" s="85"/>
      <c r="Y5" s="85"/>
      <c r="Z5" s="85"/>
      <c r="AA5" s="85"/>
    </row>
    <row r="6" spans="1:27" s="37" customFormat="1" ht="50.1" customHeight="1">
      <c r="A6" s="4" t="s">
        <v>9</v>
      </c>
      <c r="B6" s="4"/>
      <c r="C6" s="3" t="str">
        <f>Data!AY5</f>
        <v>1/09/2026 12:00:00 AM</v>
      </c>
      <c r="D6" s="3"/>
      <c r="E6" s="3"/>
      <c r="F6" s="3"/>
      <c r="G6" s="7" t="s">
        <v>12</v>
      </c>
      <c r="H6" s="7"/>
      <c r="I6" s="7"/>
      <c r="J6" s="114" t="str">
        <f>TRIM(Data!BF5)</f>
        <v>Mcleod, Eric</v>
      </c>
      <c r="K6" s="114"/>
      <c r="L6" s="114"/>
      <c r="M6" s="114"/>
      <c r="N6" s="114"/>
      <c r="O6" s="114"/>
      <c r="P6" s="105"/>
      <c r="Q6" s="106"/>
      <c r="R6" s="106"/>
      <c r="S6" s="106"/>
      <c r="T6" s="106"/>
      <c r="U6" s="106"/>
      <c r="V6" s="107"/>
      <c r="W6" s="30"/>
      <c r="X6" s="85"/>
      <c r="Y6" s="85"/>
      <c r="Z6" s="85"/>
      <c r="AA6" s="85"/>
    </row>
    <row r="7" spans="1:27" s="37" customFormat="1" ht="50.1" customHeight="1">
      <c r="A7" s="8" t="str">
        <f>Data!CZ5</f>
        <v>Retail Customer</v>
      </c>
      <c r="B7" s="8"/>
      <c r="C7" s="8"/>
      <c r="D7" s="8"/>
      <c r="E7" s="8"/>
      <c r="F7" s="8"/>
      <c r="G7" s="7"/>
      <c r="H7" s="7"/>
      <c r="I7" s="7"/>
      <c r="J7" s="114" t="str">
        <f>CONCATENATE(Data!BH5," ",Data!BI5," ",Data!BJ5," ",Data!BK5," ",Data!BL5)</f>
        <v>502 6  Lyons Street North </v>
      </c>
      <c r="K7" s="114"/>
      <c r="L7" s="114"/>
      <c r="M7" s="114"/>
      <c r="N7" s="114"/>
      <c r="O7" s="114"/>
      <c r="P7" s="105"/>
      <c r="Q7" s="106"/>
      <c r="R7" s="106"/>
      <c r="S7" s="106"/>
      <c r="T7" s="106"/>
      <c r="U7" s="106"/>
      <c r="V7" s="107"/>
      <c r="W7" s="30"/>
      <c r="X7" s="85"/>
      <c r="Y7" s="85"/>
      <c r="Z7" s="85"/>
      <c r="AA7" s="85"/>
    </row>
    <row r="8" spans="1:46" s="37" customFormat="1" ht="50.1" customHeight="1">
      <c r="A8" s="8"/>
      <c r="B8" s="8"/>
      <c r="C8" s="8"/>
      <c r="D8" s="8"/>
      <c r="E8" s="8"/>
      <c r="F8" s="8"/>
      <c r="G8" s="7"/>
      <c r="H8" s="7"/>
      <c r="I8" s="7"/>
      <c r="J8" s="114" t="str">
        <f>CONCATENATE(Data!BM5," ",Data!BN5," ",Data!BO5," ",Data!BP5)</f>
        <v>Ballarat Central VIC 3350 Australia</v>
      </c>
      <c r="K8" s="114"/>
      <c r="L8" s="114"/>
      <c r="M8" s="114"/>
      <c r="N8" s="114"/>
      <c r="O8" s="114"/>
      <c r="P8" s="108"/>
      <c r="Q8" s="109"/>
      <c r="R8" s="109"/>
      <c r="S8" s="109"/>
      <c r="T8" s="109"/>
      <c r="U8" s="109"/>
      <c r="V8" s="110"/>
      <c r="W8" s="30"/>
      <c r="X8" s="85"/>
      <c r="Y8" s="85"/>
      <c r="Z8" s="85"/>
      <c r="AA8" s="85"/>
      <c r="AG8" s="111" t="s">
        <v>284</v>
      </c>
      <c r="AH8" s="112"/>
      <c r="AI8" s="112"/>
      <c r="AJ8" s="113"/>
      <c r="AK8" s="72"/>
      <c r="AL8" s="12" t="s">
        <v>289</v>
      </c>
      <c r="AM8" s="12"/>
      <c r="AN8" s="12"/>
      <c r="AO8" s="12"/>
      <c r="AP8" s="72"/>
      <c r="AQ8" s="12" t="s">
        <v>290</v>
      </c>
      <c r="AR8" s="12"/>
      <c r="AS8" s="12"/>
      <c r="AT8" s="12"/>
    </row>
    <row r="9" spans="1:46" s="44" customFormat="1" ht="50.1" customHeight="1">
      <c r="A9" s="9" t="s">
        <v>129</v>
      </c>
      <c r="B9" s="10" t="s">
        <v>115</v>
      </c>
      <c r="C9" s="11" t="s">
        <v>139</v>
      </c>
      <c r="D9" s="11" t="s">
        <v>145</v>
      </c>
      <c r="E9" s="13" t="s">
        <v>152</v>
      </c>
      <c r="F9" s="11" t="s">
        <v>11</v>
      </c>
      <c r="G9" s="11" t="s">
        <v>301</v>
      </c>
      <c r="H9" s="11" t="s">
        <v>153</v>
      </c>
      <c r="I9" s="11" t="s">
        <v>305</v>
      </c>
      <c r="J9" s="11" t="s">
        <v>151</v>
      </c>
      <c r="K9" s="11" t="s">
        <v>172</v>
      </c>
      <c r="L9" s="11" t="s">
        <v>173</v>
      </c>
      <c r="M9" s="11" t="s">
        <v>174</v>
      </c>
      <c r="N9" s="11" t="s">
        <v>175</v>
      </c>
      <c r="O9" s="11" t="s">
        <v>155</v>
      </c>
      <c r="P9" s="11" t="s">
        <v>156</v>
      </c>
      <c r="Q9" s="11" t="s">
        <v>157</v>
      </c>
      <c r="R9" s="13" t="s">
        <v>140</v>
      </c>
      <c r="S9" s="11" t="s">
        <v>303</v>
      </c>
      <c r="T9" s="11" t="s">
        <v>304</v>
      </c>
      <c r="U9" s="11" t="s">
        <v>136</v>
      </c>
      <c r="V9" s="11" t="s">
        <v>5</v>
      </c>
      <c r="W9" s="30"/>
      <c r="X9" s="11" t="s">
        <v>150</v>
      </c>
      <c r="Y9" s="11" t="s">
        <v>149</v>
      </c>
      <c r="Z9" s="11" t="s">
        <v>226</v>
      </c>
      <c r="AA9" s="11" t="s">
        <v>227</v>
      </c>
      <c r="AB9" s="11" t="s">
        <v>191</v>
      </c>
      <c r="AC9" s="37"/>
      <c r="AD9" s="13" t="s">
        <v>313</v>
      </c>
      <c r="AE9" s="13" t="s">
        <v>314</v>
      </c>
      <c r="AF9" s="37"/>
      <c r="AG9" s="11" t="s">
        <v>285</v>
      </c>
      <c r="AH9" s="11" t="s">
        <v>286</v>
      </c>
      <c r="AI9" s="11" t="s">
        <v>287</v>
      </c>
      <c r="AJ9" s="11" t="s">
        <v>288</v>
      </c>
      <c r="AL9" s="11" t="s">
        <v>285</v>
      </c>
      <c r="AM9" s="11" t="s">
        <v>286</v>
      </c>
      <c r="AN9" s="11" t="s">
        <v>287</v>
      </c>
      <c r="AO9" s="11" t="s">
        <v>288</v>
      </c>
      <c r="AQ9" s="11" t="s">
        <v>285</v>
      </c>
      <c r="AR9" s="11" t="s">
        <v>286</v>
      </c>
      <c r="AS9" s="11" t="s">
        <v>287</v>
      </c>
      <c r="AT9" s="11" t="s">
        <v>288</v>
      </c>
    </row>
    <row r="10" spans="1:46" s="44" customFormat="1" ht="58.2" customHeight="1">
      <c r="A10" s="9"/>
      <c r="B10" s="10"/>
      <c r="C10" s="11"/>
      <c r="D10" s="11"/>
      <c r="E10" s="13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3"/>
      <c r="S10" s="11"/>
      <c r="T10" s="11"/>
      <c r="U10" s="11"/>
      <c r="V10" s="11"/>
      <c r="W10" s="30"/>
      <c r="X10" s="11"/>
      <c r="Y10" s="11"/>
      <c r="Z10" s="11"/>
      <c r="AA10" s="11"/>
      <c r="AB10" s="11"/>
      <c r="AC10" s="37"/>
      <c r="AD10" s="13"/>
      <c r="AE10" s="13"/>
      <c r="AF10" s="37"/>
      <c r="AG10" s="11"/>
      <c r="AH10" s="11"/>
      <c r="AI10" s="11"/>
      <c r="AJ10" s="11"/>
      <c r="AL10" s="11"/>
      <c r="AM10" s="11"/>
      <c r="AN10" s="11"/>
      <c r="AO10" s="11"/>
      <c r="AQ10" s="11"/>
      <c r="AR10" s="11"/>
      <c r="AS10" s="11"/>
      <c r="AT10" s="11"/>
    </row>
    <row r="11" spans="1:46" s="30" customFormat="1" ht="60" customHeight="1">
      <c r="A11" s="70">
        <f>Data!AW11</f>
        <v>1</v>
      </c>
      <c r="B11" s="49" t="str">
        <f>Data!AY11</f>
        <v>Bed 3</v>
      </c>
      <c r="C11" s="86">
        <f>SUM(Data!BA11)</f>
        <v>1310</v>
      </c>
      <c r="D11" s="82">
        <f>SUM(Data!BB11)</f>
        <v>2455</v>
      </c>
      <c r="E11" s="48" t="str">
        <f t="array" ref="E11">bpLOOKUP(Data!$AV11,"Size",CustOrdOpt,6,FALSE)</f>
        <v>Opening</v>
      </c>
      <c r="F11" s="48" t="str">
        <f t="array" ref="F11">bpLOOKUP(Data!$AV11,"FIT",CustOrdOpt,6,FALSE)</f>
        <v>Outside</v>
      </c>
      <c r="G11" s="48" t="str">
        <f t="array" ref="G11">bpLOOKUP(Data!$AV11,"FIXING",CustOrdOpt,6,FALSE)</f>
        <v>Aluminium</v>
      </c>
      <c r="H11" s="49" t="str">
        <f t="array" ref="H11">bpLOOKUP(Data!$AV11,"COLOUR",CustOrdOpt,6,FALSE)</f>
        <v>Black</v>
      </c>
      <c r="I11" s="49" t="str">
        <f t="array" ref="I11">bpLOOKUP(Data!$AV11,"FRAMESIZE",CustOrdOpt,6,FALSE)</f>
        <v>4mm</v>
      </c>
      <c r="J11" s="49" t="str">
        <f t="array" ref="J11">bpLOOKUP(Data!$AV11,"MOUNT",CustOrdOpt,6,FALSE)</f>
        <v>One Way Right Hand</v>
      </c>
      <c r="K11" s="48" t="str">
        <f t="array" ref="K11">bpLOOKUP(Data!$AV11,"PACKERST",CustOrdOpt,6,FALSE)</f>
        <v>25mm x 25mm</v>
      </c>
      <c r="L11" s="48" t="str">
        <f t="array" ref="L11">bpLOOKUP(Data!$AV11,"PACKERSB",CustOrdOpt,6,FALSE)</f>
        <v/>
      </c>
      <c r="M11" s="48" t="str">
        <f t="array" ref="M11">bpLOOKUP(Data!$AV11,"PACKERSL",CustOrdOpt,6,FALSE)</f>
        <v>25mm x 25mm</v>
      </c>
      <c r="N11" s="48" t="str">
        <f t="array" ref="N11">bpLOOKUP(Data!$AV11,"PACKERSR",CustOrdOpt,6,FALSE)</f>
        <v>25mm x 25mm</v>
      </c>
      <c r="O11" s="48" t="str">
        <f t="array" ref="O11">bpLOOKUP(Data!$AV11,"LHSOFFSET",CustOrdOpt,6,FALSE)</f>
        <v/>
      </c>
      <c r="P11" s="48" t="str">
        <f t="array" ref="P11">bpLOOKUP(Data!$AV11,"RHSOFFSET",CustOrdOpt,6,FALSE)</f>
        <v/>
      </c>
      <c r="Q11" s="48" t="str">
        <f t="array" ref="Q11">bpLOOKUP(Data!$AV11,"WIND",CustOrdOpt,6,FALSE)</f>
        <v/>
      </c>
      <c r="R11" s="48" t="str">
        <f t="array" ref="R11">bpLOOKUP(Data!$AV11,"SIDEBYSIDE",CustOrdOpt,6,FALSE)</f>
        <v>No</v>
      </c>
      <c r="S11" s="86">
        <f>IF(Data!AV11="","",C11-VLOOKUP(R11,SideDeduct,2,FALSE))</f>
        <v>1310</v>
      </c>
      <c r="T11" s="82">
        <f t="shared" si="0" ref="T11:T20">D11</f>
        <v>2455</v>
      </c>
      <c r="U11" s="48" t="str">
        <f t="array" ref="U11">bpLOOKUP(Data!$AV11,"INSTALLATION",CustOrdOpt,6,FALSE)</f>
        <v>Installation</v>
      </c>
      <c r="V11" s="48" t="str">
        <f t="array" ref="V11">bpLOOKUP(Data!$AV11,"Notes",CustOrdOpt,6,FALSE)</f>
        <v/>
      </c>
      <c r="X11" s="49" t="str">
        <f>Data!BN11</f>
        <v>Pleated Flyscreen</v>
      </c>
      <c r="Y11" s="49" t="str">
        <f>Data!BO11</f>
        <v>Black</v>
      </c>
      <c r="Z11" s="48">
        <f t="shared" si="1" ref="Z11:Z20">IF(J11="Centre Opening",ROUNDUP(C11/2,0),C11)</f>
        <v>1310</v>
      </c>
      <c r="AA11" s="49">
        <f>IF(Data!AW11="","",IF(J11="Centre Opening",2,1))</f>
        <v>1</v>
      </c>
      <c r="AB11" s="49" t="str">
        <f>IF(Data!AW11="","",IF(J11="Centre Opening Off Set","Off Set - Check Kit",INDEX(MeshG,MATCH(D11,MeshD,1),MATCH(Z11,MeshW,1))))</f>
        <v>1800 x 2750</v>
      </c>
      <c r="AC11" s="37"/>
      <c r="AD11" s="95">
        <f>IF(Data!AV11="","",'Tube Cutting'!E11-2)</f>
        <v>2437</v>
      </c>
      <c r="AE11" s="95">
        <f>IF(Data!AV11="","",'Job Sheet'!D11-60)</f>
        <v>2395</v>
      </c>
      <c r="AF11" s="37"/>
      <c r="AG11" s="71">
        <f t="shared" si="2" ref="AG11:AG20">IF(K11="25mm x 25mm",C11,"")</f>
        <v>1310</v>
      </c>
      <c r="AH11" s="71" t="str">
        <f t="shared" si="3" ref="AH11:AH20">IF(L11="25mm x 25mm",C11,"")</f>
        <v/>
      </c>
      <c r="AI11" s="71">
        <f t="shared" si="4" ref="AI11:AI20">IF(M11="25mm x 25mm",D11,"")</f>
        <v>2455</v>
      </c>
      <c r="AJ11" s="71">
        <f t="shared" si="5" ref="AJ11:AJ20">IF(N11="25mm x 25mm",D11,"")</f>
        <v>2455</v>
      </c>
      <c r="AL11" s="71" t="str">
        <f t="shared" si="6" ref="AL11:AL20">IF(K11="50mm x 25mm",C11,"")</f>
        <v/>
      </c>
      <c r="AM11" s="71" t="str">
        <f t="shared" si="7" ref="AM11:AM20">IF(L11="50mm x 25mm",C11,"")</f>
        <v/>
      </c>
      <c r="AN11" s="71" t="str">
        <f t="shared" si="8" ref="AN11:AN20">IF(M11="50mm x 25mm",D11,"")</f>
        <v/>
      </c>
      <c r="AO11" s="71" t="str">
        <f t="shared" si="9" ref="AO11:AO20">IF(N11="50mm x 25mm",D11,"")</f>
        <v/>
      </c>
      <c r="AQ11" s="71" t="str">
        <f t="shared" si="10" ref="AQ11:AQ20">IF(K11="75mm x 25mm",C11,"")</f>
        <v/>
      </c>
      <c r="AR11" s="71" t="str">
        <f t="shared" si="11" ref="AR11:AR20">IF(L11="75mm x 25mm",C11,"")</f>
        <v/>
      </c>
      <c r="AS11" s="71" t="str">
        <f t="shared" si="12" ref="AS11:AS20">IF(M11="75mm x 25mm",D11,"")</f>
        <v/>
      </c>
      <c r="AT11" s="71" t="str">
        <f t="shared" si="13" ref="AT11:AT20">IF(N11="75mm x 25mm",D11,"")</f>
        <v/>
      </c>
    </row>
    <row r="12" spans="1:46" s="30" customFormat="1" ht="60" customHeight="1">
      <c r="A12" s="70">
        <f>Data!AW12</f>
        <v>2</v>
      </c>
      <c r="B12" s="49" t="str">
        <f>Data!AY12</f>
        <v>Living West</v>
      </c>
      <c r="C12" s="86">
        <f>SUM(Data!BA12)</f>
        <v>1280</v>
      </c>
      <c r="D12" s="82">
        <f>SUM(Data!BB12)</f>
        <v>2640</v>
      </c>
      <c r="E12" s="48" t="str">
        <f t="array" ref="E12">bpLOOKUP(Data!$AV12,"Size",CustOrdOpt,6,FALSE)</f>
        <v>Opening</v>
      </c>
      <c r="F12" s="48" t="str">
        <f t="array" ref="F12">bpLOOKUP(Data!$AV12,"FIT",CustOrdOpt,6,FALSE)</f>
        <v>Outside</v>
      </c>
      <c r="G12" s="48" t="str">
        <f t="array" ref="G12">bpLOOKUP(Data!$AV12,"FIXING",CustOrdOpt,6,FALSE)</f>
        <v>Aluminium</v>
      </c>
      <c r="H12" s="49" t="str">
        <f t="array" ref="H12">bpLOOKUP(Data!$AV12,"COLOUR",CustOrdOpt,6,FALSE)</f>
        <v>Black</v>
      </c>
      <c r="I12" s="49" t="str">
        <f t="array" ref="I12">bpLOOKUP(Data!$AV12,"FRAMESIZE",CustOrdOpt,6,FALSE)</f>
        <v>4mm</v>
      </c>
      <c r="J12" s="49" t="str">
        <f t="array" ref="J12">bpLOOKUP(Data!$AV12,"MOUNT",CustOrdOpt,6,FALSE)</f>
        <v>One Way Left Hand</v>
      </c>
      <c r="K12" s="48" t="str">
        <f t="array" ref="K12">bpLOOKUP(Data!$AV12,"PACKERST",CustOrdOpt,6,FALSE)</f>
        <v>25mm x 25mm</v>
      </c>
      <c r="L12" s="48" t="str">
        <f t="array" ref="L12">bpLOOKUP(Data!$AV12,"PACKERSB",CustOrdOpt,6,FALSE)</f>
        <v/>
      </c>
      <c r="M12" s="48" t="str">
        <f t="array" ref="M12">bpLOOKUP(Data!$AV12,"PACKERSL",CustOrdOpt,6,FALSE)</f>
        <v/>
      </c>
      <c r="N12" s="48" t="str">
        <f t="array" ref="N12">bpLOOKUP(Data!$AV12,"PACKERSR",CustOrdOpt,6,FALSE)</f>
        <v>25mm x 25mm</v>
      </c>
      <c r="O12" s="48" t="str">
        <f t="array" ref="O12">bpLOOKUP(Data!$AV12,"LHSOFFSET",CustOrdOpt,6,FALSE)</f>
        <v/>
      </c>
      <c r="P12" s="48" t="str">
        <f t="array" ref="P12">bpLOOKUP(Data!$AV12,"RHSOFFSET",CustOrdOpt,6,FALSE)</f>
        <v/>
      </c>
      <c r="Q12" s="48" t="str">
        <f t="array" ref="Q12">bpLOOKUP(Data!$AV12,"WIND",CustOrdOpt,6,FALSE)</f>
        <v/>
      </c>
      <c r="R12" s="48" t="str">
        <f t="array" ref="R12">bpLOOKUP(Data!$AV12,"SIDEBYSIDE",CustOrdOpt,6,FALSE)</f>
        <v>No</v>
      </c>
      <c r="S12" s="86">
        <f>IF(Data!AV12="","",C12-VLOOKUP(R12,SideDeduct,2,FALSE))</f>
        <v>1280</v>
      </c>
      <c r="T12" s="82">
        <f t="shared" si="0"/>
        <v>2640</v>
      </c>
      <c r="U12" s="48" t="str">
        <f t="array" ref="U12">bpLOOKUP(Data!$AV12,"INSTALLATION",CustOrdOpt,6,FALSE)</f>
        <v>Installation</v>
      </c>
      <c r="V12" s="48" t="str">
        <f t="array" ref="V12">bpLOOKUP(Data!$AV12,"Notes",CustOrdOpt,6,FALSE)</f>
        <v/>
      </c>
      <c r="X12" s="49" t="str">
        <f>Data!BN12</f>
        <v>Pleated Flyscreen</v>
      </c>
      <c r="Y12" s="49" t="str">
        <f>Data!BO12</f>
        <v>Black</v>
      </c>
      <c r="Z12" s="48">
        <f t="shared" si="1"/>
        <v>1280</v>
      </c>
      <c r="AA12" s="49">
        <f>IF(Data!AW12="","",IF(J12="Centre Opening",2,1))</f>
        <v>1</v>
      </c>
      <c r="AB12" s="49" t="str">
        <f>IF(Data!AW12="","",INDEX(MeshG,MATCH(D12,MeshD,1),MATCH(Z12,MeshW,1)))</f>
        <v>1300 x 2750</v>
      </c>
      <c r="AC12" s="37"/>
      <c r="AD12" s="95">
        <f>IF(Data!AV12="","",'Tube Cutting'!E12-2)</f>
        <v>2622</v>
      </c>
      <c r="AE12" s="95">
        <f>IF(Data!AV12="","",'Job Sheet'!D12-60)</f>
        <v>2580</v>
      </c>
      <c r="AF12" s="37"/>
      <c r="AG12" s="71">
        <f t="shared" si="2"/>
        <v>1280</v>
      </c>
      <c r="AH12" s="71" t="str">
        <f t="shared" si="3"/>
        <v/>
      </c>
      <c r="AI12" s="71" t="str">
        <f t="shared" si="4"/>
        <v/>
      </c>
      <c r="AJ12" s="71">
        <f t="shared" si="5"/>
        <v>2640</v>
      </c>
      <c r="AL12" s="71" t="str">
        <f t="shared" si="6"/>
        <v/>
      </c>
      <c r="AM12" s="71" t="str">
        <f t="shared" si="7"/>
        <v/>
      </c>
      <c r="AN12" s="71" t="str">
        <f t="shared" si="8"/>
        <v/>
      </c>
      <c r="AO12" s="71" t="str">
        <f t="shared" si="9"/>
        <v/>
      </c>
      <c r="AQ12" s="71" t="str">
        <f t="shared" si="10"/>
        <v/>
      </c>
      <c r="AR12" s="71" t="str">
        <f t="shared" si="11"/>
        <v/>
      </c>
      <c r="AS12" s="71" t="str">
        <f t="shared" si="12"/>
        <v/>
      </c>
      <c r="AT12" s="71" t="str">
        <f t="shared" si="13"/>
        <v/>
      </c>
    </row>
    <row r="13" spans="1:46" s="30" customFormat="1" ht="60" customHeight="1">
      <c r="A13" s="70">
        <f>Data!AW13</f>
        <v>3</v>
      </c>
      <c r="B13" s="49" t="str">
        <f>Data!AY13</f>
        <v>Living North</v>
      </c>
      <c r="C13" s="86">
        <f>SUM(Data!BA13)</f>
        <v>1280</v>
      </c>
      <c r="D13" s="82">
        <f>SUM(Data!BB13)</f>
        <v>2640</v>
      </c>
      <c r="E13" s="48" t="str">
        <f t="array" ref="E13">bpLOOKUP(Data!$AV13,"Size",CustOrdOpt,6,FALSE)</f>
        <v>Opening</v>
      </c>
      <c r="F13" s="48" t="str">
        <f t="array" ref="F13">bpLOOKUP(Data!$AV13,"FIT",CustOrdOpt,6,FALSE)</f>
        <v>Outside</v>
      </c>
      <c r="G13" s="48" t="str">
        <f t="array" ref="G13">bpLOOKUP(Data!$AV13,"FIXING",CustOrdOpt,6,FALSE)</f>
        <v>Aluminium</v>
      </c>
      <c r="H13" s="49" t="str">
        <f t="array" ref="H13">bpLOOKUP(Data!$AV13,"COLOUR",CustOrdOpt,6,FALSE)</f>
        <v>Black</v>
      </c>
      <c r="I13" s="49" t="str">
        <f t="array" ref="I13">bpLOOKUP(Data!$AV13,"FRAMESIZE",CustOrdOpt,6,FALSE)</f>
        <v>4mm</v>
      </c>
      <c r="J13" s="49" t="str">
        <f t="array" ref="J13">bpLOOKUP(Data!$AV13,"MOUNT",CustOrdOpt,6,FALSE)</f>
        <v>One Way Left Hand</v>
      </c>
      <c r="K13" s="48" t="str">
        <f t="array" ref="K13">bpLOOKUP(Data!$AV13,"PACKERST",CustOrdOpt,6,FALSE)</f>
        <v>25mm x 25mm</v>
      </c>
      <c r="L13" s="48" t="str">
        <f t="array" ref="L13">bpLOOKUP(Data!$AV13,"PACKERSB",CustOrdOpt,6,FALSE)</f>
        <v/>
      </c>
      <c r="M13" s="48" t="str">
        <f t="array" ref="M13">bpLOOKUP(Data!$AV13,"PACKERSL",CustOrdOpt,6,FALSE)</f>
        <v/>
      </c>
      <c r="N13" s="48" t="str">
        <f t="array" ref="N13">bpLOOKUP(Data!$AV13,"PACKERSR",CustOrdOpt,6,FALSE)</f>
        <v>25mm x 25mm</v>
      </c>
      <c r="O13" s="48" t="str">
        <f t="array" ref="O13">bpLOOKUP(Data!$AV13,"LHSOFFSET",CustOrdOpt,6,FALSE)</f>
        <v/>
      </c>
      <c r="P13" s="48" t="str">
        <f t="array" ref="P13">bpLOOKUP(Data!$AV13,"RHSOFFSET",CustOrdOpt,6,FALSE)</f>
        <v/>
      </c>
      <c r="Q13" s="48" t="str">
        <f t="array" ref="Q13">bpLOOKUP(Data!$AV13,"WIND",CustOrdOpt,6,FALSE)</f>
        <v/>
      </c>
      <c r="R13" s="48" t="str">
        <f t="array" ref="R13">bpLOOKUP(Data!$AV13,"SIDEBYSIDE",CustOrdOpt,6,FALSE)</f>
        <v>No</v>
      </c>
      <c r="S13" s="86">
        <f>IF(Data!AV13="","",C13-VLOOKUP(R13,SideDeduct,2,FALSE))</f>
        <v>1280</v>
      </c>
      <c r="T13" s="82">
        <f t="shared" si="0"/>
        <v>2640</v>
      </c>
      <c r="U13" s="48" t="str">
        <f t="array" ref="U13">bpLOOKUP(Data!$AV13,"INSTALLATION",CustOrdOpt,6,FALSE)</f>
        <v>Installation</v>
      </c>
      <c r="V13" s="48" t="str">
        <f t="array" ref="V13">bpLOOKUP(Data!$AV13,"Notes",CustOrdOpt,6,FALSE)</f>
        <v/>
      </c>
      <c r="X13" s="49" t="str">
        <f>Data!BN13</f>
        <v>Pleated Flyscreen</v>
      </c>
      <c r="Y13" s="49" t="str">
        <f>Data!BO13</f>
        <v>Black</v>
      </c>
      <c r="Z13" s="48">
        <f t="shared" si="1"/>
        <v>1280</v>
      </c>
      <c r="AA13" s="49">
        <f>IF(Data!AW13="","",IF(J13="Centre Opening",2,1))</f>
        <v>1</v>
      </c>
      <c r="AB13" s="49" t="str">
        <f>IF(Data!AW13="","",INDEX(MeshG,MATCH(D13,MeshD,1),MATCH(Z13,MeshW,1)))</f>
        <v>1300 x 2750</v>
      </c>
      <c r="AC13" s="37"/>
      <c r="AD13" s="95">
        <f>IF(Data!AV13="","",'Tube Cutting'!E13-2)</f>
        <v>2622</v>
      </c>
      <c r="AE13" s="95">
        <f>IF(Data!AV13="","",'Job Sheet'!D13-60)</f>
        <v>2580</v>
      </c>
      <c r="AF13" s="37"/>
      <c r="AG13" s="71">
        <f t="shared" si="2"/>
        <v>1280</v>
      </c>
      <c r="AH13" s="71" t="str">
        <f t="shared" si="3"/>
        <v/>
      </c>
      <c r="AI13" s="71" t="str">
        <f t="shared" si="4"/>
        <v/>
      </c>
      <c r="AJ13" s="71">
        <f t="shared" si="5"/>
        <v>2640</v>
      </c>
      <c r="AL13" s="71" t="str">
        <f t="shared" si="6"/>
        <v/>
      </c>
      <c r="AM13" s="71" t="str">
        <f t="shared" si="7"/>
        <v/>
      </c>
      <c r="AN13" s="71" t="str">
        <f t="shared" si="8"/>
        <v/>
      </c>
      <c r="AO13" s="71" t="str">
        <f t="shared" si="9"/>
        <v/>
      </c>
      <c r="AQ13" s="71" t="str">
        <f t="shared" si="10"/>
        <v/>
      </c>
      <c r="AR13" s="71" t="str">
        <f t="shared" si="11"/>
        <v/>
      </c>
      <c r="AS13" s="71" t="str">
        <f t="shared" si="12"/>
        <v/>
      </c>
      <c r="AT13" s="71" t="str">
        <f t="shared" si="13"/>
        <v/>
      </c>
    </row>
    <row r="14" spans="1:46" s="30" customFormat="1" ht="60" customHeight="1">
      <c r="A14" s="70">
        <f>Data!AW14</f>
        <v>0</v>
      </c>
      <c r="B14" s="49">
        <f>Data!AY14</f>
        <v>0</v>
      </c>
      <c r="C14" s="86">
        <f>SUM(Data!BA14)</f>
        <v>0</v>
      </c>
      <c r="D14" s="82">
        <f>SUM(Data!BB14)</f>
        <v>0</v>
      </c>
      <c r="E14" s="48" t="str">
        <f t="array" ref="E14">bpLOOKUP(Data!$AV14,"Size",CustOrdOpt,6,FALSE)</f>
        <v/>
      </c>
      <c r="F14" s="48" t="str">
        <f t="array" ref="F14">bpLOOKUP(Data!$AV14,"FIT",CustOrdOpt,6,FALSE)</f>
        <v/>
      </c>
      <c r="G14" s="48" t="str">
        <f t="array" ref="G14">bpLOOKUP(Data!$AV14,"FIXING",CustOrdOpt,6,FALSE)</f>
        <v/>
      </c>
      <c r="H14" s="49" t="str">
        <f t="array" ref="H14">bpLOOKUP(Data!$AV14,"COLOUR",CustOrdOpt,6,FALSE)</f>
        <v/>
      </c>
      <c r="I14" s="49" t="str">
        <f t="array" ref="I14">bpLOOKUP(Data!$AV14,"FRAMESIZE",CustOrdOpt,6,FALSE)</f>
        <v/>
      </c>
      <c r="J14" s="49" t="str">
        <f t="array" ref="J14">bpLOOKUP(Data!$AV14,"MOUNT",CustOrdOpt,6,FALSE)</f>
        <v/>
      </c>
      <c r="K14" s="48" t="str">
        <f t="array" ref="K14">bpLOOKUP(Data!$AV14,"PACKERST",CustOrdOpt,6,FALSE)</f>
        <v/>
      </c>
      <c r="L14" s="48" t="str">
        <f t="array" ref="L14">bpLOOKUP(Data!$AV14,"PACKERSB",CustOrdOpt,6,FALSE)</f>
        <v/>
      </c>
      <c r="M14" s="48" t="str">
        <f t="array" ref="M14">bpLOOKUP(Data!$AV14,"PACKERSL",CustOrdOpt,6,FALSE)</f>
        <v/>
      </c>
      <c r="N14" s="48" t="str">
        <f t="array" ref="N14">bpLOOKUP(Data!$AV14,"PACKERSR",CustOrdOpt,6,FALSE)</f>
        <v/>
      </c>
      <c r="O14" s="48" t="str">
        <f t="array" ref="O14">bpLOOKUP(Data!$AV14,"LHSOFFSET",CustOrdOpt,6,FALSE)</f>
        <v/>
      </c>
      <c r="P14" s="48" t="str">
        <f t="array" ref="P14">bpLOOKUP(Data!$AV14,"RHSOFFSET",CustOrdOpt,6,FALSE)</f>
        <v/>
      </c>
      <c r="Q14" s="48" t="str">
        <f t="array" ref="Q14">bpLOOKUP(Data!$AV14,"WIND",CustOrdOpt,6,FALSE)</f>
        <v/>
      </c>
      <c r="R14" s="48" t="str">
        <f t="array" ref="R14">bpLOOKUP(Data!$AV14,"SIDEBYSIDE",CustOrdOpt,6,FALSE)</f>
        <v/>
      </c>
      <c r="S14" s="86" t="str">
        <f>IF(Data!AV14="","",C14-VLOOKUP(R14,SideDeduct,2,FALSE))</f>
        <v/>
      </c>
      <c r="T14" s="82">
        <f t="shared" si="0"/>
        <v>0</v>
      </c>
      <c r="U14" s="48" t="str">
        <f t="array" ref="U14">bpLOOKUP(Data!$AV14,"INSTALLATION",CustOrdOpt,6,FALSE)</f>
        <v/>
      </c>
      <c r="V14" s="48" t="str">
        <f t="array" ref="V14">bpLOOKUP(Data!$AV14,"Notes",CustOrdOpt,6,FALSE)</f>
        <v/>
      </c>
      <c r="W14"/>
      <c r="X14" s="49">
        <f>Data!BN14</f>
        <v>0</v>
      </c>
      <c r="Y14" s="49">
        <f>Data!BO14</f>
        <v>0</v>
      </c>
      <c r="Z14" s="48">
        <f t="shared" si="1"/>
        <v>0</v>
      </c>
      <c r="AA14" s="49" t="str">
        <f>IF(Data!AW14="","",IF(J14="Centre Opening",2,1))</f>
        <v/>
      </c>
      <c r="AB14" s="49" t="str">
        <f>IF(Data!AW14="","",INDEX(MeshG,MATCH(D14,MeshD,1),MATCH(Z14,MeshW,1)))</f>
        <v/>
      </c>
      <c r="AC14" s="37"/>
      <c r="AD14" s="95" t="str">
        <f>IF(Data!AV14="","",'Tube Cutting'!E14-2)</f>
        <v/>
      </c>
      <c r="AE14" s="95" t="str">
        <f>IF(Data!AV14="","",'Job Sheet'!D14-60)</f>
        <v/>
      </c>
      <c r="AF14" s="37"/>
      <c r="AG14" s="71" t="str">
        <f t="shared" si="2"/>
        <v/>
      </c>
      <c r="AH14" s="71" t="str">
        <f t="shared" si="3"/>
        <v/>
      </c>
      <c r="AI14" s="71" t="str">
        <f t="shared" si="4"/>
        <v/>
      </c>
      <c r="AJ14" s="71" t="str">
        <f t="shared" si="5"/>
        <v/>
      </c>
      <c r="AL14" s="71" t="str">
        <f t="shared" si="6"/>
        <v/>
      </c>
      <c r="AM14" s="71" t="str">
        <f t="shared" si="7"/>
        <v/>
      </c>
      <c r="AN14" s="71" t="str">
        <f t="shared" si="8"/>
        <v/>
      </c>
      <c r="AO14" s="71" t="str">
        <f t="shared" si="9"/>
        <v/>
      </c>
      <c r="AQ14" s="71" t="str">
        <f t="shared" si="10"/>
        <v/>
      </c>
      <c r="AR14" s="71" t="str">
        <f t="shared" si="11"/>
        <v/>
      </c>
      <c r="AS14" s="71" t="str">
        <f t="shared" si="12"/>
        <v/>
      </c>
      <c r="AT14" s="71" t="str">
        <f t="shared" si="13"/>
        <v/>
      </c>
    </row>
    <row r="15" spans="1:46" s="30" customFormat="1" ht="60" customHeight="1">
      <c r="A15" s="70">
        <f>Data!AW15</f>
        <v>0</v>
      </c>
      <c r="B15" s="49">
        <f>Data!AY15</f>
        <v>0</v>
      </c>
      <c r="C15" s="86">
        <f>SUM(Data!BA15)</f>
        <v>0</v>
      </c>
      <c r="D15" s="82">
        <f>SUM(Data!BB15)</f>
        <v>0</v>
      </c>
      <c r="E15" s="48" t="str">
        <f t="array" ref="E15">bpLOOKUP(Data!$AV15,"Size",CustOrdOpt,6,FALSE)</f>
        <v/>
      </c>
      <c r="F15" s="48" t="str">
        <f t="array" ref="F15">bpLOOKUP(Data!$AV15,"FIT",CustOrdOpt,6,FALSE)</f>
        <v/>
      </c>
      <c r="G15" s="48" t="str">
        <f t="array" ref="G15">bpLOOKUP(Data!$AV15,"FIXING",CustOrdOpt,6,FALSE)</f>
        <v/>
      </c>
      <c r="H15" s="49" t="str">
        <f t="array" ref="H15">bpLOOKUP(Data!$AV15,"COLOUR",CustOrdOpt,6,FALSE)</f>
        <v/>
      </c>
      <c r="I15" s="49" t="str">
        <f t="array" ref="I15">bpLOOKUP(Data!$AV15,"FRAMESIZE",CustOrdOpt,6,FALSE)</f>
        <v/>
      </c>
      <c r="J15" s="49" t="str">
        <f t="array" ref="J15">bpLOOKUP(Data!$AV15,"MOUNT",CustOrdOpt,6,FALSE)</f>
        <v/>
      </c>
      <c r="K15" s="48" t="str">
        <f t="array" ref="K15">bpLOOKUP(Data!$AV15,"PACKERST",CustOrdOpt,6,FALSE)</f>
        <v/>
      </c>
      <c r="L15" s="48" t="str">
        <f t="array" ref="L15">bpLOOKUP(Data!$AV15,"PACKERSB",CustOrdOpt,6,FALSE)</f>
        <v/>
      </c>
      <c r="M15" s="48" t="str">
        <f t="array" ref="M15">bpLOOKUP(Data!$AV15,"PACKERSL",CustOrdOpt,6,FALSE)</f>
        <v/>
      </c>
      <c r="N15" s="48" t="str">
        <f t="array" ref="N15">bpLOOKUP(Data!$AV15,"PACKERSR",CustOrdOpt,6,FALSE)</f>
        <v/>
      </c>
      <c r="O15" s="48" t="str">
        <f t="array" ref="O15">bpLOOKUP(Data!$AV15,"LHSOFFSET",CustOrdOpt,6,FALSE)</f>
        <v/>
      </c>
      <c r="P15" s="48" t="str">
        <f t="array" ref="P15">bpLOOKUP(Data!$AV15,"RHSOFFSET",CustOrdOpt,6,FALSE)</f>
        <v/>
      </c>
      <c r="Q15" s="48" t="str">
        <f t="array" ref="Q15">bpLOOKUP(Data!$AV15,"WIND",CustOrdOpt,6,FALSE)</f>
        <v/>
      </c>
      <c r="R15" s="48" t="str">
        <f t="array" ref="R15">bpLOOKUP(Data!$AV15,"SIDEBYSIDE",CustOrdOpt,6,FALSE)</f>
        <v/>
      </c>
      <c r="S15" s="86" t="str">
        <f>IF(Data!AV15="","",C15-VLOOKUP(R15,SideDeduct,2,FALSE))</f>
        <v/>
      </c>
      <c r="T15" s="82">
        <f t="shared" si="0"/>
        <v>0</v>
      </c>
      <c r="U15" s="48" t="str">
        <f t="array" ref="U15">bpLOOKUP(Data!$AV15,"INSTALLATION",CustOrdOpt,6,FALSE)</f>
        <v/>
      </c>
      <c r="V15" s="48" t="str">
        <f t="array" ref="V15">bpLOOKUP(Data!$AV15,"Notes",CustOrdOpt,6,FALSE)</f>
        <v/>
      </c>
      <c r="W15"/>
      <c r="X15" s="49">
        <f>Data!BN15</f>
        <v>0</v>
      </c>
      <c r="Y15" s="49">
        <f>Data!BO15</f>
        <v>0</v>
      </c>
      <c r="Z15" s="48">
        <f t="shared" si="1"/>
        <v>0</v>
      </c>
      <c r="AA15" s="49" t="str">
        <f>IF(Data!AW15="","",IF(J15="Centre Opening",2,1))</f>
        <v/>
      </c>
      <c r="AB15" s="49" t="str">
        <f>IF(Data!AW15="","",INDEX(MeshG,MATCH(D15,MeshD,1),MATCH(Z15,MeshW,1)))</f>
        <v/>
      </c>
      <c r="AC15" s="37"/>
      <c r="AD15" s="95" t="str">
        <f>IF(Data!AV15="","",'Tube Cutting'!E15-2)</f>
        <v/>
      </c>
      <c r="AE15" s="95" t="str">
        <f>IF(Data!AV15="","",'Job Sheet'!D15-60)</f>
        <v/>
      </c>
      <c r="AF15" s="37"/>
      <c r="AG15" s="71" t="str">
        <f t="shared" si="2"/>
        <v/>
      </c>
      <c r="AH15" s="71" t="str">
        <f t="shared" si="3"/>
        <v/>
      </c>
      <c r="AI15" s="71" t="str">
        <f t="shared" si="4"/>
        <v/>
      </c>
      <c r="AJ15" s="71" t="str">
        <f t="shared" si="5"/>
        <v/>
      </c>
      <c r="AL15" s="71" t="str">
        <f t="shared" si="6"/>
        <v/>
      </c>
      <c r="AM15" s="71" t="str">
        <f t="shared" si="7"/>
        <v/>
      </c>
      <c r="AN15" s="71" t="str">
        <f t="shared" si="8"/>
        <v/>
      </c>
      <c r="AO15" s="71" t="str">
        <f t="shared" si="9"/>
        <v/>
      </c>
      <c r="AQ15" s="71" t="str">
        <f t="shared" si="10"/>
        <v/>
      </c>
      <c r="AR15" s="71" t="str">
        <f t="shared" si="11"/>
        <v/>
      </c>
      <c r="AS15" s="71" t="str">
        <f t="shared" si="12"/>
        <v/>
      </c>
      <c r="AT15" s="71" t="str">
        <f t="shared" si="13"/>
        <v/>
      </c>
    </row>
    <row r="16" spans="1:46" s="30" customFormat="1" ht="60" customHeight="1">
      <c r="A16" s="70">
        <f>Data!AW16</f>
        <v>0</v>
      </c>
      <c r="B16" s="49">
        <f>Data!AY16</f>
        <v>0</v>
      </c>
      <c r="C16" s="86">
        <f>SUM(Data!BA16)</f>
        <v>0</v>
      </c>
      <c r="D16" s="82">
        <f>SUM(Data!BB16)</f>
        <v>0</v>
      </c>
      <c r="E16" s="48" t="str">
        <f t="array" ref="E16">bpLOOKUP(Data!$AV16,"Size",CustOrdOpt,6,FALSE)</f>
        <v/>
      </c>
      <c r="F16" s="48" t="str">
        <f t="array" ref="F16">bpLOOKUP(Data!$AV16,"FIT",CustOrdOpt,6,FALSE)</f>
        <v/>
      </c>
      <c r="G16" s="48" t="str">
        <f t="array" ref="G16">bpLOOKUP(Data!$AV16,"FIXING",CustOrdOpt,6,FALSE)</f>
        <v/>
      </c>
      <c r="H16" s="49" t="str">
        <f t="array" ref="H16">bpLOOKUP(Data!$AV16,"COLOUR",CustOrdOpt,6,FALSE)</f>
        <v/>
      </c>
      <c r="I16" s="49" t="str">
        <f t="array" ref="I16">bpLOOKUP(Data!$AV16,"FRAMESIZE",CustOrdOpt,6,FALSE)</f>
        <v/>
      </c>
      <c r="J16" s="49" t="str">
        <f t="array" ref="J16">bpLOOKUP(Data!$AV16,"MOUNT",CustOrdOpt,6,FALSE)</f>
        <v/>
      </c>
      <c r="K16" s="48" t="str">
        <f t="array" ref="K16">bpLOOKUP(Data!$AV16,"PACKERST",CustOrdOpt,6,FALSE)</f>
        <v/>
      </c>
      <c r="L16" s="48" t="str">
        <f t="array" ref="L16">bpLOOKUP(Data!$AV16,"PACKERSB",CustOrdOpt,6,FALSE)</f>
        <v/>
      </c>
      <c r="M16" s="48" t="str">
        <f t="array" ref="M16">bpLOOKUP(Data!$AV16,"PACKERSL",CustOrdOpt,6,FALSE)</f>
        <v/>
      </c>
      <c r="N16" s="48" t="str">
        <f t="array" ref="N16">bpLOOKUP(Data!$AV16,"PACKERSR",CustOrdOpt,6,FALSE)</f>
        <v/>
      </c>
      <c r="O16" s="48" t="str">
        <f t="array" ref="O16">bpLOOKUP(Data!$AV16,"LHSOFFSET",CustOrdOpt,6,FALSE)</f>
        <v/>
      </c>
      <c r="P16" s="48" t="str">
        <f t="array" ref="P16">bpLOOKUP(Data!$AV16,"RHSOFFSET",CustOrdOpt,6,FALSE)</f>
        <v/>
      </c>
      <c r="Q16" s="48" t="str">
        <f t="array" ref="Q16">bpLOOKUP(Data!$AV16,"WIND",CustOrdOpt,6,FALSE)</f>
        <v/>
      </c>
      <c r="R16" s="48" t="str">
        <f t="array" ref="R16">bpLOOKUP(Data!$AV16,"SIDEBYSIDE",CustOrdOpt,6,FALSE)</f>
        <v/>
      </c>
      <c r="S16" s="86" t="str">
        <f>IF(Data!AV16="","",C16-VLOOKUP(R16,SideDeduct,2,FALSE))</f>
        <v/>
      </c>
      <c r="T16" s="82">
        <f t="shared" si="0"/>
        <v>0</v>
      </c>
      <c r="U16" s="48" t="str">
        <f t="array" ref="U16">bpLOOKUP(Data!$AV16,"INSTALLATION",CustOrdOpt,6,FALSE)</f>
        <v/>
      </c>
      <c r="V16" s="48" t="str">
        <f t="array" ref="V16">bpLOOKUP(Data!$AV16,"Notes",CustOrdOpt,6,FALSE)</f>
        <v/>
      </c>
      <c r="W16"/>
      <c r="X16" s="49">
        <f>Data!BN16</f>
        <v>0</v>
      </c>
      <c r="Y16" s="49">
        <f>Data!BO16</f>
        <v>0</v>
      </c>
      <c r="Z16" s="48">
        <f t="shared" si="1"/>
        <v>0</v>
      </c>
      <c r="AA16" s="49" t="str">
        <f>IF(Data!AW16="","",IF(J16="Centre Opening",2,1))</f>
        <v/>
      </c>
      <c r="AB16" s="49" t="str">
        <f>IF(Data!AW16="","",INDEX(MeshG,MATCH(D16,MeshD,1),MATCH(Z16,MeshW,1)))</f>
        <v/>
      </c>
      <c r="AC16" s="37"/>
      <c r="AD16" s="95" t="str">
        <f>IF(Data!AV16="","",'Tube Cutting'!E16-2)</f>
        <v/>
      </c>
      <c r="AE16" s="95" t="str">
        <f>IF(Data!AV16="","",'Job Sheet'!D16-60)</f>
        <v/>
      </c>
      <c r="AF16" s="37"/>
      <c r="AG16" s="71" t="str">
        <f t="shared" si="2"/>
        <v/>
      </c>
      <c r="AH16" s="71" t="str">
        <f t="shared" si="3"/>
        <v/>
      </c>
      <c r="AI16" s="71" t="str">
        <f t="shared" si="4"/>
        <v/>
      </c>
      <c r="AJ16" s="71" t="str">
        <f t="shared" si="5"/>
        <v/>
      </c>
      <c r="AL16" s="71" t="str">
        <f t="shared" si="6"/>
        <v/>
      </c>
      <c r="AM16" s="71" t="str">
        <f t="shared" si="7"/>
        <v/>
      </c>
      <c r="AN16" s="71" t="str">
        <f t="shared" si="8"/>
        <v/>
      </c>
      <c r="AO16" s="71" t="str">
        <f t="shared" si="9"/>
        <v/>
      </c>
      <c r="AQ16" s="71" t="str">
        <f t="shared" si="10"/>
        <v/>
      </c>
      <c r="AR16" s="71" t="str">
        <f t="shared" si="11"/>
        <v/>
      </c>
      <c r="AS16" s="71" t="str">
        <f t="shared" si="12"/>
        <v/>
      </c>
      <c r="AT16" s="71" t="str">
        <f t="shared" si="13"/>
        <v/>
      </c>
    </row>
    <row r="17" spans="1:46" s="30" customFormat="1" ht="60" customHeight="1">
      <c r="A17" s="70">
        <f>Data!AW17</f>
        <v>0</v>
      </c>
      <c r="B17" s="49">
        <f>Data!AY17</f>
        <v>0</v>
      </c>
      <c r="C17" s="86">
        <f>SUM(Data!BA17)</f>
        <v>0</v>
      </c>
      <c r="D17" s="82">
        <f>SUM(Data!BB17)</f>
        <v>0</v>
      </c>
      <c r="E17" s="48" t="str">
        <f t="array" ref="E17">bpLOOKUP(Data!$AV17,"Size",CustOrdOpt,6,FALSE)</f>
        <v/>
      </c>
      <c r="F17" s="48" t="str">
        <f t="array" ref="F17">bpLOOKUP(Data!$AV17,"FIT",CustOrdOpt,6,FALSE)</f>
        <v/>
      </c>
      <c r="G17" s="48" t="str">
        <f t="array" ref="G17">bpLOOKUP(Data!$AV17,"FIXING",CustOrdOpt,6,FALSE)</f>
        <v/>
      </c>
      <c r="H17" s="49" t="str">
        <f t="array" ref="H17">bpLOOKUP(Data!$AV17,"COLOUR",CustOrdOpt,6,FALSE)</f>
        <v/>
      </c>
      <c r="I17" s="49" t="str">
        <f t="array" ref="I17">bpLOOKUP(Data!$AV17,"FRAMESIZE",CustOrdOpt,6,FALSE)</f>
        <v/>
      </c>
      <c r="J17" s="49" t="str">
        <f t="array" ref="J17">bpLOOKUP(Data!$AV17,"MOUNT",CustOrdOpt,6,FALSE)</f>
        <v/>
      </c>
      <c r="K17" s="48" t="str">
        <f t="array" ref="K17">bpLOOKUP(Data!$AV17,"PACKERST",CustOrdOpt,6,FALSE)</f>
        <v/>
      </c>
      <c r="L17" s="48" t="str">
        <f t="array" ref="L17">bpLOOKUP(Data!$AV17,"PACKERSB",CustOrdOpt,6,FALSE)</f>
        <v/>
      </c>
      <c r="M17" s="48" t="str">
        <f t="array" ref="M17">bpLOOKUP(Data!$AV17,"PACKERSL",CustOrdOpt,6,FALSE)</f>
        <v/>
      </c>
      <c r="N17" s="48" t="str">
        <f t="array" ref="N17">bpLOOKUP(Data!$AV17,"PACKERSR",CustOrdOpt,6,FALSE)</f>
        <v/>
      </c>
      <c r="O17" s="48" t="str">
        <f t="array" ref="O17">bpLOOKUP(Data!$AV17,"LHSOFFSET",CustOrdOpt,6,FALSE)</f>
        <v/>
      </c>
      <c r="P17" s="48" t="str">
        <f t="array" ref="P17">bpLOOKUP(Data!$AV17,"RHSOFFSET",CustOrdOpt,6,FALSE)</f>
        <v/>
      </c>
      <c r="Q17" s="48" t="str">
        <f t="array" ref="Q17">bpLOOKUP(Data!$AV17,"WIND",CustOrdOpt,6,FALSE)</f>
        <v/>
      </c>
      <c r="R17" s="48" t="str">
        <f t="array" ref="R17">bpLOOKUP(Data!$AV17,"SIDEBYSIDE",CustOrdOpt,6,FALSE)</f>
        <v/>
      </c>
      <c r="S17" s="86" t="str">
        <f>IF(Data!AV17="","",C17-VLOOKUP(R17,SideDeduct,2,FALSE))</f>
        <v/>
      </c>
      <c r="T17" s="82">
        <f t="shared" si="0"/>
        <v>0</v>
      </c>
      <c r="U17" s="48" t="str">
        <f t="array" ref="U17">bpLOOKUP(Data!$AV17,"INSTALLATION",CustOrdOpt,6,FALSE)</f>
        <v/>
      </c>
      <c r="V17" s="48" t="str">
        <f t="array" ref="V17">bpLOOKUP(Data!$AV17,"Notes",CustOrdOpt,6,FALSE)</f>
        <v/>
      </c>
      <c r="W17"/>
      <c r="X17" s="49">
        <f>Data!BN17</f>
        <v>0</v>
      </c>
      <c r="Y17" s="49">
        <f>Data!BO17</f>
        <v>0</v>
      </c>
      <c r="Z17" s="48">
        <f t="shared" si="1"/>
        <v>0</v>
      </c>
      <c r="AA17" s="49" t="str">
        <f>IF(Data!AW17="","",IF(J17="Centre Opening",2,1))</f>
        <v/>
      </c>
      <c r="AB17" s="49" t="str">
        <f>IF(Data!AW17="","",INDEX(MeshG,MATCH(D17,MeshD,1),MATCH(Z17,MeshW,1)))</f>
        <v/>
      </c>
      <c r="AC17" s="37"/>
      <c r="AD17" s="95" t="str">
        <f>IF(Data!AV17="","",'Tube Cutting'!E17-2)</f>
        <v/>
      </c>
      <c r="AE17" s="95" t="str">
        <f>IF(Data!AV17="","",'Job Sheet'!D17-60)</f>
        <v/>
      </c>
      <c r="AF17" s="37"/>
      <c r="AG17" s="71" t="str">
        <f t="shared" si="2"/>
        <v/>
      </c>
      <c r="AH17" s="71" t="str">
        <f t="shared" si="3"/>
        <v/>
      </c>
      <c r="AI17" s="71" t="str">
        <f t="shared" si="4"/>
        <v/>
      </c>
      <c r="AJ17" s="71" t="str">
        <f t="shared" si="5"/>
        <v/>
      </c>
      <c r="AL17" s="71" t="str">
        <f t="shared" si="6"/>
        <v/>
      </c>
      <c r="AM17" s="71" t="str">
        <f t="shared" si="7"/>
        <v/>
      </c>
      <c r="AN17" s="71" t="str">
        <f t="shared" si="8"/>
        <v/>
      </c>
      <c r="AO17" s="71" t="str">
        <f t="shared" si="9"/>
        <v/>
      </c>
      <c r="AQ17" s="71" t="str">
        <f t="shared" si="10"/>
        <v/>
      </c>
      <c r="AR17" s="71" t="str">
        <f t="shared" si="11"/>
        <v/>
      </c>
      <c r="AS17" s="71" t="str">
        <f t="shared" si="12"/>
        <v/>
      </c>
      <c r="AT17" s="71" t="str">
        <f t="shared" si="13"/>
        <v/>
      </c>
    </row>
    <row r="18" spans="1:46" s="30" customFormat="1" ht="60" customHeight="1">
      <c r="A18" s="70">
        <f>Data!AW18</f>
        <v>0</v>
      </c>
      <c r="B18" s="49">
        <f>Data!AY18</f>
        <v>0</v>
      </c>
      <c r="C18" s="86">
        <f>SUM(Data!BA18)</f>
        <v>0</v>
      </c>
      <c r="D18" s="82">
        <f>SUM(Data!BB18)</f>
        <v>0</v>
      </c>
      <c r="E18" s="48" t="str">
        <f t="array" ref="E18">bpLOOKUP(Data!$AV18,"Size",CustOrdOpt,6,FALSE)</f>
        <v/>
      </c>
      <c r="F18" s="48" t="str">
        <f t="array" ref="F18">bpLOOKUP(Data!$AV18,"FIT",CustOrdOpt,6,FALSE)</f>
        <v/>
      </c>
      <c r="G18" s="48" t="str">
        <f t="array" ref="G18">bpLOOKUP(Data!$AV18,"FIXING",CustOrdOpt,6,FALSE)</f>
        <v/>
      </c>
      <c r="H18" s="49" t="str">
        <f t="array" ref="H18">bpLOOKUP(Data!$AV18,"COLOUR",CustOrdOpt,6,FALSE)</f>
        <v/>
      </c>
      <c r="I18" s="49" t="str">
        <f t="array" ref="I18">bpLOOKUP(Data!$AV18,"FRAMESIZE",CustOrdOpt,6,FALSE)</f>
        <v/>
      </c>
      <c r="J18" s="49" t="str">
        <f t="array" ref="J18">bpLOOKUP(Data!$AV18,"MOUNT",CustOrdOpt,6,FALSE)</f>
        <v/>
      </c>
      <c r="K18" s="48" t="str">
        <f t="array" ref="K18">bpLOOKUP(Data!$AV18,"PACKERST",CustOrdOpt,6,FALSE)</f>
        <v/>
      </c>
      <c r="L18" s="48" t="str">
        <f t="array" ref="L18">bpLOOKUP(Data!$AV18,"PACKERSB",CustOrdOpt,6,FALSE)</f>
        <v/>
      </c>
      <c r="M18" s="48" t="str">
        <f t="array" ref="M18">bpLOOKUP(Data!$AV18,"PACKERSL",CustOrdOpt,6,FALSE)</f>
        <v/>
      </c>
      <c r="N18" s="48" t="str">
        <f t="array" ref="N18">bpLOOKUP(Data!$AV18,"PACKERSR",CustOrdOpt,6,FALSE)</f>
        <v/>
      </c>
      <c r="O18" s="48" t="str">
        <f t="array" ref="O18">bpLOOKUP(Data!$AV18,"LHSOFFSET",CustOrdOpt,6,FALSE)</f>
        <v/>
      </c>
      <c r="P18" s="48" t="str">
        <f t="array" ref="P18">bpLOOKUP(Data!$AV18,"RHSOFFSET",CustOrdOpt,6,FALSE)</f>
        <v/>
      </c>
      <c r="Q18" s="48" t="str">
        <f t="array" ref="Q18">bpLOOKUP(Data!$AV18,"WIND",CustOrdOpt,6,FALSE)</f>
        <v/>
      </c>
      <c r="R18" s="48" t="str">
        <f t="array" ref="R18">bpLOOKUP(Data!$AV18,"SIDEBYSIDE",CustOrdOpt,6,FALSE)</f>
        <v/>
      </c>
      <c r="S18" s="86" t="str">
        <f>IF(Data!AV18="","",C18-VLOOKUP(R18,SideDeduct,2,FALSE))</f>
        <v/>
      </c>
      <c r="T18" s="82">
        <f t="shared" si="0"/>
        <v>0</v>
      </c>
      <c r="U18" s="48" t="str">
        <f t="array" ref="U18">bpLOOKUP(Data!$AV18,"INSTALLATION",CustOrdOpt,6,FALSE)</f>
        <v/>
      </c>
      <c r="V18" s="48" t="str">
        <f t="array" ref="V18">bpLOOKUP(Data!$AV18,"Notes",CustOrdOpt,6,FALSE)</f>
        <v/>
      </c>
      <c r="W18"/>
      <c r="X18" s="49">
        <f>Data!BN18</f>
        <v>0</v>
      </c>
      <c r="Y18" s="49">
        <f>Data!BO18</f>
        <v>0</v>
      </c>
      <c r="Z18" s="48">
        <f t="shared" si="1"/>
        <v>0</v>
      </c>
      <c r="AA18" s="49" t="str">
        <f>IF(Data!AW18="","",IF(J18="Centre Opening",2,1))</f>
        <v/>
      </c>
      <c r="AB18" s="49" t="str">
        <f>IF(Data!AW18="","",INDEX(MeshG,MATCH(D18,MeshD,1),MATCH(Z18,MeshW,1)))</f>
        <v/>
      </c>
      <c r="AC18" s="37"/>
      <c r="AD18" s="95" t="str">
        <f>IF(Data!AV18="","",'Tube Cutting'!E18-2)</f>
        <v/>
      </c>
      <c r="AE18" s="95" t="str">
        <f>IF(Data!AV18="","",'Job Sheet'!D18-60)</f>
        <v/>
      </c>
      <c r="AF18" s="37"/>
      <c r="AG18" s="71" t="str">
        <f t="shared" si="2"/>
        <v/>
      </c>
      <c r="AH18" s="71" t="str">
        <f t="shared" si="3"/>
        <v/>
      </c>
      <c r="AI18" s="71" t="str">
        <f t="shared" si="4"/>
        <v/>
      </c>
      <c r="AJ18" s="71" t="str">
        <f t="shared" si="5"/>
        <v/>
      </c>
      <c r="AL18" s="71" t="str">
        <f t="shared" si="6"/>
        <v/>
      </c>
      <c r="AM18" s="71" t="str">
        <f t="shared" si="7"/>
        <v/>
      </c>
      <c r="AN18" s="71" t="str">
        <f t="shared" si="8"/>
        <v/>
      </c>
      <c r="AO18" s="71" t="str">
        <f t="shared" si="9"/>
        <v/>
      </c>
      <c r="AQ18" s="71" t="str">
        <f t="shared" si="10"/>
        <v/>
      </c>
      <c r="AR18" s="71" t="str">
        <f t="shared" si="11"/>
        <v/>
      </c>
      <c r="AS18" s="71" t="str">
        <f t="shared" si="12"/>
        <v/>
      </c>
      <c r="AT18" s="71" t="str">
        <f t="shared" si="13"/>
        <v/>
      </c>
    </row>
    <row r="19" spans="1:46" s="30" customFormat="1" ht="60" customHeight="1">
      <c r="A19" s="70">
        <f>Data!AW19</f>
        <v>0</v>
      </c>
      <c r="B19" s="49">
        <f>Data!AY19</f>
        <v>0</v>
      </c>
      <c r="C19" s="86">
        <f>SUM(Data!BA19)</f>
        <v>0</v>
      </c>
      <c r="D19" s="82">
        <f>SUM(Data!BB19)</f>
        <v>0</v>
      </c>
      <c r="E19" s="48" t="str">
        <f t="array" ref="E19">bpLOOKUP(Data!$AV19,"Size",CustOrdOpt,6,FALSE)</f>
        <v/>
      </c>
      <c r="F19" s="48" t="str">
        <f t="array" ref="F19">bpLOOKUP(Data!$AV19,"FIT",CustOrdOpt,6,FALSE)</f>
        <v/>
      </c>
      <c r="G19" s="48" t="str">
        <f t="array" ref="G19">bpLOOKUP(Data!$AV19,"FIXING",CustOrdOpt,6,FALSE)</f>
        <v/>
      </c>
      <c r="H19" s="49" t="str">
        <f t="array" ref="H19">bpLOOKUP(Data!$AV19,"COLOUR",CustOrdOpt,6,FALSE)</f>
        <v/>
      </c>
      <c r="I19" s="49" t="str">
        <f t="array" ref="I19">bpLOOKUP(Data!$AV19,"FRAMESIZE",CustOrdOpt,6,FALSE)</f>
        <v/>
      </c>
      <c r="J19" s="49" t="str">
        <f t="array" ref="J19">bpLOOKUP(Data!$AV19,"MOUNT",CustOrdOpt,6,FALSE)</f>
        <v/>
      </c>
      <c r="K19" s="48" t="str">
        <f t="array" ref="K19">bpLOOKUP(Data!$AV19,"PACKERST",CustOrdOpt,6,FALSE)</f>
        <v/>
      </c>
      <c r="L19" s="48" t="str">
        <f t="array" ref="L19">bpLOOKUP(Data!$AV19,"PACKERSB",CustOrdOpt,6,FALSE)</f>
        <v/>
      </c>
      <c r="M19" s="48" t="str">
        <f t="array" ref="M19">bpLOOKUP(Data!$AV19,"PACKERSL",CustOrdOpt,6,FALSE)</f>
        <v/>
      </c>
      <c r="N19" s="48" t="str">
        <f t="array" ref="N19">bpLOOKUP(Data!$AV19,"PACKERSR",CustOrdOpt,6,FALSE)</f>
        <v/>
      </c>
      <c r="O19" s="48" t="str">
        <f t="array" ref="O19">bpLOOKUP(Data!$AV19,"LHSOFFSET",CustOrdOpt,6,FALSE)</f>
        <v/>
      </c>
      <c r="P19" s="48" t="str">
        <f t="array" ref="P19">bpLOOKUP(Data!$AV19,"RHSOFFSET",CustOrdOpt,6,FALSE)</f>
        <v/>
      </c>
      <c r="Q19" s="48" t="str">
        <f t="array" ref="Q19">bpLOOKUP(Data!$AV19,"WIND",CustOrdOpt,6,FALSE)</f>
        <v/>
      </c>
      <c r="R19" s="48" t="str">
        <f t="array" ref="R19">bpLOOKUP(Data!$AV19,"SIDEBYSIDE",CustOrdOpt,6,FALSE)</f>
        <v/>
      </c>
      <c r="S19" s="86" t="str">
        <f>IF(Data!AV19="","",C19-VLOOKUP(R19,SideDeduct,2,FALSE))</f>
        <v/>
      </c>
      <c r="T19" s="82">
        <f t="shared" si="0"/>
        <v>0</v>
      </c>
      <c r="U19" s="48" t="str">
        <f t="array" ref="U19">bpLOOKUP(Data!$AV19,"INSTALLATION",CustOrdOpt,6,FALSE)</f>
        <v/>
      </c>
      <c r="V19" s="48" t="str">
        <f t="array" ref="V19">bpLOOKUP(Data!$AV19,"Notes",CustOrdOpt,6,FALSE)</f>
        <v/>
      </c>
      <c r="W19"/>
      <c r="X19" s="49">
        <f>Data!BN19</f>
        <v>0</v>
      </c>
      <c r="Y19" s="49">
        <f>Data!BO19</f>
        <v>0</v>
      </c>
      <c r="Z19" s="48">
        <f t="shared" si="1"/>
        <v>0</v>
      </c>
      <c r="AA19" s="49" t="str">
        <f>IF(Data!AW19="","",IF(J19="Centre Opening",2,1))</f>
        <v/>
      </c>
      <c r="AB19" s="49" t="str">
        <f>IF(Data!AW19="","",INDEX(MeshG,MATCH(D19,MeshD,1),MATCH(Z19,MeshW,1)))</f>
        <v/>
      </c>
      <c r="AC19" s="37"/>
      <c r="AD19" s="95" t="str">
        <f>IF(Data!AV19="","",'Tube Cutting'!E19-2)</f>
        <v/>
      </c>
      <c r="AE19" s="95" t="str">
        <f>IF(Data!AV19="","",'Job Sheet'!D19-60)</f>
        <v/>
      </c>
      <c r="AF19" s="37"/>
      <c r="AG19" s="71" t="str">
        <f t="shared" si="2"/>
        <v/>
      </c>
      <c r="AH19" s="71" t="str">
        <f t="shared" si="3"/>
        <v/>
      </c>
      <c r="AI19" s="71" t="str">
        <f t="shared" si="4"/>
        <v/>
      </c>
      <c r="AJ19" s="71" t="str">
        <f t="shared" si="5"/>
        <v/>
      </c>
      <c r="AL19" s="71" t="str">
        <f t="shared" si="6"/>
        <v/>
      </c>
      <c r="AM19" s="71" t="str">
        <f t="shared" si="7"/>
        <v/>
      </c>
      <c r="AN19" s="71" t="str">
        <f t="shared" si="8"/>
        <v/>
      </c>
      <c r="AO19" s="71" t="str">
        <f t="shared" si="9"/>
        <v/>
      </c>
      <c r="AQ19" s="71" t="str">
        <f t="shared" si="10"/>
        <v/>
      </c>
      <c r="AR19" s="71" t="str">
        <f t="shared" si="11"/>
        <v/>
      </c>
      <c r="AS19" s="71" t="str">
        <f t="shared" si="12"/>
        <v/>
      </c>
      <c r="AT19" s="71" t="str">
        <f t="shared" si="13"/>
        <v/>
      </c>
    </row>
    <row r="20" spans="1:46" s="30" customFormat="1" ht="60" customHeight="1">
      <c r="A20" s="70">
        <f>Data!AW20</f>
        <v>0</v>
      </c>
      <c r="B20" s="49">
        <f>Data!AY20</f>
        <v>0</v>
      </c>
      <c r="C20" s="86">
        <f>SUM(Data!BA20)</f>
        <v>0</v>
      </c>
      <c r="D20" s="82">
        <f>SUM(Data!BB20)</f>
        <v>0</v>
      </c>
      <c r="E20" s="48" t="str">
        <f t="array" ref="E20">bpLOOKUP(Data!$AV20,"Size",CustOrdOpt,6,FALSE)</f>
        <v/>
      </c>
      <c r="F20" s="48" t="str">
        <f t="array" ref="F20">bpLOOKUP(Data!$AV20,"FIT",CustOrdOpt,6,FALSE)</f>
        <v/>
      </c>
      <c r="G20" s="48" t="str">
        <f t="array" ref="G20">bpLOOKUP(Data!$AV20,"FIXING",CustOrdOpt,6,FALSE)</f>
        <v/>
      </c>
      <c r="H20" s="49" t="str">
        <f t="array" ref="H20">bpLOOKUP(Data!$AV20,"COLOUR",CustOrdOpt,6,FALSE)</f>
        <v/>
      </c>
      <c r="I20" s="49" t="str">
        <f t="array" ref="I20">bpLOOKUP(Data!$AV20,"FRAMESIZE",CustOrdOpt,6,FALSE)</f>
        <v/>
      </c>
      <c r="J20" s="49" t="str">
        <f t="array" ref="J20">bpLOOKUP(Data!$AV20,"MOUNT",CustOrdOpt,6,FALSE)</f>
        <v/>
      </c>
      <c r="K20" s="48" t="str">
        <f t="array" ref="K20">bpLOOKUP(Data!$AV20,"PACKERST",CustOrdOpt,6,FALSE)</f>
        <v/>
      </c>
      <c r="L20" s="48" t="str">
        <f t="array" ref="L20">bpLOOKUP(Data!$AV20,"PACKERSB",CustOrdOpt,6,FALSE)</f>
        <v/>
      </c>
      <c r="M20" s="48" t="str">
        <f t="array" ref="M20">bpLOOKUP(Data!$AV20,"PACKERSL",CustOrdOpt,6,FALSE)</f>
        <v/>
      </c>
      <c r="N20" s="48" t="str">
        <f t="array" ref="N20">bpLOOKUP(Data!$AV20,"PACKERSR",CustOrdOpt,6,FALSE)</f>
        <v/>
      </c>
      <c r="O20" s="48" t="str">
        <f t="array" ref="O20">bpLOOKUP(Data!$AV20,"LHSOFFSET",CustOrdOpt,6,FALSE)</f>
        <v/>
      </c>
      <c r="P20" s="48" t="str">
        <f t="array" ref="P20">bpLOOKUP(Data!$AV20,"RHSOFFSET",CustOrdOpt,6,FALSE)</f>
        <v/>
      </c>
      <c r="Q20" s="48" t="str">
        <f t="array" ref="Q20">bpLOOKUP(Data!$AV20,"WIND",CustOrdOpt,6,FALSE)</f>
        <v/>
      </c>
      <c r="R20" s="48" t="str">
        <f t="array" ref="R20">bpLOOKUP(Data!$AV20,"SIDEBYSIDE",CustOrdOpt,6,FALSE)</f>
        <v/>
      </c>
      <c r="S20" s="86" t="str">
        <f>IF(Data!AV20="","",C20-VLOOKUP(R20,SideDeduct,2,FALSE))</f>
        <v/>
      </c>
      <c r="T20" s="82">
        <f t="shared" si="0"/>
        <v>0</v>
      </c>
      <c r="U20" s="48" t="str">
        <f t="array" ref="U20">bpLOOKUP(Data!$AV20,"INSTALLATION",CustOrdOpt,6,FALSE)</f>
        <v/>
      </c>
      <c r="V20" s="48" t="str">
        <f t="array" ref="V20">bpLOOKUP(Data!$AV20,"Notes",CustOrdOpt,6,FALSE)</f>
        <v/>
      </c>
      <c r="W20"/>
      <c r="X20" s="49">
        <f>Data!BN20</f>
        <v>0</v>
      </c>
      <c r="Y20" s="49">
        <f>Data!BO20</f>
        <v>0</v>
      </c>
      <c r="Z20" s="48">
        <f t="shared" si="1"/>
        <v>0</v>
      </c>
      <c r="AA20" s="49" t="str">
        <f>IF(Data!AW20="","",IF(J20="Centre Opening",2,1))</f>
        <v/>
      </c>
      <c r="AB20" s="49" t="str">
        <f>IF(Data!AW20="","",INDEX(MeshG,MATCH(D20,MeshD,1),MATCH(Z20,MeshW,1)))</f>
        <v/>
      </c>
      <c r="AC20" s="37"/>
      <c r="AD20" s="95" t="str">
        <f>IF(Data!AV20="","",'Tube Cutting'!E20-2)</f>
        <v/>
      </c>
      <c r="AE20" s="95" t="str">
        <f>IF(Data!AV20="","",'Job Sheet'!D20-60)</f>
        <v/>
      </c>
      <c r="AF20" s="37"/>
      <c r="AG20" s="71" t="str">
        <f t="shared" si="2"/>
        <v/>
      </c>
      <c r="AH20" s="71" t="str">
        <f t="shared" si="3"/>
        <v/>
      </c>
      <c r="AI20" s="71" t="str">
        <f t="shared" si="4"/>
        <v/>
      </c>
      <c r="AJ20" s="71" t="str">
        <f t="shared" si="5"/>
        <v/>
      </c>
      <c r="AL20" s="71" t="str">
        <f t="shared" si="6"/>
        <v/>
      </c>
      <c r="AM20" s="71" t="str">
        <f t="shared" si="7"/>
        <v/>
      </c>
      <c r="AN20" s="71" t="str">
        <f t="shared" si="8"/>
        <v/>
      </c>
      <c r="AO20" s="71" t="str">
        <f t="shared" si="9"/>
        <v/>
      </c>
      <c r="AQ20" s="71" t="str">
        <f t="shared" si="10"/>
        <v/>
      </c>
      <c r="AR20" s="71" t="str">
        <f t="shared" si="11"/>
        <v/>
      </c>
      <c r="AS20" s="71" t="str">
        <f t="shared" si="12"/>
        <v/>
      </c>
      <c r="AT20" s="71" t="str">
        <f t="shared" si="13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</sheetData>
  <sheetProtection formatCells="0" formatRows="0" insertColumns="0" insertRows="0"/>
  <mergeCells count="66">
    <mergeCell ref="A2:V2"/>
    <mergeCell ref="P3:V3"/>
    <mergeCell ref="P4:V8"/>
    <mergeCell ref="AG8:AJ8"/>
    <mergeCell ref="J3:O3"/>
    <mergeCell ref="G4:I4"/>
    <mergeCell ref="G5:I5"/>
    <mergeCell ref="G6:I8"/>
    <mergeCell ref="J5:O5"/>
    <mergeCell ref="G3:I3"/>
    <mergeCell ref="J6:O6"/>
    <mergeCell ref="J4:O4"/>
    <mergeCell ref="J7:O7"/>
    <mergeCell ref="J8:O8"/>
    <mergeCell ref="A4:B4"/>
    <mergeCell ref="C3:F3"/>
    <mergeCell ref="A7:F8"/>
    <mergeCell ref="C5:F5"/>
    <mergeCell ref="C4:F4"/>
    <mergeCell ref="A5:B5"/>
    <mergeCell ref="A3:B3"/>
    <mergeCell ref="A6:B6"/>
    <mergeCell ref="C6:F6"/>
    <mergeCell ref="A9:A10"/>
    <mergeCell ref="V9:V10"/>
    <mergeCell ref="X9:X10"/>
    <mergeCell ref="I9:I10"/>
    <mergeCell ref="F9:F10"/>
    <mergeCell ref="O9:O10"/>
    <mergeCell ref="H9:H10"/>
    <mergeCell ref="J9:J10"/>
    <mergeCell ref="P9:P10"/>
    <mergeCell ref="Q9:Q10"/>
    <mergeCell ref="R9:R10"/>
    <mergeCell ref="G9:G10"/>
    <mergeCell ref="S9:S10"/>
    <mergeCell ref="T9:T10"/>
    <mergeCell ref="K9:K10"/>
    <mergeCell ref="L9:L10"/>
    <mergeCell ref="AB9:AB10"/>
    <mergeCell ref="U9:U10"/>
    <mergeCell ref="B9:B10"/>
    <mergeCell ref="C9:C10"/>
    <mergeCell ref="E9:E10"/>
    <mergeCell ref="D9:D10"/>
    <mergeCell ref="AA9:AA10"/>
    <mergeCell ref="Y9:Y10"/>
    <mergeCell ref="M9:M10"/>
    <mergeCell ref="N9:N10"/>
    <mergeCell ref="Z9:Z10"/>
    <mergeCell ref="AD9:AD10"/>
    <mergeCell ref="AE9:AE10"/>
    <mergeCell ref="AQ8:AT8"/>
    <mergeCell ref="AQ9:AQ10"/>
    <mergeCell ref="AR9:AR10"/>
    <mergeCell ref="AS9:AS10"/>
    <mergeCell ref="AT9:AT10"/>
    <mergeCell ref="AG9:AG10"/>
    <mergeCell ref="AH9:AH10"/>
    <mergeCell ref="AI9:AI10"/>
    <mergeCell ref="AJ9:AJ10"/>
    <mergeCell ref="AL8:AO8"/>
    <mergeCell ref="AL9:AL10"/>
    <mergeCell ref="AM9:AM10"/>
    <mergeCell ref="AN9:AN10"/>
    <mergeCell ref="AO9:AO10"/>
  </mergeCells>
  <printOptions horizontalCentered="1"/>
  <pageMargins left="0.350393700787409" right="0.350393700787409" top="0.15748031496063" bottom="0.196850393700787" header="0.118110236220472" footer="0.118110236220472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F539-D3A0-4148-870D-FDF4F715460E}">
  <sheetPr codeName="Sheet1">
    <pageSetUpPr fitToPage="1"/>
  </sheetPr>
  <dimension ref="A2:R365"/>
  <sheetViews>
    <sheetView view="pageBreakPreview" zoomScale="40" zoomScaleNormal="40" zoomScaleSheetLayoutView="40" workbookViewId="0" topLeftCell="A3">
      <selection pane="topLeft" activeCell="A11" sqref="A11:XFD20"/>
    </sheetView>
  </sheetViews>
  <sheetFormatPr defaultColWidth="9.109375" defaultRowHeight="13.5"/>
  <cols>
    <col min="1" max="1" width="12.4285714285714" style="46" customWidth="1"/>
    <col min="2" max="2" width="38.2857142857143" style="46" customWidth="1"/>
    <col min="3" max="3" width="17.1428571428571" style="46" customWidth="1"/>
    <col min="4" max="4" width="28" style="46" customWidth="1"/>
    <col min="5" max="5" width="23.7142857142857" style="46" customWidth="1"/>
    <col min="6" max="6" width="21.5714285714286" style="46" customWidth="1"/>
    <col min="7" max="7" width="22.2857142857143" style="46" customWidth="1"/>
    <col min="8" max="8" width="30" customWidth="1"/>
    <col min="9" max="9" width="22.4285714285714" customWidth="1"/>
    <col min="10" max="10" width="21.8571428571429" customWidth="1"/>
    <col min="11" max="11" width="21" customWidth="1"/>
    <col min="12" max="12" width="22.4285714285714" customWidth="1"/>
    <col min="13" max="13" width="32.2857142857143" customWidth="1"/>
    <col min="14" max="14" width="35.7142857142857" customWidth="1"/>
    <col min="15" max="15" width="32.4285714285714" customWidth="1"/>
    <col min="16" max="16" width="31.1428571428571" customWidth="1"/>
    <col min="17" max="17" width="80.2857142857143" customWidth="1"/>
    <col min="18" max="18" width="21.2857142857143" customWidth="1"/>
  </cols>
  <sheetData>
    <row r="2" spans="1:18" ht="330.6" customHeight="1">
      <c r="A2" s="137" t="s">
        <v>176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50.1" customHeight="1">
      <c r="A3" s="145" t="s">
        <v>7</v>
      </c>
      <c r="B3" s="145"/>
      <c r="C3" s="142"/>
      <c r="D3" s="142"/>
      <c r="E3" s="142"/>
      <c r="F3" s="142" t="s">
        <v>114</v>
      </c>
      <c r="G3" s="142"/>
      <c r="H3" s="142"/>
      <c r="I3" s="130" t="str">
        <f>TRIM(Data!BF5)</f>
        <v>Mcleod, Eric</v>
      </c>
      <c r="J3" s="131"/>
      <c r="K3" s="131"/>
      <c r="L3" s="131"/>
      <c r="M3" s="131"/>
      <c r="N3" s="132"/>
      <c r="O3" s="127" t="s">
        <v>4</v>
      </c>
      <c r="P3" s="128"/>
      <c r="Q3" s="128"/>
      <c r="R3" s="129"/>
    </row>
    <row r="4" spans="1:18" ht="50.1" customHeight="1">
      <c r="A4" s="148" t="s">
        <v>130</v>
      </c>
      <c r="B4" s="148"/>
      <c r="C4" s="141" t="str">
        <f>TRIM(Data!BC5)</f>
        <v>10940</v>
      </c>
      <c r="D4" s="141"/>
      <c r="E4" s="141"/>
      <c r="F4" s="143" t="s">
        <v>8</v>
      </c>
      <c r="G4" s="143"/>
      <c r="H4" s="143"/>
      <c r="I4" s="133" t="str">
        <f>TRIM(Data!AX5)</f>
        <v>Retractable Flyscreen</v>
      </c>
      <c r="J4" s="134"/>
      <c r="K4" s="134"/>
      <c r="L4" s="134"/>
      <c r="M4" s="134"/>
      <c r="N4" s="135"/>
      <c r="O4" s="118" t="str">
        <f>TRIM(Data!BG5)</f>
        <v/>
      </c>
      <c r="P4" s="119"/>
      <c r="Q4" s="119"/>
      <c r="R4" s="120"/>
    </row>
    <row r="5" spans="1:18" ht="50.1" customHeight="1">
      <c r="A5" s="145" t="s">
        <v>15</v>
      </c>
      <c r="B5" s="145"/>
      <c r="C5" s="141" t="str">
        <f>TRIM(Data!BD5)</f>
        <v>A</v>
      </c>
      <c r="D5" s="141"/>
      <c r="E5" s="141"/>
      <c r="F5" s="143" t="s">
        <v>124</v>
      </c>
      <c r="G5" s="143"/>
      <c r="H5" s="143"/>
      <c r="I5" s="133" t="str">
        <f>TRIM(Data!BA5)</f>
        <v>21/09/2026 12:00:00 AM</v>
      </c>
      <c r="J5" s="134"/>
      <c r="K5" s="134"/>
      <c r="L5" s="134"/>
      <c r="M5" s="134"/>
      <c r="N5" s="135"/>
      <c r="O5" s="121"/>
      <c r="P5" s="122"/>
      <c r="Q5" s="122"/>
      <c r="R5" s="123"/>
    </row>
    <row r="6" spans="1:18" ht="50.1" customHeight="1">
      <c r="A6" s="149" t="s">
        <v>9</v>
      </c>
      <c r="B6" s="149"/>
      <c r="C6" s="140" t="str">
        <f>TRIM(Data!AY5)</f>
        <v>1/09/2026 12:00:00 AM</v>
      </c>
      <c r="D6" s="140"/>
      <c r="E6" s="140"/>
      <c r="F6" s="141" t="s">
        <v>12</v>
      </c>
      <c r="G6" s="141"/>
      <c r="H6" s="141"/>
      <c r="I6" s="130" t="str">
        <f>TRIM(Data!BF5)</f>
        <v>Mcleod, Eric</v>
      </c>
      <c r="J6" s="131"/>
      <c r="K6" s="131"/>
      <c r="L6" s="131"/>
      <c r="M6" s="131"/>
      <c r="N6" s="132"/>
      <c r="O6" s="121"/>
      <c r="P6" s="122"/>
      <c r="Q6" s="122"/>
      <c r="R6" s="123"/>
    </row>
    <row r="7" spans="1:18" ht="50.1" customHeight="1">
      <c r="A7" s="139" t="str">
        <f>TRIM(Data!CZ5)</f>
        <v>Retail Customer</v>
      </c>
      <c r="B7" s="139"/>
      <c r="C7" s="139"/>
      <c r="D7" s="139"/>
      <c r="E7" s="139"/>
      <c r="F7" s="141"/>
      <c r="G7" s="141"/>
      <c r="H7" s="141"/>
      <c r="I7" s="130" t="str">
        <f>CONCATENATE(Data!BH5," ",Data!BI5," ",Data!BJ5," ",Data!BK5," ",Data!BL5)</f>
        <v>502 6  Lyons Street North </v>
      </c>
      <c r="J7" s="131"/>
      <c r="K7" s="131"/>
      <c r="L7" s="131"/>
      <c r="M7" s="131"/>
      <c r="N7" s="132"/>
      <c r="O7" s="121"/>
      <c r="P7" s="122"/>
      <c r="Q7" s="122"/>
      <c r="R7" s="123"/>
    </row>
    <row r="8" spans="1:18" ht="50.1" customHeight="1">
      <c r="A8" s="139"/>
      <c r="B8" s="139"/>
      <c r="C8" s="139"/>
      <c r="D8" s="139"/>
      <c r="E8" s="139"/>
      <c r="F8" s="141"/>
      <c r="G8" s="141"/>
      <c r="H8" s="141"/>
      <c r="I8" s="130" t="str">
        <f>CONCATENATE(Data!BM5," ",Data!BN5," ",Data!BO5," ",Data!BP5)</f>
        <v>Ballarat Central VIC 3350 Australia</v>
      </c>
      <c r="J8" s="131"/>
      <c r="K8" s="131"/>
      <c r="L8" s="131"/>
      <c r="M8" s="131"/>
      <c r="N8" s="132"/>
      <c r="O8" s="124"/>
      <c r="P8" s="125"/>
      <c r="Q8" s="125"/>
      <c r="R8" s="126"/>
    </row>
    <row r="9" spans="1:18" ht="12.75" customHeight="1">
      <c r="A9" s="146" t="s">
        <v>129</v>
      </c>
      <c r="B9" s="147" t="s">
        <v>115</v>
      </c>
      <c r="C9" s="138" t="s">
        <v>227</v>
      </c>
      <c r="D9" s="144" t="s">
        <v>182</v>
      </c>
      <c r="E9" s="144" t="s">
        <v>183</v>
      </c>
      <c r="F9" s="136" t="s">
        <v>153</v>
      </c>
      <c r="G9" s="136" t="s">
        <v>184</v>
      </c>
      <c r="H9" s="136" t="s">
        <v>185</v>
      </c>
      <c r="I9" s="144" t="s">
        <v>186</v>
      </c>
      <c r="J9" s="136" t="s">
        <v>187</v>
      </c>
      <c r="K9" s="136" t="s">
        <v>188</v>
      </c>
      <c r="L9" s="138" t="s">
        <v>189</v>
      </c>
      <c r="M9" s="136" t="s">
        <v>177</v>
      </c>
      <c r="N9" s="136" t="s">
        <v>178</v>
      </c>
      <c r="O9" s="136" t="s">
        <v>179</v>
      </c>
      <c r="P9" s="136" t="s">
        <v>180</v>
      </c>
      <c r="Q9" s="136" t="s">
        <v>5</v>
      </c>
      <c r="R9" s="136" t="s">
        <v>306</v>
      </c>
    </row>
    <row r="10" spans="1:18" ht="114.75" customHeight="1">
      <c r="A10" s="146"/>
      <c r="B10" s="147"/>
      <c r="C10" s="138"/>
      <c r="D10" s="144"/>
      <c r="E10" s="144"/>
      <c r="F10" s="136"/>
      <c r="G10" s="136"/>
      <c r="H10" s="136"/>
      <c r="I10" s="144"/>
      <c r="J10" s="136"/>
      <c r="K10" s="136"/>
      <c r="L10" s="138"/>
      <c r="M10" s="136"/>
      <c r="N10" s="136"/>
      <c r="O10" s="136"/>
      <c r="P10" s="136"/>
      <c r="Q10" s="136"/>
      <c r="R10" s="136"/>
    </row>
    <row r="11" spans="1:18" ht="123.75">
      <c r="A11" s="79">
        <f>IF(Data!AW11="","",Data!AW11)</f>
        <v>1</v>
      </c>
      <c r="B11" s="80" t="str">
        <f>IF(I11="","",'Job Sheet'!B11)</f>
        <v>Bed 3</v>
      </c>
      <c r="C11" s="87">
        <f>'Job Sheet'!AA11</f>
        <v>1</v>
      </c>
      <c r="D11" s="81" t="str">
        <f>'Job Sheet'!AB11</f>
        <v>1800 x 2750</v>
      </c>
      <c r="E11" s="81">
        <f>IF(Data!AV11="","",'Job Sheet'!D11-VLOOKUP('Job Sheet'!J11,Operation,2,FALSE))</f>
        <v>2439</v>
      </c>
      <c r="F11" s="78" t="str">
        <f>'Job Sheet'!H11</f>
        <v>Black</v>
      </c>
      <c r="G11" s="78">
        <f>IF(Data!AV11="","",IF(C11=2,CONCATENATE('Job Sheet'!AD11," x 2"),'Job Sheet'!AD11))</f>
        <v>2437</v>
      </c>
      <c r="H11" s="78" t="str">
        <f>IF(Data!AV11="","",CONCATENATE('Job Sheet'!AE11," x 2"))</f>
        <v>2395 x 2</v>
      </c>
      <c r="I11" s="88">
        <f>IF(Data!AV11="","",IF(C11=2,"",'Job Sheet'!AE11))</f>
        <v>2395</v>
      </c>
      <c r="J11" s="78" t="str">
        <f>'Job Sheet'!I11</f>
        <v>4mm</v>
      </c>
      <c r="K11" s="78">
        <f>IF(Data!AV11="","",IF('Job Sheet'!J11="Centre Opening",CONCATENATE(ROUNDUP('Job Sheet'!C11/2,0)-50," x 2"),IF('Job Sheet'!J11="Centre Opening Off Set",CONCATENATE('Job Sheet'!O11-50," x 1 ",'Job Sheet'!P11-50," x 1"),'Job Sheet'!C11-50)))</f>
        <v>1260</v>
      </c>
      <c r="L11" s="87">
        <f>IF(Data!AV11="","",'Job Sheet'!C11-50)</f>
        <v>1260</v>
      </c>
      <c r="M11" s="78" t="str">
        <f t="array" ref="M11">IF(Data!AV11="","",IF(bpLOOKUP(Data!$AV11,"PACKERST",CustOrdOpt,6,FALSE)="","",CONCATENATE('Job Sheet'!K11," x ",'Job Sheet'!C11,"mm")))</f>
        <v>25mm x 25mm x 1310mm</v>
      </c>
      <c r="N11" s="78" t="str">
        <f t="array" ref="N11">IF(Data!AV11="","",IF(bpLOOKUP(Data!$AV11,"PACKERSB",CustOrdOpt,6,FALSE)="","",CONCATENATE('Job Sheet'!L11," x ",'Job Sheet'!C11,"mm")))</f>
        <v/>
      </c>
      <c r="O11" s="78" t="str">
        <f t="array" ref="O11">IF(Data!AV11="","",IF(bpLOOKUP(Data!$AV11,"PACKERSL",CustOrdOpt,6,FALSE)="","",CONCATENATE('Job Sheet'!M11," x ",'Job Sheet'!D11,"mm")))</f>
        <v>25mm x 25mm x 2455mm</v>
      </c>
      <c r="P11" s="78" t="str">
        <f t="array" ref="P11">IF(Data!AV11="","",IF(bpLOOKUP(Data!$AV11,"PACKERSR",CustOrdOpt,6,FALSE)="","",CONCATENATE('Job Sheet'!N11," x ",'Job Sheet'!D11,"mm")))</f>
        <v>25mm x 25mm x 2455mm</v>
      </c>
      <c r="Q11" s="78" t="str">
        <f>'Job Sheet'!V11</f>
        <v/>
      </c>
      <c r="R11" s="97">
        <f>A11</f>
        <v>1</v>
      </c>
    </row>
    <row r="12" spans="1:18" ht="123.75">
      <c r="A12" s="79">
        <f>IF(Data!AW12="","",Data!AW12)</f>
        <v>2</v>
      </c>
      <c r="B12" s="80" t="str">
        <f>IF(I12="","",'Job Sheet'!B12)</f>
        <v>Living West</v>
      </c>
      <c r="C12" s="87">
        <f>'Job Sheet'!AA12</f>
        <v>1</v>
      </c>
      <c r="D12" s="81" t="str">
        <f>'Job Sheet'!AB12</f>
        <v>1300 x 2750</v>
      </c>
      <c r="E12" s="81">
        <f>IF(Data!AV12="","",'Job Sheet'!D12-VLOOKUP('Job Sheet'!J12,Operation,2,FALSE))</f>
        <v>2624</v>
      </c>
      <c r="F12" s="78" t="str">
        <f>'Job Sheet'!H12</f>
        <v>Black</v>
      </c>
      <c r="G12" s="78">
        <f>IF(Data!AV12="","",IF(C12=2,CONCATENATE('Job Sheet'!AD12," x 2"),'Job Sheet'!AD12))</f>
        <v>2622</v>
      </c>
      <c r="H12" s="78" t="str">
        <f>IF(Data!AV12="","",CONCATENATE('Job Sheet'!AE12," x 2"))</f>
        <v>2580 x 2</v>
      </c>
      <c r="I12" s="88">
        <f>IF(Data!AV12="","",IF(C12=2,"",'Job Sheet'!AE12))</f>
        <v>2580</v>
      </c>
      <c r="J12" s="78" t="str">
        <f>'Job Sheet'!I12</f>
        <v>4mm</v>
      </c>
      <c r="K12" s="78">
        <f>IF(Data!AV12="","",IF('Job Sheet'!J12="Centre Opening",CONCATENATE(ROUNDUP('Job Sheet'!C12/2,0)-50," x 2"),IF('Job Sheet'!J12="Centre Opening Off Set",CONCATENATE('Job Sheet'!O12-50," x 1 ",'Job Sheet'!P12-50," x 1"),'Job Sheet'!C12-50)))</f>
        <v>1230</v>
      </c>
      <c r="L12" s="87">
        <f>IF(Data!AV12="","",'Job Sheet'!C12-50)</f>
        <v>1230</v>
      </c>
      <c r="M12" s="78" t="str">
        <f t="array" ref="M12">IF(Data!AV12="","",IF(bpLOOKUP(Data!$AV12,"PACKERST",CustOrdOpt,6,FALSE)="","",CONCATENATE('Job Sheet'!K12," x ",'Job Sheet'!C12,"mm")))</f>
        <v>25mm x 25mm x 1280mm</v>
      </c>
      <c r="N12" s="78" t="str">
        <f t="array" ref="N12">IF(Data!AV12="","",IF(bpLOOKUP(Data!$AV12,"PACKERSB",CustOrdOpt,6,FALSE)="","",CONCATENATE('Job Sheet'!L12," x ",'Job Sheet'!C12,"mm")))</f>
        <v/>
      </c>
      <c r="O12" s="78" t="str">
        <f t="array" ref="O12">IF(Data!AV12="","",IF(bpLOOKUP(Data!$AV12,"PACKERSL",CustOrdOpt,6,FALSE)="","",CONCATENATE('Job Sheet'!M12," x ",'Job Sheet'!D12,"mm")))</f>
        <v/>
      </c>
      <c r="P12" s="78" t="str">
        <f t="array" ref="P12">IF(Data!AV12="","",IF(bpLOOKUP(Data!$AV12,"PACKERSR",CustOrdOpt,6,FALSE)="","",CONCATENATE('Job Sheet'!N12," x ",'Job Sheet'!D12,"mm")))</f>
        <v>25mm x 25mm x 2640mm</v>
      </c>
      <c r="Q12" s="78" t="str">
        <f>'Job Sheet'!V12</f>
        <v/>
      </c>
      <c r="R12" s="97">
        <f t="shared" si="0" ref="R12:R20">A12</f>
        <v>2</v>
      </c>
    </row>
    <row r="13" spans="1:18" ht="123.75">
      <c r="A13" s="79">
        <f>IF(Data!AW13="","",Data!AW13)</f>
        <v>3</v>
      </c>
      <c r="B13" s="80" t="str">
        <f>IF(I13="","",'Job Sheet'!B13)</f>
        <v>Living North</v>
      </c>
      <c r="C13" s="87">
        <f>'Job Sheet'!AA13</f>
        <v>1</v>
      </c>
      <c r="D13" s="81" t="str">
        <f>'Job Sheet'!AB13</f>
        <v>1300 x 2750</v>
      </c>
      <c r="E13" s="81">
        <f>IF(Data!AV13="","",'Job Sheet'!D13-VLOOKUP('Job Sheet'!J13,Operation,2,FALSE))</f>
        <v>2624</v>
      </c>
      <c r="F13" s="78" t="str">
        <f>'Job Sheet'!H13</f>
        <v>Black</v>
      </c>
      <c r="G13" s="78">
        <f>IF(Data!AV13="","",IF(C13=2,CONCATENATE('Job Sheet'!AD13," x 2"),'Job Sheet'!AD13))</f>
        <v>2622</v>
      </c>
      <c r="H13" s="78" t="str">
        <f>IF(Data!AV13="","",CONCATENATE('Job Sheet'!AE13," x 2"))</f>
        <v>2580 x 2</v>
      </c>
      <c r="I13" s="88">
        <f>IF(Data!AV13="","",IF(C13=2,"",'Job Sheet'!AE13))</f>
        <v>2580</v>
      </c>
      <c r="J13" s="78" t="str">
        <f>'Job Sheet'!I13</f>
        <v>4mm</v>
      </c>
      <c r="K13" s="78">
        <f>IF(Data!AV13="","",IF('Job Sheet'!J13="Centre Opening",CONCATENATE(ROUNDUP('Job Sheet'!C13/2,0)-50," x 2"),IF('Job Sheet'!J13="Centre Opening Off Set",CONCATENATE('Job Sheet'!O13-50," x 1 ",'Job Sheet'!P13-50," x 1"),'Job Sheet'!C13-50)))</f>
        <v>1230</v>
      </c>
      <c r="L13" s="87">
        <f>IF(Data!AV13="","",'Job Sheet'!C13-50)</f>
        <v>1230</v>
      </c>
      <c r="M13" s="78" t="str">
        <f t="array" ref="M13">IF(Data!AV13="","",IF(bpLOOKUP(Data!$AV13,"PACKERST",CustOrdOpt,6,FALSE)="","",CONCATENATE('Job Sheet'!K13," x ",'Job Sheet'!C13,"mm")))</f>
        <v>25mm x 25mm x 1280mm</v>
      </c>
      <c r="N13" s="78" t="str">
        <f t="array" ref="N13">IF(Data!AV13="","",IF(bpLOOKUP(Data!$AV13,"PACKERSB",CustOrdOpt,6,FALSE)="","",CONCATENATE('Job Sheet'!L13," x ",'Job Sheet'!C13,"mm")))</f>
        <v/>
      </c>
      <c r="O13" s="78" t="str">
        <f t="array" ref="O13">IF(Data!AV13="","",IF(bpLOOKUP(Data!$AV13,"PACKERSL",CustOrdOpt,6,FALSE)="","",CONCATENATE('Job Sheet'!M13," x ",'Job Sheet'!D13,"mm")))</f>
        <v/>
      </c>
      <c r="P13" s="78" t="str">
        <f t="array" ref="P13">IF(Data!AV13="","",IF(bpLOOKUP(Data!$AV13,"PACKERSR",CustOrdOpt,6,FALSE)="","",CONCATENATE('Job Sheet'!N13," x ",'Job Sheet'!D13,"mm")))</f>
        <v>25mm x 25mm x 2640mm</v>
      </c>
      <c r="Q13" s="78" t="str">
        <f>'Job Sheet'!V13</f>
        <v/>
      </c>
      <c r="R13" s="97">
        <f t="shared" si="0"/>
        <v>3</v>
      </c>
    </row>
    <row r="14" spans="1:18" ht="60" customHeight="1">
      <c r="A14" s="79" t="str">
        <f>IF(Data!AW14="","",Data!AW14)</f>
        <v/>
      </c>
      <c r="B14" s="80" t="str">
        <f>IF(I14="","",'Job Sheet'!B14)</f>
        <v/>
      </c>
      <c r="C14" s="87" t="str">
        <f>'Job Sheet'!AA14</f>
        <v/>
      </c>
      <c r="D14" s="81" t="str">
        <f>'Job Sheet'!AB14</f>
        <v/>
      </c>
      <c r="E14" s="81" t="str">
        <f>IF(Data!AV14="","",'Job Sheet'!D14-VLOOKUP('Job Sheet'!J14,Operation,2,FALSE))</f>
        <v/>
      </c>
      <c r="F14" s="78" t="str">
        <f>'Job Sheet'!H14</f>
        <v/>
      </c>
      <c r="G14" s="78" t="str">
        <f>IF(Data!AV14="","",IF(C14=2,CONCATENATE('Job Sheet'!AD14," x 2"),'Job Sheet'!AD14))</f>
        <v/>
      </c>
      <c r="H14" s="78" t="str">
        <f>IF(Data!AV14="","",CONCATENATE('Job Sheet'!AE14," x 2"))</f>
        <v/>
      </c>
      <c r="I14" s="88" t="str">
        <f>IF(Data!AV14="","",IF(C14=2,"",'Job Sheet'!AE14))</f>
        <v/>
      </c>
      <c r="J14" s="78" t="str">
        <f>'Job Sheet'!I14</f>
        <v/>
      </c>
      <c r="K14" s="78" t="str">
        <f>IF(Data!AV14="","",IF('Job Sheet'!J14="Centre Opening",CONCATENATE(ROUNDUP('Job Sheet'!C14/2,0)-50," x 2"),IF('Job Sheet'!J14="Centre Opening Off Set",CONCATENATE('Job Sheet'!O14-50," x 1 ",'Job Sheet'!P14-50," x 1"),'Job Sheet'!C14-50)))</f>
        <v/>
      </c>
      <c r="L14" s="87" t="str">
        <f>IF(Data!AV14="","",'Job Sheet'!C14-50)</f>
        <v/>
      </c>
      <c r="M14" s="78" t="str">
        <f t="array" ref="M14">IF(Data!AV14="","",IF(bpLOOKUP(Data!$AV14,"PACKERST",CustOrdOpt,6,FALSE)="","",CONCATENATE('Job Sheet'!K14," x ",'Job Sheet'!C14,"mm")))</f>
        <v/>
      </c>
      <c r="N14" s="78" t="str">
        <f t="array" ref="N14">IF(Data!AV14="","",IF(bpLOOKUP(Data!$AV14,"PACKERSB",CustOrdOpt,6,FALSE)="","",CONCATENATE('Job Sheet'!L14," x ",'Job Sheet'!C14,"mm")))</f>
        <v/>
      </c>
      <c r="O14" s="78" t="str">
        <f t="array" ref="O14">IF(Data!AV14="","",IF(bpLOOKUP(Data!$AV14,"PACKERSL",CustOrdOpt,6,FALSE)="","",CONCATENATE('Job Sheet'!M14," x ",'Job Sheet'!D14,"mm")))</f>
        <v/>
      </c>
      <c r="P14" s="78" t="str">
        <f t="array" ref="P14">IF(Data!AV14="","",IF(bpLOOKUP(Data!$AV14,"PACKERSR",CustOrdOpt,6,FALSE)="","",CONCATENATE('Job Sheet'!N14," x ",'Job Sheet'!D14,"mm")))</f>
        <v/>
      </c>
      <c r="Q14" s="78" t="str">
        <f>'Job Sheet'!V14</f>
        <v/>
      </c>
      <c r="R14" s="97" t="str">
        <f t="shared" si="0"/>
        <v/>
      </c>
    </row>
    <row r="15" spans="1:18" ht="60" customHeight="1">
      <c r="A15" s="79" t="str">
        <f>IF(Data!AW15="","",Data!AW15)</f>
        <v/>
      </c>
      <c r="B15" s="80" t="str">
        <f>IF(I15="","",'Job Sheet'!B15)</f>
        <v/>
      </c>
      <c r="C15" s="87" t="str">
        <f>'Job Sheet'!AA15</f>
        <v/>
      </c>
      <c r="D15" s="81" t="str">
        <f>'Job Sheet'!AB15</f>
        <v/>
      </c>
      <c r="E15" s="81" t="str">
        <f>IF(Data!AV15="","",'Job Sheet'!D15-VLOOKUP('Job Sheet'!J15,Operation,2,FALSE))</f>
        <v/>
      </c>
      <c r="F15" s="78" t="str">
        <f>'Job Sheet'!H15</f>
        <v/>
      </c>
      <c r="G15" s="78" t="str">
        <f>IF(Data!AV15="","",IF(C15=2,CONCATENATE('Job Sheet'!AD15," x 2"),'Job Sheet'!AD15))</f>
        <v/>
      </c>
      <c r="H15" s="78" t="str">
        <f>IF(Data!AV15="","",CONCATENATE('Job Sheet'!AE15," x 2"))</f>
        <v/>
      </c>
      <c r="I15" s="88" t="str">
        <f>IF(Data!AV15="","",IF(C15=2,"",'Job Sheet'!AE15))</f>
        <v/>
      </c>
      <c r="J15" s="78" t="str">
        <f>'Job Sheet'!I15</f>
        <v/>
      </c>
      <c r="K15" s="78" t="str">
        <f>IF(Data!AV15="","",IF('Job Sheet'!J15="Centre Opening",CONCATENATE(ROUNDUP('Job Sheet'!C15/2,0)-50," x 2"),IF('Job Sheet'!J15="Centre Opening Off Set",CONCATENATE('Job Sheet'!O15-50," x 1 ",'Job Sheet'!P15-50," x 1"),'Job Sheet'!C15-50)))</f>
        <v/>
      </c>
      <c r="L15" s="87" t="str">
        <f>IF(Data!AV15="","",'Job Sheet'!C15-50)</f>
        <v/>
      </c>
      <c r="M15" s="78" t="str">
        <f t="array" ref="M15">IF(Data!AV15="","",IF(bpLOOKUP(Data!$AV15,"PACKERST",CustOrdOpt,6,FALSE)="","",CONCATENATE('Job Sheet'!K15," x ",'Job Sheet'!C15,"mm")))</f>
        <v/>
      </c>
      <c r="N15" s="78" t="str">
        <f t="array" ref="N15">IF(Data!AV15="","",IF(bpLOOKUP(Data!$AV15,"PACKERSB",CustOrdOpt,6,FALSE)="","",CONCATENATE('Job Sheet'!L15," x ",'Job Sheet'!C15,"mm")))</f>
        <v/>
      </c>
      <c r="O15" s="78" t="str">
        <f t="array" ref="O15">IF(Data!AV15="","",IF(bpLOOKUP(Data!$AV15,"PACKERSL",CustOrdOpt,6,FALSE)="","",CONCATENATE('Job Sheet'!M15," x ",'Job Sheet'!D15,"mm")))</f>
        <v/>
      </c>
      <c r="P15" s="78" t="str">
        <f t="array" ref="P15">IF(Data!AV15="","",IF(bpLOOKUP(Data!$AV15,"PACKERSR",CustOrdOpt,6,FALSE)="","",CONCATENATE('Job Sheet'!N15," x ",'Job Sheet'!D15,"mm")))</f>
        <v/>
      </c>
      <c r="Q15" s="78" t="str">
        <f>'Job Sheet'!V15</f>
        <v/>
      </c>
      <c r="R15" s="97" t="str">
        <f t="shared" si="0"/>
        <v/>
      </c>
    </row>
    <row r="16" spans="1:18" ht="60" customHeight="1">
      <c r="A16" s="79" t="str">
        <f>IF(Data!AW16="","",Data!AW16)</f>
        <v/>
      </c>
      <c r="B16" s="80" t="str">
        <f>IF(I16="","",'Job Sheet'!B16)</f>
        <v/>
      </c>
      <c r="C16" s="87" t="str">
        <f>'Job Sheet'!AA16</f>
        <v/>
      </c>
      <c r="D16" s="81" t="str">
        <f>'Job Sheet'!AB16</f>
        <v/>
      </c>
      <c r="E16" s="81" t="str">
        <f>IF(Data!AV16="","",'Job Sheet'!D16-VLOOKUP('Job Sheet'!J16,Operation,2,FALSE))</f>
        <v/>
      </c>
      <c r="F16" s="78" t="str">
        <f>'Job Sheet'!H16</f>
        <v/>
      </c>
      <c r="G16" s="78" t="str">
        <f>IF(Data!AV16="","",IF(C16=2,CONCATENATE('Job Sheet'!AD16," x 2"),'Job Sheet'!AD16))</f>
        <v/>
      </c>
      <c r="H16" s="78" t="str">
        <f>IF(Data!AV16="","",CONCATENATE('Job Sheet'!AE16," x 2"))</f>
        <v/>
      </c>
      <c r="I16" s="88" t="str">
        <f>IF(Data!AV16="","",IF(C16=2,"",'Job Sheet'!AE16))</f>
        <v/>
      </c>
      <c r="J16" s="78" t="str">
        <f>'Job Sheet'!I16</f>
        <v/>
      </c>
      <c r="K16" s="78" t="str">
        <f>IF(Data!AV16="","",IF('Job Sheet'!J16="Centre Opening",CONCATENATE(ROUNDUP('Job Sheet'!C16/2,0)-50," x 2"),IF('Job Sheet'!J16="Centre Opening Off Set",CONCATENATE('Job Sheet'!O16-50," x 1 ",'Job Sheet'!P16-50," x 1"),'Job Sheet'!C16-50)))</f>
        <v/>
      </c>
      <c r="L16" s="87" t="str">
        <f>IF(Data!AV16="","",'Job Sheet'!C16-50)</f>
        <v/>
      </c>
      <c r="M16" s="78" t="str">
        <f t="array" ref="M16">IF(Data!AV16="","",IF(bpLOOKUP(Data!$AV16,"PACKERST",CustOrdOpt,6,FALSE)="","",CONCATENATE('Job Sheet'!K16/2," x ",'Job Sheet'!C16,"mm")))</f>
        <v/>
      </c>
      <c r="N16" s="78" t="str">
        <f t="array" ref="N16">IF(Data!AV16="","",IF(bpLOOKUP(Data!$AV16,"PACKERSB",CustOrdOpt,6,FALSE)="","",CONCATENATE('Job Sheet'!L16," x ",'Job Sheet'!C16,"mm")))</f>
        <v/>
      </c>
      <c r="O16" s="78" t="str">
        <f t="array" ref="O16">IF(Data!AV16="","",IF(bpLOOKUP(Data!$AV16,"PACKERSL",CustOrdOpt,6,FALSE)="","",CONCATENATE('Job Sheet'!M16," x ",'Job Sheet'!D16,"mm")))</f>
        <v/>
      </c>
      <c r="P16" s="78" t="str">
        <f t="array" ref="P16">IF(Data!AV16="","",IF(bpLOOKUP(Data!$AV16,"PACKERSR",CustOrdOpt,6,FALSE)="","",CONCATENATE('Job Sheet'!N16," x ",'Job Sheet'!D16,"mm")))</f>
        <v/>
      </c>
      <c r="Q16" s="78" t="str">
        <f>'Job Sheet'!V16</f>
        <v/>
      </c>
      <c r="R16" s="97" t="str">
        <f t="shared" si="0"/>
        <v/>
      </c>
    </row>
    <row r="17" spans="1:18" ht="60" customHeight="1">
      <c r="A17" s="79" t="str">
        <f>IF(Data!AW17="","",Data!AW17)</f>
        <v/>
      </c>
      <c r="B17" s="80" t="str">
        <f>IF(I17="","",'Job Sheet'!B17)</f>
        <v/>
      </c>
      <c r="C17" s="87" t="str">
        <f>'Job Sheet'!AA17</f>
        <v/>
      </c>
      <c r="D17" s="81" t="str">
        <f>'Job Sheet'!AB17</f>
        <v/>
      </c>
      <c r="E17" s="81" t="str">
        <f>IF(Data!AV17="","",'Job Sheet'!D17-VLOOKUP('Job Sheet'!J17,Operation,2,FALSE))</f>
        <v/>
      </c>
      <c r="F17" s="78" t="str">
        <f>'Job Sheet'!H17</f>
        <v/>
      </c>
      <c r="G17" s="78" t="str">
        <f>IF(Data!AV17="","",IF(C17=2,CONCATENATE('Job Sheet'!AD17," x 2"),'Job Sheet'!AD17))</f>
        <v/>
      </c>
      <c r="H17" s="78" t="str">
        <f>IF(Data!AV17="","",CONCATENATE('Job Sheet'!AE17," x 2"))</f>
        <v/>
      </c>
      <c r="I17" s="88" t="str">
        <f>IF(Data!AV17="","",IF(C17=2,"",'Job Sheet'!AE17))</f>
        <v/>
      </c>
      <c r="J17" s="78" t="str">
        <f>'Job Sheet'!I17</f>
        <v/>
      </c>
      <c r="K17" s="78" t="str">
        <f>IF(Data!AV17="","",IF('Job Sheet'!J17="Centre Opening",CONCATENATE(ROUNDUP('Job Sheet'!C17/2,0)-50," x 2"),IF('Job Sheet'!J17="Centre Opening Off Set",CONCATENATE('Job Sheet'!O17-50," x 1 ",'Job Sheet'!P17-50," x 1"),'Job Sheet'!C17-50)))</f>
        <v/>
      </c>
      <c r="L17" s="87" t="str">
        <f>IF(Data!AV17="","",'Job Sheet'!C17-50)</f>
        <v/>
      </c>
      <c r="M17" s="78" t="str">
        <f t="array" ref="M17">IF(Data!AV17="","",IF(bpLOOKUP(Data!$AV17,"PACKERST",CustOrdOpt,6,FALSE)="","",CONCATENATE('Job Sheet'!K17," x ",'Job Sheet'!C17,"mm")))</f>
        <v/>
      </c>
      <c r="N17" s="78" t="str">
        <f t="array" ref="N17">IF(Data!AV17="","",IF(bpLOOKUP(Data!$AV17,"PACKERSB",CustOrdOpt,6,FALSE)="","",CONCATENATE('Job Sheet'!L17," x ",'Job Sheet'!C17,"mm")))</f>
        <v/>
      </c>
      <c r="O17" s="78" t="str">
        <f t="array" ref="O17">IF(Data!AV17="","",IF(bpLOOKUP(Data!$AV17,"PACKERSL",CustOrdOpt,6,FALSE)="","",CONCATENATE('Job Sheet'!M17," x ",'Job Sheet'!D17,"mm")))</f>
        <v/>
      </c>
      <c r="P17" s="78" t="str">
        <f t="array" ref="P17">IF(Data!AV17="","",IF(bpLOOKUP(Data!$AV17,"PACKERSR",CustOrdOpt,6,FALSE)="","",CONCATENATE('Job Sheet'!N17," x ",'Job Sheet'!D17,"mm")))</f>
        <v/>
      </c>
      <c r="Q17" s="78" t="str">
        <f>'Job Sheet'!V17</f>
        <v/>
      </c>
      <c r="R17" s="97" t="str">
        <f t="shared" si="0"/>
        <v/>
      </c>
    </row>
    <row r="18" spans="1:18" ht="60" customHeight="1">
      <c r="A18" s="79" t="str">
        <f>IF(Data!AW18="","",Data!AW18)</f>
        <v/>
      </c>
      <c r="B18" s="80" t="str">
        <f>IF(I18="","",'Job Sheet'!B18)</f>
        <v/>
      </c>
      <c r="C18" s="87" t="str">
        <f>'Job Sheet'!AA18</f>
        <v/>
      </c>
      <c r="D18" s="81" t="str">
        <f>'Job Sheet'!AB18</f>
        <v/>
      </c>
      <c r="E18" s="81" t="str">
        <f>IF(Data!AV18="","",'Job Sheet'!D18-VLOOKUP('Job Sheet'!J18,Operation,2,FALSE))</f>
        <v/>
      </c>
      <c r="F18" s="78" t="str">
        <f>'Job Sheet'!H18</f>
        <v/>
      </c>
      <c r="G18" s="78" t="str">
        <f>IF(Data!AV18="","",IF(C18=2,CONCATENATE('Job Sheet'!AD18," x 2"),'Job Sheet'!AD18))</f>
        <v/>
      </c>
      <c r="H18" s="78" t="str">
        <f>IF(Data!AV18="","",CONCATENATE('Job Sheet'!AE18," x 2"))</f>
        <v/>
      </c>
      <c r="I18" s="88" t="str">
        <f>IF(Data!AV18="","",IF(C18=2,"",'Job Sheet'!AE18))</f>
        <v/>
      </c>
      <c r="J18" s="78" t="str">
        <f>'Job Sheet'!I18</f>
        <v/>
      </c>
      <c r="K18" s="78" t="str">
        <f>IF(Data!AV18="","",IF('Job Sheet'!J18="Centre Opening",CONCATENATE(ROUNDUP('Job Sheet'!C18/2,0)-50," x 2"),IF('Job Sheet'!J18="Centre Opening Off Set",CONCATENATE('Job Sheet'!O18-50," x 1 ",'Job Sheet'!P18-50," x 1"),'Job Sheet'!C18-50)))</f>
        <v/>
      </c>
      <c r="L18" s="87" t="str">
        <f>IF(Data!AV18="","",'Job Sheet'!C18-50)</f>
        <v/>
      </c>
      <c r="M18" s="78" t="str">
        <f t="array" ref="M18">IF(Data!AV18="","",IF(bpLOOKUP(Data!$AV18,"PACKERST",CustOrdOpt,6,FALSE)="","",CONCATENATE('Job Sheet'!K18," x ",'Job Sheet'!C18,"mm")))</f>
        <v/>
      </c>
      <c r="N18" s="78" t="str">
        <f t="array" ref="N18">IF(Data!AV18="","",IF(bpLOOKUP(Data!$AV18,"PACKERSB",CustOrdOpt,6,FALSE)="","",CONCATENATE('Job Sheet'!L18," x ",'Job Sheet'!C18,"mm")))</f>
        <v/>
      </c>
      <c r="O18" s="78" t="str">
        <f t="array" ref="O18">IF(Data!AV18="","",IF(bpLOOKUP(Data!$AV18,"PACKERSL",CustOrdOpt,6,FALSE)="","",CONCATENATE('Job Sheet'!M18," x ",'Job Sheet'!D18,"mm")))</f>
        <v/>
      </c>
      <c r="P18" s="78" t="str">
        <f t="array" ref="P18">IF(Data!AV18="","",IF(bpLOOKUP(Data!$AV18,"PACKERSR",CustOrdOpt,6,FALSE)="","",CONCATENATE('Job Sheet'!N18," x ",'Job Sheet'!D18,"mm")))</f>
        <v/>
      </c>
      <c r="Q18" s="78" t="str">
        <f>'Job Sheet'!V18</f>
        <v/>
      </c>
      <c r="R18" s="97" t="str">
        <f t="shared" si="0"/>
        <v/>
      </c>
    </row>
    <row r="19" spans="1:18" ht="60" customHeight="1">
      <c r="A19" s="79" t="str">
        <f>IF(Data!AW19="","",Data!AW19)</f>
        <v/>
      </c>
      <c r="B19" s="80" t="str">
        <f>IF(I19="","",'Job Sheet'!B19)</f>
        <v/>
      </c>
      <c r="C19" s="87" t="str">
        <f>'Job Sheet'!AA19</f>
        <v/>
      </c>
      <c r="D19" s="81" t="str">
        <f>'Job Sheet'!AB19</f>
        <v/>
      </c>
      <c r="E19" s="81" t="str">
        <f>IF(Data!AV19="","",'Job Sheet'!D19-VLOOKUP('Job Sheet'!J19,Operation,2,FALSE))</f>
        <v/>
      </c>
      <c r="F19" s="78" t="str">
        <f>'Job Sheet'!H19</f>
        <v/>
      </c>
      <c r="G19" s="78" t="str">
        <f>IF(Data!AV19="","",IF(C19=2,CONCATENATE('Job Sheet'!AD19," x 2"),'Job Sheet'!AD19))</f>
        <v/>
      </c>
      <c r="H19" s="78" t="str">
        <f>IF(Data!AV19="","",CONCATENATE('Job Sheet'!AE19," x 2"))</f>
        <v/>
      </c>
      <c r="I19" s="88" t="str">
        <f>IF(Data!AV19="","",IF(C19=2,"",'Job Sheet'!AE19))</f>
        <v/>
      </c>
      <c r="J19" s="78" t="str">
        <f>'Job Sheet'!I19</f>
        <v/>
      </c>
      <c r="K19" s="78" t="str">
        <f>IF(Data!AV19="","",IF('Job Sheet'!J19="Centre Opening",CONCATENATE(ROUNDUP('Job Sheet'!C19/2,0)-50," x 2"),IF('Job Sheet'!J19="Centre Opening Off Set",CONCATENATE('Job Sheet'!O19-50," x 1 ",'Job Sheet'!P19-50," x 1"),'Job Sheet'!C19-50)))</f>
        <v/>
      </c>
      <c r="L19" s="87" t="str">
        <f>IF(Data!AV19="","",'Job Sheet'!C19-50)</f>
        <v/>
      </c>
      <c r="M19" s="78" t="str">
        <f t="array" ref="M19">IF(Data!AV19="","",IF(bpLOOKUP(Data!$AV19,"PACKERST",CustOrdOpt,6,FALSE)="","",CONCATENATE('Job Sheet'!K19," x ",'Job Sheet'!C19,"mm")))</f>
        <v/>
      </c>
      <c r="N19" s="78" t="str">
        <f t="array" ref="N19">IF(Data!AV19="","",IF(bpLOOKUP(Data!$AV19,"PACKERSB",CustOrdOpt,6,FALSE)="","",CONCATENATE('Job Sheet'!L19," x ",'Job Sheet'!C19,"mm")))</f>
        <v/>
      </c>
      <c r="O19" s="78" t="str">
        <f t="array" ref="O19">IF(Data!AV19="","",IF(bpLOOKUP(Data!$AV19,"PACKERSL",CustOrdOpt,6,FALSE)="","",CONCATENATE('Job Sheet'!M19," x ",'Job Sheet'!D19,"mm")))</f>
        <v/>
      </c>
      <c r="P19" s="78" t="str">
        <f t="array" ref="P19">IF(Data!AV19="","",IF(bpLOOKUP(Data!$AV19,"PACKERSR",CustOrdOpt,6,FALSE)="","",CONCATENATE('Job Sheet'!N19," x ",'Job Sheet'!D19,"mm")))</f>
        <v/>
      </c>
      <c r="Q19" s="78" t="str">
        <f>'Job Sheet'!V19</f>
        <v/>
      </c>
      <c r="R19" s="97" t="str">
        <f t="shared" si="0"/>
        <v/>
      </c>
    </row>
    <row r="20" spans="1:18" ht="60" customHeight="1">
      <c r="A20" s="79" t="str">
        <f>IF(Data!AW20="","",Data!AW20)</f>
        <v/>
      </c>
      <c r="B20" s="80" t="str">
        <f>IF(I20="","",'Job Sheet'!B20)</f>
        <v/>
      </c>
      <c r="C20" s="87" t="str">
        <f>'Job Sheet'!AA20</f>
        <v/>
      </c>
      <c r="D20" s="81" t="str">
        <f>'Job Sheet'!AB20</f>
        <v/>
      </c>
      <c r="E20" s="81" t="str">
        <f>IF(Data!AV20="","",'Job Sheet'!D20-VLOOKUP('Job Sheet'!J20,Operation,2,FALSE))</f>
        <v/>
      </c>
      <c r="F20" s="78" t="str">
        <f>'Job Sheet'!H20</f>
        <v/>
      </c>
      <c r="G20" s="78" t="str">
        <f>IF(Data!AV20="","",IF(C20=2,CONCATENATE('Job Sheet'!AD20," x 2"),'Job Sheet'!AD20))</f>
        <v/>
      </c>
      <c r="H20" s="78" t="str">
        <f>IF(Data!AV20="","",CONCATENATE('Job Sheet'!AE20," x 2"))</f>
        <v/>
      </c>
      <c r="I20" s="88" t="str">
        <f>IF(Data!AV20="","",IF(C20=2,"",'Job Sheet'!AE20))</f>
        <v/>
      </c>
      <c r="J20" s="78" t="str">
        <f>'Job Sheet'!I20</f>
        <v/>
      </c>
      <c r="K20" s="78" t="str">
        <f>IF(Data!AV20="","",IF('Job Sheet'!J20="Centre Opening",CONCATENATE(ROUNDUP('Job Sheet'!C20/2,0)-50," x 2"),IF('Job Sheet'!J20="Centre Opening Off Set",CONCATENATE('Job Sheet'!O20-50," x 1 ",'Job Sheet'!P20-50," x 1"),'Job Sheet'!C20-50)))</f>
        <v/>
      </c>
      <c r="L20" s="87" t="str">
        <f>IF(Data!AV20="","",'Job Sheet'!C20-50)</f>
        <v/>
      </c>
      <c r="M20" s="78" t="str">
        <f t="array" ref="M20">IF(Data!AV20="","",IF(bpLOOKUP(Data!$AV20,"PACKERST",CustOrdOpt,6,FALSE)="","",CONCATENATE('Job Sheet'!K20," x ",'Job Sheet'!C20,"mm")))</f>
        <v/>
      </c>
      <c r="N20" s="78" t="str">
        <f t="array" ref="N20">IF(Data!AV20="","",IF(bpLOOKUP(Data!$AV20,"PACKERSB",CustOrdOpt,6,FALSE)="","",CONCATENATE('Job Sheet'!L20," x ",'Job Sheet'!C20,"mm")))</f>
        <v/>
      </c>
      <c r="O20" s="78" t="str">
        <f t="array" ref="O20">IF(Data!AV20="","",IF(bpLOOKUP(Data!$AV20,"PACKERSL",CustOrdOpt,6,FALSE)="","",CONCATENATE('Job Sheet'!M20," x ",'Job Sheet'!D20,"mm")))</f>
        <v/>
      </c>
      <c r="P20" s="78" t="str">
        <f t="array" ref="P20">IF(Data!AV20="","",IF(bpLOOKUP(Data!$AV20,"PACKERSR",CustOrdOpt,6,FALSE)="","",CONCATENATE('Job Sheet'!N20," x ",'Job Sheet'!D20,"mm")))</f>
        <v/>
      </c>
      <c r="Q20" s="78" t="str">
        <f>'Job Sheet'!V20</f>
        <v/>
      </c>
      <c r="R20" s="97" t="str">
        <f t="shared" si="0"/>
        <v/>
      </c>
    </row>
    <row r="21" spans="1:7" ht="60" customHeight="1">
      <c r="A21" s="50"/>
      <c r="B21" s="51"/>
      <c r="C21" s="52"/>
      <c r="D21" s="52"/>
      <c r="E21" s="52"/>
      <c r="F21" s="53"/>
      <c r="G21" s="53"/>
    </row>
    <row r="22" spans="1:7" ht="60" customHeight="1">
      <c r="A22" s="50"/>
      <c r="B22" s="51"/>
      <c r="C22" s="52"/>
      <c r="D22" s="52"/>
      <c r="E22" s="52"/>
      <c r="F22" s="53"/>
      <c r="G22" s="53"/>
    </row>
    <row r="23" spans="1:7" ht="60" customHeight="1">
      <c r="A23" s="50"/>
      <c r="B23" s="51"/>
      <c r="C23" s="52"/>
      <c r="D23" s="52"/>
      <c r="E23" s="52"/>
      <c r="F23" s="53"/>
      <c r="G23" s="53"/>
    </row>
    <row r="24" spans="1:7" ht="60" customHeight="1">
      <c r="A24" s="50"/>
      <c r="B24" s="51"/>
      <c r="C24" s="52"/>
      <c r="D24" s="52"/>
      <c r="E24" s="52"/>
      <c r="F24" s="53"/>
      <c r="G24" s="53"/>
    </row>
    <row r="25" spans="1:7" ht="60" customHeight="1">
      <c r="A25" s="50"/>
      <c r="B25" s="51"/>
      <c r="C25" s="52"/>
      <c r="D25" s="52"/>
      <c r="E25" s="52"/>
      <c r="F25" s="53"/>
      <c r="G25" s="53"/>
    </row>
    <row r="26" spans="1:7" ht="60" customHeight="1">
      <c r="A26" s="50"/>
      <c r="B26" s="51"/>
      <c r="C26" s="52"/>
      <c r="D26" s="52"/>
      <c r="E26" s="52"/>
      <c r="F26" s="53"/>
      <c r="G26" s="53"/>
    </row>
    <row r="27" spans="1:7" ht="60" customHeight="1">
      <c r="A27" s="50"/>
      <c r="B27" s="51"/>
      <c r="C27" s="52"/>
      <c r="D27" s="52"/>
      <c r="E27" s="52"/>
      <c r="F27" s="53"/>
      <c r="G27" s="53"/>
    </row>
    <row r="28" spans="1:7" ht="60" customHeight="1">
      <c r="A28" s="50"/>
      <c r="B28" s="51"/>
      <c r="C28" s="52"/>
      <c r="D28" s="52"/>
      <c r="E28" s="52"/>
      <c r="F28" s="53"/>
      <c r="G28" s="53"/>
    </row>
    <row r="29" spans="1:7" ht="60" customHeight="1">
      <c r="A29" s="50"/>
      <c r="B29" s="51"/>
      <c r="C29" s="52"/>
      <c r="D29" s="52"/>
      <c r="E29" s="52"/>
      <c r="F29" s="53"/>
      <c r="G29" s="53"/>
    </row>
    <row r="30" spans="1:7" ht="60" customHeight="1">
      <c r="A30" s="50"/>
      <c r="B30" s="51"/>
      <c r="C30" s="52"/>
      <c r="D30" s="52"/>
      <c r="E30" s="52"/>
      <c r="F30" s="53"/>
      <c r="G30" s="53"/>
    </row>
    <row r="31" spans="1:7" ht="60" customHeight="1">
      <c r="A31" s="50"/>
      <c r="B31" s="51"/>
      <c r="C31" s="52"/>
      <c r="D31" s="52"/>
      <c r="E31" s="52"/>
      <c r="F31" s="53"/>
      <c r="G31" s="53"/>
    </row>
    <row r="32" spans="1:7" ht="60" customHeight="1">
      <c r="A32" s="50"/>
      <c r="B32" s="51"/>
      <c r="C32" s="52"/>
      <c r="D32" s="52"/>
      <c r="E32" s="52"/>
      <c r="F32" s="53"/>
      <c r="G32" s="53"/>
    </row>
    <row r="33" spans="1:7" ht="60" customHeight="1">
      <c r="A33" s="50"/>
      <c r="B33" s="51"/>
      <c r="C33" s="52"/>
      <c r="D33" s="52"/>
      <c r="E33" s="52"/>
      <c r="F33" s="53"/>
      <c r="G33" s="53"/>
    </row>
    <row r="34" spans="1:7" ht="32.4">
      <c r="A34" s="54"/>
      <c r="B34" s="54"/>
      <c r="C34" s="54"/>
      <c r="D34" s="54"/>
      <c r="E34" s="54"/>
      <c r="F34" s="54"/>
      <c r="G34" s="54"/>
    </row>
    <row r="35" spans="1:7" ht="32.4">
      <c r="A35" s="54"/>
      <c r="B35" s="54"/>
      <c r="C35" s="54"/>
      <c r="D35" s="54"/>
      <c r="E35" s="54"/>
      <c r="F35" s="54"/>
      <c r="G35" s="54"/>
    </row>
    <row r="36" spans="1:7" ht="32.4">
      <c r="A36" s="54"/>
      <c r="B36" s="54"/>
      <c r="C36" s="54"/>
      <c r="D36" s="54"/>
      <c r="E36" s="54"/>
      <c r="F36" s="54"/>
      <c r="G36" s="54"/>
    </row>
    <row r="37" spans="1:7" ht="32.4">
      <c r="A37" s="54"/>
      <c r="B37" s="54"/>
      <c r="C37" s="54"/>
      <c r="D37" s="54"/>
      <c r="E37" s="54"/>
      <c r="F37" s="54"/>
      <c r="G37" s="54"/>
    </row>
    <row r="38" spans="1:7" ht="32.4">
      <c r="A38" s="54"/>
      <c r="B38" s="54"/>
      <c r="C38" s="54"/>
      <c r="D38" s="54"/>
      <c r="E38" s="54"/>
      <c r="F38" s="54"/>
      <c r="G38" s="54"/>
    </row>
    <row r="39" spans="1:7" ht="32.4">
      <c r="A39" s="54"/>
      <c r="B39" s="54"/>
      <c r="C39" s="54"/>
      <c r="D39" s="54"/>
      <c r="E39" s="54"/>
      <c r="F39" s="54"/>
      <c r="G39" s="54"/>
    </row>
    <row r="40" spans="1:7" ht="32.4">
      <c r="A40" s="54"/>
      <c r="B40" s="54"/>
      <c r="C40" s="54"/>
      <c r="D40" s="54"/>
      <c r="E40" s="54"/>
      <c r="F40" s="54"/>
      <c r="G40" s="54"/>
    </row>
    <row r="41" spans="1:7" ht="32.4">
      <c r="A41" s="54"/>
      <c r="B41" s="54"/>
      <c r="C41" s="54"/>
      <c r="D41" s="54"/>
      <c r="E41" s="54"/>
      <c r="F41" s="54"/>
      <c r="G41" s="54"/>
    </row>
    <row r="42" spans="1:7" ht="32.4">
      <c r="A42" s="54"/>
      <c r="B42" s="54"/>
      <c r="C42" s="54"/>
      <c r="D42" s="54"/>
      <c r="E42" s="54"/>
      <c r="F42" s="54"/>
      <c r="G42" s="54"/>
    </row>
    <row r="43" spans="1:7" ht="32.4">
      <c r="A43" s="54"/>
      <c r="B43" s="54"/>
      <c r="C43" s="54"/>
      <c r="D43" s="54"/>
      <c r="E43" s="54"/>
      <c r="F43" s="54"/>
      <c r="G43" s="54"/>
    </row>
    <row r="44" spans="1:7" ht="32.4">
      <c r="A44" s="54"/>
      <c r="B44" s="54"/>
      <c r="C44" s="54"/>
      <c r="D44" s="54"/>
      <c r="E44" s="54"/>
      <c r="F44" s="54"/>
      <c r="G44" s="54"/>
    </row>
    <row r="45" spans="1:7" ht="32.4">
      <c r="A45" s="54"/>
      <c r="B45" s="54"/>
      <c r="C45" s="54"/>
      <c r="D45" s="54"/>
      <c r="E45" s="54"/>
      <c r="F45" s="54"/>
      <c r="G45" s="54"/>
    </row>
    <row r="46" spans="1:7" ht="32.4">
      <c r="A46" s="54"/>
      <c r="B46" s="54"/>
      <c r="C46" s="54"/>
      <c r="D46" s="54"/>
      <c r="E46" s="54"/>
      <c r="F46" s="54"/>
      <c r="G46" s="54"/>
    </row>
    <row r="47" spans="1:7" ht="32.4">
      <c r="A47" s="54"/>
      <c r="B47" s="54"/>
      <c r="C47" s="54"/>
      <c r="D47" s="54"/>
      <c r="E47" s="54"/>
      <c r="F47" s="54"/>
      <c r="G47" s="54"/>
    </row>
    <row r="48" spans="1:7" ht="32.4">
      <c r="A48" s="54"/>
      <c r="B48" s="54"/>
      <c r="C48" s="54"/>
      <c r="D48" s="54"/>
      <c r="E48" s="54"/>
      <c r="F48" s="54"/>
      <c r="G48" s="54"/>
    </row>
    <row r="49" spans="1:7" ht="32.4">
      <c r="A49" s="54"/>
      <c r="B49" s="54"/>
      <c r="C49" s="54"/>
      <c r="D49" s="54"/>
      <c r="E49" s="54"/>
      <c r="F49" s="54"/>
      <c r="G49" s="54"/>
    </row>
    <row r="50" spans="1:7" ht="32.4">
      <c r="A50" s="54"/>
      <c r="B50" s="54"/>
      <c r="C50" s="54"/>
      <c r="D50" s="54"/>
      <c r="E50" s="54"/>
      <c r="F50" s="54"/>
      <c r="G50" s="54"/>
    </row>
    <row r="51" spans="1:7" ht="32.4">
      <c r="A51" s="54"/>
      <c r="B51" s="54"/>
      <c r="C51" s="54"/>
      <c r="D51" s="54"/>
      <c r="E51" s="54"/>
      <c r="F51" s="54"/>
      <c r="G51" s="54"/>
    </row>
    <row r="52" spans="1:7" ht="32.4">
      <c r="A52" s="54"/>
      <c r="B52" s="54"/>
      <c r="C52" s="54"/>
      <c r="D52" s="54"/>
      <c r="E52" s="54"/>
      <c r="F52" s="54"/>
      <c r="G52" s="54"/>
    </row>
    <row r="53" spans="1:7" ht="32.4">
      <c r="A53" s="54"/>
      <c r="B53" s="54"/>
      <c r="C53" s="54"/>
      <c r="D53" s="54"/>
      <c r="E53" s="54"/>
      <c r="F53" s="54"/>
      <c r="G53" s="54"/>
    </row>
    <row r="54" spans="1:7" ht="32.4">
      <c r="A54" s="54"/>
      <c r="B54" s="54"/>
      <c r="C54" s="54"/>
      <c r="D54" s="54"/>
      <c r="E54" s="54"/>
      <c r="F54" s="54"/>
      <c r="G54" s="54"/>
    </row>
    <row r="55" spans="1:7" ht="32.4">
      <c r="A55" s="54"/>
      <c r="B55" s="54"/>
      <c r="C55" s="54"/>
      <c r="D55" s="54"/>
      <c r="E55" s="54"/>
      <c r="F55" s="54"/>
      <c r="G55" s="54"/>
    </row>
    <row r="56" spans="1:7" ht="32.4">
      <c r="A56" s="54"/>
      <c r="B56" s="54"/>
      <c r="C56" s="54"/>
      <c r="D56" s="54"/>
      <c r="E56" s="54"/>
      <c r="F56" s="54"/>
      <c r="G56" s="54"/>
    </row>
    <row r="57" spans="1:7" ht="32.4">
      <c r="A57" s="54"/>
      <c r="B57" s="54"/>
      <c r="C57" s="54"/>
      <c r="D57" s="54"/>
      <c r="E57" s="54"/>
      <c r="F57" s="54"/>
      <c r="G57" s="54"/>
    </row>
    <row r="58" spans="1:7" ht="32.4">
      <c r="A58" s="54"/>
      <c r="B58" s="54"/>
      <c r="C58" s="54"/>
      <c r="D58" s="54"/>
      <c r="E58" s="54"/>
      <c r="F58" s="54"/>
      <c r="G58" s="54"/>
    </row>
    <row r="59" spans="1:7" ht="32.4">
      <c r="A59" s="54"/>
      <c r="B59" s="54"/>
      <c r="C59" s="54"/>
      <c r="D59" s="54"/>
      <c r="E59" s="54"/>
      <c r="F59" s="54"/>
      <c r="G59" s="54"/>
    </row>
    <row r="60" spans="1:7" ht="32.4">
      <c r="A60" s="54"/>
      <c r="B60" s="54"/>
      <c r="C60" s="54"/>
      <c r="D60" s="54"/>
      <c r="E60" s="54"/>
      <c r="F60" s="54"/>
      <c r="G60" s="54"/>
    </row>
    <row r="61" spans="1:7" ht="32.4">
      <c r="A61" s="54"/>
      <c r="B61" s="54"/>
      <c r="C61" s="54"/>
      <c r="D61" s="54"/>
      <c r="E61" s="54"/>
      <c r="F61" s="54"/>
      <c r="G61" s="54"/>
    </row>
    <row r="62" spans="1:7" ht="32.4">
      <c r="A62" s="54"/>
      <c r="B62" s="54"/>
      <c r="C62" s="54"/>
      <c r="D62" s="54"/>
      <c r="E62" s="54"/>
      <c r="F62" s="54"/>
      <c r="G62" s="54"/>
    </row>
    <row r="63" spans="1:7" ht="32.4">
      <c r="A63" s="54"/>
      <c r="B63" s="54"/>
      <c r="C63" s="54"/>
      <c r="D63" s="54"/>
      <c r="E63" s="54"/>
      <c r="F63" s="54"/>
      <c r="G63" s="54"/>
    </row>
    <row r="64" spans="1:7" ht="32.4">
      <c r="A64" s="54"/>
      <c r="B64" s="54"/>
      <c r="C64" s="54"/>
      <c r="D64" s="54"/>
      <c r="E64" s="54"/>
      <c r="F64" s="54"/>
      <c r="G64" s="54"/>
    </row>
    <row r="65" spans="1:7" ht="32.4">
      <c r="A65" s="54"/>
      <c r="B65" s="54"/>
      <c r="C65" s="54"/>
      <c r="D65" s="54"/>
      <c r="E65" s="54"/>
      <c r="F65" s="54"/>
      <c r="G65" s="54"/>
    </row>
    <row r="66" spans="1:7" ht="32.4">
      <c r="A66" s="54"/>
      <c r="B66" s="54"/>
      <c r="C66" s="54"/>
      <c r="D66" s="54"/>
      <c r="E66" s="54"/>
      <c r="F66" s="54"/>
      <c r="G66" s="54"/>
    </row>
    <row r="67" spans="1:7" ht="32.4">
      <c r="A67" s="54"/>
      <c r="B67" s="54"/>
      <c r="C67" s="54"/>
      <c r="D67" s="54"/>
      <c r="E67" s="54"/>
      <c r="F67" s="54"/>
      <c r="G67" s="54"/>
    </row>
    <row r="68" spans="1:7" ht="32.4">
      <c r="A68" s="54"/>
      <c r="B68" s="54"/>
      <c r="C68" s="54"/>
      <c r="D68" s="54"/>
      <c r="E68" s="54"/>
      <c r="F68" s="54"/>
      <c r="G68" s="54"/>
    </row>
    <row r="69" spans="1:7" ht="32.4">
      <c r="A69" s="54"/>
      <c r="B69" s="54"/>
      <c r="C69" s="54"/>
      <c r="D69" s="54"/>
      <c r="E69" s="54"/>
      <c r="F69" s="54"/>
      <c r="G69" s="54"/>
    </row>
    <row r="70" spans="1:7" ht="32.4">
      <c r="A70" s="54"/>
      <c r="B70" s="54"/>
      <c r="C70" s="54"/>
      <c r="D70" s="54"/>
      <c r="E70" s="54"/>
      <c r="F70" s="54"/>
      <c r="G70" s="54"/>
    </row>
    <row r="71" spans="1:7" ht="32.4">
      <c r="A71" s="54"/>
      <c r="B71" s="54"/>
      <c r="C71" s="54"/>
      <c r="D71" s="54"/>
      <c r="E71" s="54"/>
      <c r="F71" s="54"/>
      <c r="G71" s="54"/>
    </row>
    <row r="72" spans="1:7" ht="32.4">
      <c r="A72" s="54"/>
      <c r="B72" s="54"/>
      <c r="C72" s="54"/>
      <c r="D72" s="54"/>
      <c r="E72" s="54"/>
      <c r="F72" s="54"/>
      <c r="G72" s="54"/>
    </row>
    <row r="73" spans="1:7" ht="32.4">
      <c r="A73" s="54"/>
      <c r="B73" s="54"/>
      <c r="C73" s="54"/>
      <c r="D73" s="54"/>
      <c r="E73" s="54"/>
      <c r="F73" s="54"/>
      <c r="G73" s="54"/>
    </row>
    <row r="74" spans="1:7" ht="32.4">
      <c r="A74" s="54"/>
      <c r="B74" s="54"/>
      <c r="C74" s="54"/>
      <c r="D74" s="54"/>
      <c r="E74" s="54"/>
      <c r="F74" s="54"/>
      <c r="G74" s="54"/>
    </row>
    <row r="75" spans="1:7" ht="32.4">
      <c r="A75" s="54"/>
      <c r="B75" s="54"/>
      <c r="C75" s="54"/>
      <c r="D75" s="54"/>
      <c r="E75" s="54"/>
      <c r="F75" s="54"/>
      <c r="G75" s="54"/>
    </row>
    <row r="76" spans="1:7" ht="32.4">
      <c r="A76" s="54"/>
      <c r="B76" s="54"/>
      <c r="C76" s="54"/>
      <c r="D76" s="54"/>
      <c r="E76" s="54"/>
      <c r="F76" s="54"/>
      <c r="G76" s="54"/>
    </row>
    <row r="77" spans="1:7" ht="32.4">
      <c r="A77" s="54"/>
      <c r="B77" s="54"/>
      <c r="C77" s="54"/>
      <c r="D77" s="54"/>
      <c r="E77" s="54"/>
      <c r="F77" s="54"/>
      <c r="G77" s="54"/>
    </row>
    <row r="78" spans="1:7" ht="32.4">
      <c r="A78" s="54"/>
      <c r="B78" s="54"/>
      <c r="C78" s="54"/>
      <c r="D78" s="54"/>
      <c r="E78" s="54"/>
      <c r="F78" s="54"/>
      <c r="G78" s="54"/>
    </row>
    <row r="79" spans="1:7" ht="32.4">
      <c r="A79" s="54"/>
      <c r="B79" s="54"/>
      <c r="C79" s="54"/>
      <c r="D79" s="54"/>
      <c r="E79" s="54"/>
      <c r="F79" s="54"/>
      <c r="G79" s="54"/>
    </row>
    <row r="80" spans="1:7" ht="32.4">
      <c r="A80" s="54"/>
      <c r="B80" s="54"/>
      <c r="C80" s="54"/>
      <c r="D80" s="54"/>
      <c r="E80" s="54"/>
      <c r="F80" s="54"/>
      <c r="G80" s="54"/>
    </row>
    <row r="81" spans="1:7" ht="32.4">
      <c r="A81" s="54"/>
      <c r="B81" s="54"/>
      <c r="C81" s="54"/>
      <c r="D81" s="54"/>
      <c r="E81" s="54"/>
      <c r="F81" s="54"/>
      <c r="G81" s="54"/>
    </row>
    <row r="82" spans="1:7" ht="32.4">
      <c r="A82" s="54"/>
      <c r="B82" s="54"/>
      <c r="C82" s="54"/>
      <c r="D82" s="54"/>
      <c r="E82" s="54"/>
      <c r="F82" s="54"/>
      <c r="G82" s="54"/>
    </row>
    <row r="83" spans="1:7" ht="32.4">
      <c r="A83" s="54"/>
      <c r="B83" s="54"/>
      <c r="C83" s="54"/>
      <c r="D83" s="54"/>
      <c r="E83" s="54"/>
      <c r="F83" s="54"/>
      <c r="G83" s="54"/>
    </row>
    <row r="84" spans="1:7" ht="32.4">
      <c r="A84" s="54"/>
      <c r="B84" s="54"/>
      <c r="C84" s="54"/>
      <c r="D84" s="54"/>
      <c r="E84" s="54"/>
      <c r="F84" s="54"/>
      <c r="G84" s="54"/>
    </row>
    <row r="85" spans="1:7" ht="32.4">
      <c r="A85" s="54"/>
      <c r="B85" s="54"/>
      <c r="C85" s="54"/>
      <c r="D85" s="54"/>
      <c r="E85" s="54"/>
      <c r="F85" s="54"/>
      <c r="G85" s="54"/>
    </row>
    <row r="86" spans="1:7" ht="32.4">
      <c r="A86" s="54"/>
      <c r="B86" s="54"/>
      <c r="C86" s="54"/>
      <c r="D86" s="54"/>
      <c r="E86" s="54"/>
      <c r="F86" s="54"/>
      <c r="G86" s="54"/>
    </row>
    <row r="87" spans="1:7" ht="32.4">
      <c r="A87" s="54"/>
      <c r="B87" s="54"/>
      <c r="C87" s="54"/>
      <c r="D87" s="54"/>
      <c r="E87" s="54"/>
      <c r="F87" s="54"/>
      <c r="G87" s="54"/>
    </row>
    <row r="88" spans="1:7" ht="32.4">
      <c r="A88" s="54"/>
      <c r="B88" s="54"/>
      <c r="C88" s="54"/>
      <c r="D88" s="54"/>
      <c r="E88" s="54"/>
      <c r="F88" s="54"/>
      <c r="G88" s="54"/>
    </row>
    <row r="89" spans="1:7" ht="32.4">
      <c r="A89" s="54"/>
      <c r="B89" s="54"/>
      <c r="C89" s="54"/>
      <c r="D89" s="54"/>
      <c r="E89" s="54"/>
      <c r="F89" s="54"/>
      <c r="G89" s="54"/>
    </row>
    <row r="90" spans="1:7" ht="32.4">
      <c r="A90" s="54"/>
      <c r="B90" s="54"/>
      <c r="C90" s="54"/>
      <c r="D90" s="54"/>
      <c r="E90" s="54"/>
      <c r="F90" s="54"/>
      <c r="G90" s="54"/>
    </row>
    <row r="91" spans="1:7" ht="32.4">
      <c r="A91" s="54"/>
      <c r="B91" s="54"/>
      <c r="C91" s="54"/>
      <c r="D91" s="54"/>
      <c r="E91" s="54"/>
      <c r="F91" s="54"/>
      <c r="G91" s="54"/>
    </row>
    <row r="92" spans="1:7" ht="32.4">
      <c r="A92" s="54"/>
      <c r="B92" s="54"/>
      <c r="C92" s="54"/>
      <c r="D92" s="54"/>
      <c r="E92" s="54"/>
      <c r="F92" s="54"/>
      <c r="G92" s="54"/>
    </row>
    <row r="93" spans="1:7" ht="32.4">
      <c r="A93" s="54"/>
      <c r="B93" s="54"/>
      <c r="C93" s="54"/>
      <c r="D93" s="54"/>
      <c r="E93" s="54"/>
      <c r="F93" s="54"/>
      <c r="G93" s="54"/>
    </row>
    <row r="94" spans="1:7" ht="32.4">
      <c r="A94" s="54"/>
      <c r="B94" s="54"/>
      <c r="C94" s="54"/>
      <c r="D94" s="54"/>
      <c r="E94" s="54"/>
      <c r="F94" s="54"/>
      <c r="G94" s="54"/>
    </row>
    <row r="95" spans="1:7" ht="32.4">
      <c r="A95" s="54"/>
      <c r="B95" s="54"/>
      <c r="C95" s="54"/>
      <c r="D95" s="54"/>
      <c r="E95" s="54"/>
      <c r="F95" s="54"/>
      <c r="G95" s="54"/>
    </row>
    <row r="96" spans="1:7" ht="32.4">
      <c r="A96" s="54"/>
      <c r="B96" s="54"/>
      <c r="C96" s="54"/>
      <c r="D96" s="54"/>
      <c r="E96" s="54"/>
      <c r="F96" s="54"/>
      <c r="G96" s="54"/>
    </row>
    <row r="97" spans="1:7" ht="32.4">
      <c r="A97" s="54"/>
      <c r="B97" s="54"/>
      <c r="C97" s="54"/>
      <c r="D97" s="54"/>
      <c r="E97" s="54"/>
      <c r="F97" s="54"/>
      <c r="G97" s="54"/>
    </row>
    <row r="98" spans="1:7" ht="32.4">
      <c r="A98" s="54"/>
      <c r="B98" s="54"/>
      <c r="C98" s="54"/>
      <c r="D98" s="54"/>
      <c r="E98" s="54"/>
      <c r="F98" s="54"/>
      <c r="G98" s="54"/>
    </row>
    <row r="99" spans="1:7" ht="32.4">
      <c r="A99" s="54"/>
      <c r="B99" s="54"/>
      <c r="C99" s="54"/>
      <c r="D99" s="54"/>
      <c r="E99" s="54"/>
      <c r="F99" s="54"/>
      <c r="G99" s="54"/>
    </row>
    <row r="100" spans="1:7" ht="32.4">
      <c r="A100" s="54"/>
      <c r="B100" s="54"/>
      <c r="C100" s="54"/>
      <c r="D100" s="54"/>
      <c r="E100" s="54"/>
      <c r="F100" s="54"/>
      <c r="G100" s="54"/>
    </row>
    <row r="101" spans="1:7" ht="32.4">
      <c r="A101" s="54"/>
      <c r="B101" s="54"/>
      <c r="C101" s="54"/>
      <c r="D101" s="54"/>
      <c r="E101" s="54"/>
      <c r="F101" s="54"/>
      <c r="G101" s="54"/>
    </row>
    <row r="102" spans="1:7" ht="32.4">
      <c r="A102" s="54"/>
      <c r="B102" s="54"/>
      <c r="C102" s="54"/>
      <c r="D102" s="54"/>
      <c r="E102" s="54"/>
      <c r="F102" s="54"/>
      <c r="G102" s="54"/>
    </row>
    <row r="103" spans="1:7" ht="32.4">
      <c r="A103" s="54"/>
      <c r="B103" s="54"/>
      <c r="C103" s="54"/>
      <c r="D103" s="54"/>
      <c r="E103" s="54"/>
      <c r="F103" s="54"/>
      <c r="G103" s="54"/>
    </row>
    <row r="104" spans="1:7" ht="32.4">
      <c r="A104" s="54"/>
      <c r="B104" s="54"/>
      <c r="C104" s="54"/>
      <c r="D104" s="54"/>
      <c r="E104" s="54"/>
      <c r="F104" s="54"/>
      <c r="G104" s="54"/>
    </row>
    <row r="105" spans="1:7" ht="32.4">
      <c r="A105" s="54"/>
      <c r="B105" s="54"/>
      <c r="C105" s="54"/>
      <c r="D105" s="54"/>
      <c r="E105" s="54"/>
      <c r="F105" s="54"/>
      <c r="G105" s="54"/>
    </row>
    <row r="106" spans="1:7" ht="32.4">
      <c r="A106" s="54"/>
      <c r="B106" s="54"/>
      <c r="C106" s="54"/>
      <c r="D106" s="54"/>
      <c r="E106" s="54"/>
      <c r="F106" s="54"/>
      <c r="G106" s="54"/>
    </row>
    <row r="107" spans="1:7" ht="32.4">
      <c r="A107" s="54"/>
      <c r="B107" s="54"/>
      <c r="C107" s="54"/>
      <c r="D107" s="54"/>
      <c r="E107" s="54"/>
      <c r="F107" s="54"/>
      <c r="G107" s="54"/>
    </row>
    <row r="108" spans="1:7" ht="32.4">
      <c r="A108" s="54"/>
      <c r="B108" s="54"/>
      <c r="C108" s="54"/>
      <c r="D108" s="54"/>
      <c r="E108" s="54"/>
      <c r="F108" s="54"/>
      <c r="G108" s="54"/>
    </row>
    <row r="109" spans="1:7" ht="32.4">
      <c r="A109" s="54"/>
      <c r="B109" s="54"/>
      <c r="C109" s="54"/>
      <c r="D109" s="54"/>
      <c r="E109" s="54"/>
      <c r="F109" s="54"/>
      <c r="G109" s="54"/>
    </row>
    <row r="110" spans="1:7" ht="32.4">
      <c r="A110" s="54"/>
      <c r="B110" s="54"/>
      <c r="C110" s="54"/>
      <c r="D110" s="54"/>
      <c r="E110" s="54"/>
      <c r="F110" s="54"/>
      <c r="G110" s="54"/>
    </row>
    <row r="111" spans="1:7" ht="32.4">
      <c r="A111" s="54"/>
      <c r="B111" s="54"/>
      <c r="C111" s="54"/>
      <c r="D111" s="54"/>
      <c r="E111" s="54"/>
      <c r="F111" s="54"/>
      <c r="G111" s="54"/>
    </row>
    <row r="112" spans="1:7" ht="32.4">
      <c r="A112" s="54"/>
      <c r="B112" s="54"/>
      <c r="C112" s="54"/>
      <c r="D112" s="54"/>
      <c r="E112" s="54"/>
      <c r="F112" s="54"/>
      <c r="G112" s="54"/>
    </row>
    <row r="113" spans="1:7" ht="32.4">
      <c r="A113" s="54"/>
      <c r="B113" s="54"/>
      <c r="C113" s="54"/>
      <c r="D113" s="54"/>
      <c r="E113" s="54"/>
      <c r="F113" s="54"/>
      <c r="G113" s="54"/>
    </row>
    <row r="114" spans="1:7" ht="32.4">
      <c r="A114" s="54"/>
      <c r="B114" s="54"/>
      <c r="C114" s="54"/>
      <c r="D114" s="54"/>
      <c r="E114" s="54"/>
      <c r="F114" s="54"/>
      <c r="G114" s="54"/>
    </row>
    <row r="115" spans="1:7" ht="32.4">
      <c r="A115" s="54"/>
      <c r="B115" s="54"/>
      <c r="C115" s="54"/>
      <c r="D115" s="54"/>
      <c r="E115" s="54"/>
      <c r="F115" s="54"/>
      <c r="G115" s="54"/>
    </row>
    <row r="116" spans="1:7" ht="32.4">
      <c r="A116" s="54"/>
      <c r="B116" s="54"/>
      <c r="C116" s="54"/>
      <c r="D116" s="54"/>
      <c r="E116" s="54"/>
      <c r="F116" s="54"/>
      <c r="G116" s="54"/>
    </row>
    <row r="117" spans="1:7" ht="32.4">
      <c r="A117" s="54"/>
      <c r="B117" s="54"/>
      <c r="C117" s="54"/>
      <c r="D117" s="54"/>
      <c r="E117" s="54"/>
      <c r="F117" s="54"/>
      <c r="G117" s="54"/>
    </row>
    <row r="118" spans="1:7" ht="32.4">
      <c r="A118" s="54"/>
      <c r="B118" s="54"/>
      <c r="C118" s="54"/>
      <c r="D118" s="54"/>
      <c r="E118" s="54"/>
      <c r="F118" s="54"/>
      <c r="G118" s="54"/>
    </row>
    <row r="119" spans="1:7" ht="32.4">
      <c r="A119" s="54"/>
      <c r="B119" s="54"/>
      <c r="C119" s="54"/>
      <c r="D119" s="54"/>
      <c r="E119" s="54"/>
      <c r="F119" s="54"/>
      <c r="G119" s="54"/>
    </row>
    <row r="120" spans="1:7" ht="32.4">
      <c r="A120" s="54"/>
      <c r="B120" s="54"/>
      <c r="C120" s="54"/>
      <c r="D120" s="54"/>
      <c r="E120" s="54"/>
      <c r="F120" s="54"/>
      <c r="G120" s="54"/>
    </row>
    <row r="121" spans="1:7" ht="32.4">
      <c r="A121" s="54"/>
      <c r="B121" s="54"/>
      <c r="C121" s="54"/>
      <c r="D121" s="54"/>
      <c r="E121" s="54"/>
      <c r="F121" s="54"/>
      <c r="G121" s="54"/>
    </row>
    <row r="122" spans="1:7" ht="32.4">
      <c r="A122" s="54"/>
      <c r="B122" s="54"/>
      <c r="C122" s="54"/>
      <c r="D122" s="54"/>
      <c r="E122" s="54"/>
      <c r="F122" s="54"/>
      <c r="G122" s="54"/>
    </row>
    <row r="123" spans="1:7" ht="32.4">
      <c r="A123" s="54"/>
      <c r="B123" s="54"/>
      <c r="C123" s="54"/>
      <c r="D123" s="54"/>
      <c r="E123" s="54"/>
      <c r="F123" s="54"/>
      <c r="G123" s="54"/>
    </row>
    <row r="124" spans="1:7" ht="32.4">
      <c r="A124" s="54"/>
      <c r="B124" s="54"/>
      <c r="C124" s="54"/>
      <c r="D124" s="54"/>
      <c r="E124" s="54"/>
      <c r="F124" s="54"/>
      <c r="G124" s="54"/>
    </row>
    <row r="125" spans="1:7" ht="32.4">
      <c r="A125" s="54"/>
      <c r="B125" s="54"/>
      <c r="C125" s="54"/>
      <c r="D125" s="54"/>
      <c r="E125" s="54"/>
      <c r="F125" s="54"/>
      <c r="G125" s="54"/>
    </row>
    <row r="126" spans="1:7" ht="32.4">
      <c r="A126" s="54"/>
      <c r="B126" s="54"/>
      <c r="C126" s="54"/>
      <c r="D126" s="54"/>
      <c r="E126" s="54"/>
      <c r="F126" s="54"/>
      <c r="G126" s="54"/>
    </row>
    <row r="127" spans="1:7" ht="32.4">
      <c r="A127" s="54"/>
      <c r="B127" s="54"/>
      <c r="C127" s="54"/>
      <c r="D127" s="54"/>
      <c r="E127" s="54"/>
      <c r="F127" s="54"/>
      <c r="G127" s="54"/>
    </row>
    <row r="128" spans="1:7" ht="32.4">
      <c r="A128" s="54"/>
      <c r="B128" s="54"/>
      <c r="C128" s="54"/>
      <c r="D128" s="54"/>
      <c r="E128" s="54"/>
      <c r="F128" s="54"/>
      <c r="G128" s="54"/>
    </row>
    <row r="129" spans="1:7" ht="32.4">
      <c r="A129" s="54"/>
      <c r="B129" s="54"/>
      <c r="C129" s="54"/>
      <c r="D129" s="54"/>
      <c r="E129" s="54"/>
      <c r="F129" s="54"/>
      <c r="G129" s="54"/>
    </row>
    <row r="130" spans="1:7" ht="32.4">
      <c r="A130" s="54"/>
      <c r="B130" s="54"/>
      <c r="C130" s="54"/>
      <c r="D130" s="54"/>
      <c r="E130" s="54"/>
      <c r="F130" s="54"/>
      <c r="G130" s="54"/>
    </row>
    <row r="131" spans="1:7" ht="32.4">
      <c r="A131" s="54"/>
      <c r="B131" s="54"/>
      <c r="C131" s="54"/>
      <c r="D131" s="54"/>
      <c r="E131" s="54"/>
      <c r="F131" s="54"/>
      <c r="G131" s="54"/>
    </row>
    <row r="132" spans="1:7" ht="32.4">
      <c r="A132" s="54"/>
      <c r="B132" s="54"/>
      <c r="C132" s="54"/>
      <c r="D132" s="54"/>
      <c r="E132" s="54"/>
      <c r="F132" s="54"/>
      <c r="G132" s="54"/>
    </row>
    <row r="133" spans="1:7" ht="32.4">
      <c r="A133" s="54"/>
      <c r="B133" s="54"/>
      <c r="C133" s="54"/>
      <c r="D133" s="54"/>
      <c r="E133" s="54"/>
      <c r="F133" s="54"/>
      <c r="G133" s="54"/>
    </row>
    <row r="134" spans="1:7" ht="32.4">
      <c r="A134" s="54"/>
      <c r="B134" s="54"/>
      <c r="C134" s="54"/>
      <c r="D134" s="54"/>
      <c r="E134" s="54"/>
      <c r="F134" s="54"/>
      <c r="G134" s="54"/>
    </row>
    <row r="135" spans="1:7" ht="32.4">
      <c r="A135" s="54"/>
      <c r="B135" s="54"/>
      <c r="C135" s="54"/>
      <c r="D135" s="54"/>
      <c r="E135" s="54"/>
      <c r="F135" s="54"/>
      <c r="G135" s="54"/>
    </row>
    <row r="136" spans="1:7" ht="32.4">
      <c r="A136" s="54"/>
      <c r="B136" s="54"/>
      <c r="C136" s="54"/>
      <c r="D136" s="54"/>
      <c r="E136" s="54"/>
      <c r="F136" s="54"/>
      <c r="G136" s="54"/>
    </row>
    <row r="137" spans="1:7" ht="32.4">
      <c r="A137" s="54"/>
      <c r="B137" s="54"/>
      <c r="C137" s="54"/>
      <c r="D137" s="54"/>
      <c r="E137" s="54"/>
      <c r="F137" s="54"/>
      <c r="G137" s="54"/>
    </row>
    <row r="138" spans="1:7" ht="32.4">
      <c r="A138" s="54"/>
      <c r="B138" s="54"/>
      <c r="C138" s="54"/>
      <c r="D138" s="54"/>
      <c r="E138" s="54"/>
      <c r="F138" s="54"/>
      <c r="G138" s="54"/>
    </row>
    <row r="139" spans="1:7" ht="32.4">
      <c r="A139" s="54"/>
      <c r="B139" s="54"/>
      <c r="C139" s="54"/>
      <c r="D139" s="54"/>
      <c r="E139" s="54"/>
      <c r="F139" s="54"/>
      <c r="G139" s="54"/>
    </row>
    <row r="140" spans="1:7" ht="32.4">
      <c r="A140" s="54"/>
      <c r="B140" s="54"/>
      <c r="C140" s="54"/>
      <c r="D140" s="54"/>
      <c r="E140" s="54"/>
      <c r="F140" s="54"/>
      <c r="G140" s="54"/>
    </row>
    <row r="141" spans="1:7" ht="32.4">
      <c r="A141" s="54"/>
      <c r="B141" s="54"/>
      <c r="C141" s="54"/>
      <c r="D141" s="54"/>
      <c r="E141" s="54"/>
      <c r="F141" s="54"/>
      <c r="G141" s="54"/>
    </row>
    <row r="142" spans="1:7" ht="32.4">
      <c r="A142" s="54"/>
      <c r="B142" s="54"/>
      <c r="C142" s="54"/>
      <c r="D142" s="54"/>
      <c r="E142" s="54"/>
      <c r="F142" s="54"/>
      <c r="G142" s="54"/>
    </row>
    <row r="143" spans="1:7" ht="32.4">
      <c r="A143" s="54"/>
      <c r="B143" s="54"/>
      <c r="C143" s="54"/>
      <c r="D143" s="54"/>
      <c r="E143" s="54"/>
      <c r="F143" s="54"/>
      <c r="G143" s="54"/>
    </row>
    <row r="144" spans="1:7" ht="32.4">
      <c r="A144" s="54"/>
      <c r="B144" s="54"/>
      <c r="C144" s="54"/>
      <c r="D144" s="54"/>
      <c r="E144" s="54"/>
      <c r="F144" s="54"/>
      <c r="G144" s="54"/>
    </row>
    <row r="145" spans="1:7" ht="32.4">
      <c r="A145" s="54"/>
      <c r="B145" s="54"/>
      <c r="C145" s="54"/>
      <c r="D145" s="54"/>
      <c r="E145" s="54"/>
      <c r="F145" s="54"/>
      <c r="G145" s="54"/>
    </row>
    <row r="146" spans="1:7" ht="32.4">
      <c r="A146" s="54"/>
      <c r="B146" s="54"/>
      <c r="C146" s="54"/>
      <c r="D146" s="54"/>
      <c r="E146" s="54"/>
      <c r="F146" s="54"/>
      <c r="G146" s="54"/>
    </row>
    <row r="147" spans="1:7" ht="32.4">
      <c r="A147" s="54"/>
      <c r="B147" s="54"/>
      <c r="C147" s="54"/>
      <c r="D147" s="54"/>
      <c r="E147" s="54"/>
      <c r="F147" s="54"/>
      <c r="G147" s="54"/>
    </row>
    <row r="148" spans="1:7" ht="32.4">
      <c r="A148" s="54"/>
      <c r="B148" s="54"/>
      <c r="C148" s="54"/>
      <c r="D148" s="54"/>
      <c r="E148" s="54"/>
      <c r="F148" s="54"/>
      <c r="G148" s="54"/>
    </row>
    <row r="149" spans="1:7" ht="32.4">
      <c r="A149" s="54"/>
      <c r="B149" s="54"/>
      <c r="C149" s="54"/>
      <c r="D149" s="54"/>
      <c r="E149" s="54"/>
      <c r="F149" s="54"/>
      <c r="G149" s="54"/>
    </row>
    <row r="150" spans="1:7" ht="32.4">
      <c r="A150" s="54"/>
      <c r="B150" s="54"/>
      <c r="C150" s="54"/>
      <c r="D150" s="54"/>
      <c r="E150" s="54"/>
      <c r="F150" s="54"/>
      <c r="G150" s="54"/>
    </row>
    <row r="151" spans="1:7" ht="32.4">
      <c r="A151" s="54"/>
      <c r="B151" s="54"/>
      <c r="C151" s="54"/>
      <c r="D151" s="54"/>
      <c r="E151" s="54"/>
      <c r="F151" s="54"/>
      <c r="G151" s="54"/>
    </row>
    <row r="152" spans="1:7" ht="32.4">
      <c r="A152" s="54"/>
      <c r="B152" s="54"/>
      <c r="C152" s="54"/>
      <c r="D152" s="54"/>
      <c r="E152" s="54"/>
      <c r="F152" s="54"/>
      <c r="G152" s="54"/>
    </row>
    <row r="153" spans="1:7" ht="32.4">
      <c r="A153" s="54"/>
      <c r="B153" s="54"/>
      <c r="C153" s="54"/>
      <c r="D153" s="54"/>
      <c r="E153" s="54"/>
      <c r="F153" s="54"/>
      <c r="G153" s="54"/>
    </row>
    <row r="154" spans="1:7" ht="32.4">
      <c r="A154" s="54"/>
      <c r="B154" s="54"/>
      <c r="C154" s="54"/>
      <c r="D154" s="54"/>
      <c r="E154" s="54"/>
      <c r="F154" s="54"/>
      <c r="G154" s="54"/>
    </row>
    <row r="155" spans="1:7" ht="32.4">
      <c r="A155" s="54"/>
      <c r="B155" s="54"/>
      <c r="C155" s="54"/>
      <c r="D155" s="54"/>
      <c r="E155" s="54"/>
      <c r="F155" s="54"/>
      <c r="G155" s="54"/>
    </row>
    <row r="156" spans="1:7" ht="32.4">
      <c r="A156" s="54"/>
      <c r="B156" s="54"/>
      <c r="C156" s="54"/>
      <c r="D156" s="54"/>
      <c r="E156" s="54"/>
      <c r="F156" s="54"/>
      <c r="G156" s="54"/>
    </row>
    <row r="157" spans="1:7" ht="32.4">
      <c r="A157" s="54"/>
      <c r="B157" s="54"/>
      <c r="C157" s="54"/>
      <c r="D157" s="54"/>
      <c r="E157" s="54"/>
      <c r="F157" s="54"/>
      <c r="G157" s="54"/>
    </row>
    <row r="158" spans="1:7" ht="32.4">
      <c r="A158" s="54"/>
      <c r="B158" s="54"/>
      <c r="C158" s="54"/>
      <c r="D158" s="54"/>
      <c r="E158" s="54"/>
      <c r="F158" s="54"/>
      <c r="G158" s="54"/>
    </row>
    <row r="159" spans="1:7" ht="32.4">
      <c r="A159" s="54"/>
      <c r="B159" s="54"/>
      <c r="C159" s="54"/>
      <c r="D159" s="54"/>
      <c r="E159" s="54"/>
      <c r="F159" s="54"/>
      <c r="G159" s="54"/>
    </row>
    <row r="160" spans="1:7" ht="32.4">
      <c r="A160" s="54"/>
      <c r="B160" s="54"/>
      <c r="C160" s="54"/>
      <c r="D160" s="54"/>
      <c r="E160" s="54"/>
      <c r="F160" s="54"/>
      <c r="G160" s="54"/>
    </row>
    <row r="161" spans="1:7" ht="32.4">
      <c r="A161" s="54"/>
      <c r="B161" s="54"/>
      <c r="C161" s="54"/>
      <c r="D161" s="54"/>
      <c r="E161" s="54"/>
      <c r="F161" s="54"/>
      <c r="G161" s="54"/>
    </row>
    <row r="162" spans="1:7" ht="32.4">
      <c r="A162" s="54"/>
      <c r="B162" s="54"/>
      <c r="C162" s="54"/>
      <c r="D162" s="54"/>
      <c r="E162" s="54"/>
      <c r="F162" s="54"/>
      <c r="G162" s="54"/>
    </row>
    <row r="163" spans="1:7" ht="32.4">
      <c r="A163" s="54"/>
      <c r="B163" s="54"/>
      <c r="C163" s="54"/>
      <c r="D163" s="54"/>
      <c r="E163" s="54"/>
      <c r="F163" s="54"/>
      <c r="G163" s="54"/>
    </row>
    <row r="164" spans="1:7" ht="32.4">
      <c r="A164" s="54"/>
      <c r="B164" s="54"/>
      <c r="C164" s="54"/>
      <c r="D164" s="54"/>
      <c r="E164" s="54"/>
      <c r="F164" s="54"/>
      <c r="G164" s="54"/>
    </row>
    <row r="165" spans="1:7" ht="32.4">
      <c r="A165" s="54"/>
      <c r="B165" s="54"/>
      <c r="C165" s="54"/>
      <c r="D165" s="54"/>
      <c r="E165" s="54"/>
      <c r="F165" s="54"/>
      <c r="G165" s="54"/>
    </row>
    <row r="166" spans="1:7" ht="32.4">
      <c r="A166" s="54"/>
      <c r="B166" s="54"/>
      <c r="C166" s="54"/>
      <c r="D166" s="54"/>
      <c r="E166" s="54"/>
      <c r="F166" s="54"/>
      <c r="G166" s="54"/>
    </row>
    <row r="167" spans="1:7" ht="32.4">
      <c r="A167" s="54"/>
      <c r="B167" s="54"/>
      <c r="C167" s="54"/>
      <c r="D167" s="54"/>
      <c r="E167" s="54"/>
      <c r="F167" s="54"/>
      <c r="G167" s="54"/>
    </row>
    <row r="168" spans="1:7" ht="32.4">
      <c r="A168" s="54"/>
      <c r="B168" s="54"/>
      <c r="C168" s="54"/>
      <c r="D168" s="54"/>
      <c r="E168" s="54"/>
      <c r="F168" s="54"/>
      <c r="G168" s="54"/>
    </row>
    <row r="169" spans="1:7" ht="32.4">
      <c r="A169" s="54"/>
      <c r="B169" s="54"/>
      <c r="C169" s="54"/>
      <c r="D169" s="54"/>
      <c r="E169" s="54"/>
      <c r="F169" s="54"/>
      <c r="G169" s="54"/>
    </row>
    <row r="170" spans="1:7" ht="32.4">
      <c r="A170" s="54"/>
      <c r="B170" s="54"/>
      <c r="C170" s="54"/>
      <c r="D170" s="54"/>
      <c r="E170" s="54"/>
      <c r="F170" s="54"/>
      <c r="G170" s="54"/>
    </row>
    <row r="171" spans="1:7" ht="32.4">
      <c r="A171" s="54"/>
      <c r="B171" s="54"/>
      <c r="C171" s="54"/>
      <c r="D171" s="54"/>
      <c r="E171" s="54"/>
      <c r="F171" s="54"/>
      <c r="G171" s="54"/>
    </row>
    <row r="172" spans="1:7" ht="32.4">
      <c r="A172" s="54"/>
      <c r="B172" s="54"/>
      <c r="C172" s="54"/>
      <c r="D172" s="54"/>
      <c r="E172" s="54"/>
      <c r="F172" s="54"/>
      <c r="G172" s="54"/>
    </row>
    <row r="173" spans="1:7" ht="32.4">
      <c r="A173" s="54"/>
      <c r="B173" s="54"/>
      <c r="C173" s="54"/>
      <c r="D173" s="54"/>
      <c r="E173" s="54"/>
      <c r="F173" s="54"/>
      <c r="G173" s="54"/>
    </row>
    <row r="174" spans="1:7" ht="32.4">
      <c r="A174" s="54"/>
      <c r="B174" s="54"/>
      <c r="C174" s="54"/>
      <c r="D174" s="54"/>
      <c r="E174" s="54"/>
      <c r="F174" s="54"/>
      <c r="G174" s="54"/>
    </row>
    <row r="175" spans="1:7" ht="32.4">
      <c r="A175" s="54"/>
      <c r="B175" s="54"/>
      <c r="C175" s="54"/>
      <c r="D175" s="54"/>
      <c r="E175" s="54"/>
      <c r="F175" s="54"/>
      <c r="G175" s="54"/>
    </row>
    <row r="176" spans="1:7" ht="32.4">
      <c r="A176" s="54"/>
      <c r="B176" s="54"/>
      <c r="C176" s="54"/>
      <c r="D176" s="54"/>
      <c r="E176" s="54"/>
      <c r="F176" s="54"/>
      <c r="G176" s="54"/>
    </row>
    <row r="177" spans="1:7" ht="32.4">
      <c r="A177" s="54"/>
      <c r="B177" s="54"/>
      <c r="C177" s="54"/>
      <c r="D177" s="54"/>
      <c r="E177" s="54"/>
      <c r="F177" s="54"/>
      <c r="G177" s="54"/>
    </row>
    <row r="178" spans="1:7" ht="32.4">
      <c r="A178" s="54"/>
      <c r="B178" s="54"/>
      <c r="C178" s="54"/>
      <c r="D178" s="54"/>
      <c r="E178" s="54"/>
      <c r="F178" s="54"/>
      <c r="G178" s="54"/>
    </row>
    <row r="179" spans="1:7" ht="32.4">
      <c r="A179" s="54"/>
      <c r="B179" s="54"/>
      <c r="C179" s="54"/>
      <c r="D179" s="54"/>
      <c r="E179" s="54"/>
      <c r="F179" s="54"/>
      <c r="G179" s="54"/>
    </row>
    <row r="180" spans="1:7" ht="32.4">
      <c r="A180" s="54"/>
      <c r="B180" s="54"/>
      <c r="C180" s="54"/>
      <c r="D180" s="54"/>
      <c r="E180" s="54"/>
      <c r="F180" s="54"/>
      <c r="G180" s="54"/>
    </row>
    <row r="181" spans="1:7" ht="32.4">
      <c r="A181" s="54"/>
      <c r="B181" s="54"/>
      <c r="C181" s="54"/>
      <c r="D181" s="54"/>
      <c r="E181" s="54"/>
      <c r="F181" s="54"/>
      <c r="G181" s="54"/>
    </row>
    <row r="182" spans="1:7" ht="32.4">
      <c r="A182" s="54"/>
      <c r="B182" s="54"/>
      <c r="C182" s="54"/>
      <c r="D182" s="54"/>
      <c r="E182" s="54"/>
      <c r="F182" s="54"/>
      <c r="G182" s="54"/>
    </row>
    <row r="183" spans="1:7" ht="32.4">
      <c r="A183" s="54"/>
      <c r="B183" s="54"/>
      <c r="C183" s="54"/>
      <c r="D183" s="54"/>
      <c r="E183" s="54"/>
      <c r="F183" s="54"/>
      <c r="G183" s="54"/>
    </row>
    <row r="184" spans="1:7" ht="32.4">
      <c r="A184" s="54"/>
      <c r="B184" s="54"/>
      <c r="C184" s="54"/>
      <c r="D184" s="54"/>
      <c r="E184" s="54"/>
      <c r="F184" s="54"/>
      <c r="G184" s="54"/>
    </row>
    <row r="185" spans="1:7" ht="32.4">
      <c r="A185" s="54"/>
      <c r="B185" s="54"/>
      <c r="C185" s="54"/>
      <c r="D185" s="54"/>
      <c r="E185" s="54"/>
      <c r="F185" s="54"/>
      <c r="G185" s="54"/>
    </row>
    <row r="186" spans="1:7" ht="32.4">
      <c r="A186" s="54"/>
      <c r="B186" s="54"/>
      <c r="C186" s="54"/>
      <c r="D186" s="54"/>
      <c r="E186" s="54"/>
      <c r="F186" s="54"/>
      <c r="G186" s="54"/>
    </row>
    <row r="187" spans="1:7" ht="32.4">
      <c r="A187" s="54"/>
      <c r="B187" s="54"/>
      <c r="C187" s="54"/>
      <c r="D187" s="54"/>
      <c r="E187" s="54"/>
      <c r="F187" s="54"/>
      <c r="G187" s="54"/>
    </row>
    <row r="188" spans="1:7" ht="32.4">
      <c r="A188" s="54"/>
      <c r="B188" s="54"/>
      <c r="C188" s="54"/>
      <c r="D188" s="54"/>
      <c r="E188" s="54"/>
      <c r="F188" s="54"/>
      <c r="G188" s="54"/>
    </row>
    <row r="189" spans="1:7" ht="32.4">
      <c r="A189" s="54"/>
      <c r="B189" s="54"/>
      <c r="C189" s="54"/>
      <c r="D189" s="54"/>
      <c r="E189" s="54"/>
      <c r="F189" s="54"/>
      <c r="G189" s="54"/>
    </row>
    <row r="190" spans="1:7" ht="32.4">
      <c r="A190" s="54"/>
      <c r="B190" s="54"/>
      <c r="C190" s="54"/>
      <c r="D190" s="54"/>
      <c r="E190" s="54"/>
      <c r="F190" s="54"/>
      <c r="G190" s="54"/>
    </row>
    <row r="191" spans="1:7" ht="32.4">
      <c r="A191" s="54"/>
      <c r="B191" s="54"/>
      <c r="C191" s="54"/>
      <c r="D191" s="54"/>
      <c r="E191" s="54"/>
      <c r="F191" s="54"/>
      <c r="G191" s="54"/>
    </row>
    <row r="192" spans="1:7" ht="32.4">
      <c r="A192" s="54"/>
      <c r="B192" s="54"/>
      <c r="C192" s="54"/>
      <c r="D192" s="54"/>
      <c r="E192" s="54"/>
      <c r="F192" s="54"/>
      <c r="G192" s="54"/>
    </row>
    <row r="193" spans="1:7" ht="32.4">
      <c r="A193" s="54"/>
      <c r="B193" s="54"/>
      <c r="C193" s="54"/>
      <c r="D193" s="54"/>
      <c r="E193" s="54"/>
      <c r="F193" s="54"/>
      <c r="G193" s="54"/>
    </row>
    <row r="194" spans="1:7" ht="32.4">
      <c r="A194" s="54"/>
      <c r="B194" s="54"/>
      <c r="C194" s="54"/>
      <c r="D194" s="54"/>
      <c r="E194" s="54"/>
      <c r="F194" s="54"/>
      <c r="G194" s="54"/>
    </row>
    <row r="195" spans="1:7" ht="32.4">
      <c r="A195" s="54"/>
      <c r="B195" s="54"/>
      <c r="C195" s="54"/>
      <c r="D195" s="54"/>
      <c r="E195" s="54"/>
      <c r="F195" s="54"/>
      <c r="G195" s="54"/>
    </row>
    <row r="196" spans="1:7" ht="32.4">
      <c r="A196" s="54"/>
      <c r="B196" s="54"/>
      <c r="C196" s="54"/>
      <c r="D196" s="54"/>
      <c r="E196" s="54"/>
      <c r="F196" s="54"/>
      <c r="G196" s="54"/>
    </row>
    <row r="197" spans="1:7" ht="32.4">
      <c r="A197" s="54"/>
      <c r="B197" s="54"/>
      <c r="C197" s="54"/>
      <c r="D197" s="54"/>
      <c r="E197" s="54"/>
      <c r="F197" s="54"/>
      <c r="G197" s="54"/>
    </row>
    <row r="198" spans="1:7" ht="32.4">
      <c r="A198" s="54"/>
      <c r="B198" s="54"/>
      <c r="C198" s="54"/>
      <c r="D198" s="54"/>
      <c r="E198" s="54"/>
      <c r="F198" s="54"/>
      <c r="G198" s="54"/>
    </row>
    <row r="199" spans="1:7" ht="32.4">
      <c r="A199" s="54"/>
      <c r="B199" s="54"/>
      <c r="C199" s="54"/>
      <c r="D199" s="54"/>
      <c r="E199" s="54"/>
      <c r="F199" s="54"/>
      <c r="G199" s="54"/>
    </row>
    <row r="200" spans="1:7" ht="32.4">
      <c r="A200" s="54"/>
      <c r="B200" s="54"/>
      <c r="C200" s="54"/>
      <c r="D200" s="54"/>
      <c r="E200" s="54"/>
      <c r="F200" s="54"/>
      <c r="G200" s="54"/>
    </row>
    <row r="201" spans="1:7" ht="32.4">
      <c r="A201" s="54"/>
      <c r="B201" s="54"/>
      <c r="C201" s="54"/>
      <c r="D201" s="54"/>
      <c r="E201" s="54"/>
      <c r="F201" s="54"/>
      <c r="G201" s="54"/>
    </row>
    <row r="202" spans="1:7" ht="32.4">
      <c r="A202" s="54"/>
      <c r="B202" s="54"/>
      <c r="C202" s="54"/>
      <c r="D202" s="54"/>
      <c r="E202" s="54"/>
      <c r="F202" s="54"/>
      <c r="G202" s="54"/>
    </row>
    <row r="203" spans="1:7" ht="32.4">
      <c r="A203" s="54"/>
      <c r="B203" s="54"/>
      <c r="C203" s="54"/>
      <c r="D203" s="54"/>
      <c r="E203" s="54"/>
      <c r="F203" s="54"/>
      <c r="G203" s="54"/>
    </row>
    <row r="204" spans="1:7" ht="32.4">
      <c r="A204" s="54"/>
      <c r="B204" s="54"/>
      <c r="C204" s="54"/>
      <c r="D204" s="54"/>
      <c r="E204" s="54"/>
      <c r="F204" s="54"/>
      <c r="G204" s="54"/>
    </row>
    <row r="205" spans="1:7" ht="32.4">
      <c r="A205" s="54"/>
      <c r="B205" s="54"/>
      <c r="C205" s="54"/>
      <c r="D205" s="54"/>
      <c r="E205" s="54"/>
      <c r="F205" s="54"/>
      <c r="G205" s="54"/>
    </row>
    <row r="206" spans="1:7" ht="32.4">
      <c r="A206" s="54"/>
      <c r="B206" s="54"/>
      <c r="C206" s="54"/>
      <c r="D206" s="54"/>
      <c r="E206" s="54"/>
      <c r="F206" s="54"/>
      <c r="G206" s="54"/>
    </row>
    <row r="207" spans="1:7" ht="32.4">
      <c r="A207" s="54"/>
      <c r="B207" s="54"/>
      <c r="C207" s="54"/>
      <c r="D207" s="54"/>
      <c r="E207" s="54"/>
      <c r="F207" s="54"/>
      <c r="G207" s="54"/>
    </row>
    <row r="208" spans="1:7" ht="32.4">
      <c r="A208" s="54"/>
      <c r="B208" s="54"/>
      <c r="C208" s="54"/>
      <c r="D208" s="54"/>
      <c r="E208" s="54"/>
      <c r="F208" s="54"/>
      <c r="G208" s="54"/>
    </row>
    <row r="209" spans="1:7" ht="32.4">
      <c r="A209" s="54"/>
      <c r="B209" s="54"/>
      <c r="C209" s="54"/>
      <c r="D209" s="54"/>
      <c r="E209" s="54"/>
      <c r="F209" s="54"/>
      <c r="G209" s="54"/>
    </row>
    <row r="210" spans="1:7" ht="32.4">
      <c r="A210" s="54"/>
      <c r="B210" s="54"/>
      <c r="C210" s="54"/>
      <c r="D210" s="54"/>
      <c r="E210" s="54"/>
      <c r="F210" s="54"/>
      <c r="G210" s="54"/>
    </row>
    <row r="211" spans="1:7" ht="32.4">
      <c r="A211" s="54"/>
      <c r="B211" s="54"/>
      <c r="C211" s="54"/>
      <c r="D211" s="54"/>
      <c r="E211" s="54"/>
      <c r="F211" s="54"/>
      <c r="G211" s="54"/>
    </row>
    <row r="212" spans="1:7" ht="32.4">
      <c r="A212" s="54"/>
      <c r="B212" s="54"/>
      <c r="C212" s="54"/>
      <c r="D212" s="54"/>
      <c r="E212" s="54"/>
      <c r="F212" s="54"/>
      <c r="G212" s="54"/>
    </row>
    <row r="213" spans="1:7" ht="32.4">
      <c r="A213" s="54"/>
      <c r="B213" s="54"/>
      <c r="C213" s="54"/>
      <c r="D213" s="54"/>
      <c r="E213" s="54"/>
      <c r="F213" s="54"/>
      <c r="G213" s="54"/>
    </row>
    <row r="214" spans="1:7" ht="32.4">
      <c r="A214" s="54"/>
      <c r="B214" s="54"/>
      <c r="C214" s="54"/>
      <c r="D214" s="54"/>
      <c r="E214" s="54"/>
      <c r="F214" s="54"/>
      <c r="G214" s="54"/>
    </row>
    <row r="215" spans="1:7" ht="32.4">
      <c r="A215" s="54"/>
      <c r="B215" s="54"/>
      <c r="C215" s="54"/>
      <c r="D215" s="54"/>
      <c r="E215" s="54"/>
      <c r="F215" s="54"/>
      <c r="G215" s="54"/>
    </row>
    <row r="216" spans="1:7" ht="32.4">
      <c r="A216" s="54"/>
      <c r="B216" s="54"/>
      <c r="C216" s="54"/>
      <c r="D216" s="54"/>
      <c r="E216" s="54"/>
      <c r="F216" s="54"/>
      <c r="G216" s="54"/>
    </row>
    <row r="217" spans="1:7" ht="32.4">
      <c r="A217" s="54"/>
      <c r="B217" s="54"/>
      <c r="C217" s="54"/>
      <c r="D217" s="54"/>
      <c r="E217" s="54"/>
      <c r="F217" s="54"/>
      <c r="G217" s="54"/>
    </row>
    <row r="218" spans="1:7" ht="32.4">
      <c r="A218" s="54"/>
      <c r="B218" s="54"/>
      <c r="C218" s="54"/>
      <c r="D218" s="54"/>
      <c r="E218" s="54"/>
      <c r="F218" s="54"/>
      <c r="G218" s="54"/>
    </row>
    <row r="219" spans="1:7" ht="32.4">
      <c r="A219" s="54"/>
      <c r="B219" s="54"/>
      <c r="C219" s="54"/>
      <c r="D219" s="54"/>
      <c r="E219" s="54"/>
      <c r="F219" s="54"/>
      <c r="G219" s="54"/>
    </row>
    <row r="220" spans="1:7" ht="32.4">
      <c r="A220" s="54"/>
      <c r="B220" s="54"/>
      <c r="C220" s="54"/>
      <c r="D220" s="54"/>
      <c r="E220" s="54"/>
      <c r="F220" s="54"/>
      <c r="G220" s="54"/>
    </row>
    <row r="221" spans="1:7" ht="32.4">
      <c r="A221" s="54"/>
      <c r="B221" s="54"/>
      <c r="C221" s="54"/>
      <c r="D221" s="54"/>
      <c r="E221" s="54"/>
      <c r="F221" s="54"/>
      <c r="G221" s="54"/>
    </row>
    <row r="222" spans="1:7" ht="32.4">
      <c r="A222" s="54"/>
      <c r="B222" s="54"/>
      <c r="C222" s="54"/>
      <c r="D222" s="54"/>
      <c r="E222" s="54"/>
      <c r="F222" s="54"/>
      <c r="G222" s="54"/>
    </row>
    <row r="223" spans="1:7" ht="32.4">
      <c r="A223" s="54"/>
      <c r="B223" s="54"/>
      <c r="C223" s="54"/>
      <c r="D223" s="54"/>
      <c r="E223" s="54"/>
      <c r="F223" s="54"/>
      <c r="G223" s="54"/>
    </row>
    <row r="224" spans="1:7" ht="32.4">
      <c r="A224" s="54"/>
      <c r="B224" s="54"/>
      <c r="C224" s="54"/>
      <c r="D224" s="54"/>
      <c r="E224" s="54"/>
      <c r="F224" s="54"/>
      <c r="G224" s="54"/>
    </row>
    <row r="225" spans="1:7" ht="32.4">
      <c r="A225" s="54"/>
      <c r="B225" s="54"/>
      <c r="C225" s="54"/>
      <c r="D225" s="54"/>
      <c r="E225" s="54"/>
      <c r="F225" s="54"/>
      <c r="G225" s="54"/>
    </row>
    <row r="226" spans="1:7" ht="32.4">
      <c r="A226" s="54"/>
      <c r="B226" s="54"/>
      <c r="C226" s="54"/>
      <c r="D226" s="54"/>
      <c r="E226" s="54"/>
      <c r="F226" s="54"/>
      <c r="G226" s="54"/>
    </row>
    <row r="227" spans="1:7" ht="32.4">
      <c r="A227" s="54"/>
      <c r="B227" s="54"/>
      <c r="C227" s="54"/>
      <c r="D227" s="54"/>
      <c r="E227" s="54"/>
      <c r="F227" s="54"/>
      <c r="G227" s="54"/>
    </row>
    <row r="228" spans="1:7" ht="32.4">
      <c r="A228" s="54"/>
      <c r="B228" s="54"/>
      <c r="C228" s="54"/>
      <c r="D228" s="54"/>
      <c r="E228" s="54"/>
      <c r="F228" s="54"/>
      <c r="G228" s="54"/>
    </row>
    <row r="229" spans="1:7" ht="32.4">
      <c r="A229" s="54"/>
      <c r="B229" s="54"/>
      <c r="C229" s="54"/>
      <c r="D229" s="54"/>
      <c r="E229" s="54"/>
      <c r="F229" s="54"/>
      <c r="G229" s="54"/>
    </row>
    <row r="230" spans="1:7" ht="32.4">
      <c r="A230" s="54"/>
      <c r="B230" s="54"/>
      <c r="C230" s="54"/>
      <c r="D230" s="54"/>
      <c r="E230" s="54"/>
      <c r="F230" s="54"/>
      <c r="G230" s="54"/>
    </row>
    <row r="231" spans="1:7" ht="32.4">
      <c r="A231" s="54"/>
      <c r="B231" s="54"/>
      <c r="C231" s="54"/>
      <c r="D231" s="54"/>
      <c r="E231" s="54"/>
      <c r="F231" s="54"/>
      <c r="G231" s="54"/>
    </row>
    <row r="232" spans="1:7" ht="32.4">
      <c r="A232" s="54"/>
      <c r="B232" s="54"/>
      <c r="C232" s="54"/>
      <c r="D232" s="54"/>
      <c r="E232" s="54"/>
      <c r="F232" s="54"/>
      <c r="G232" s="54"/>
    </row>
    <row r="233" spans="1:7" ht="32.4">
      <c r="A233" s="54"/>
      <c r="B233" s="54"/>
      <c r="C233" s="54"/>
      <c r="D233" s="54"/>
      <c r="E233" s="54"/>
      <c r="F233" s="54"/>
      <c r="G233" s="54"/>
    </row>
    <row r="234" spans="1:7" ht="32.4">
      <c r="A234" s="54"/>
      <c r="B234" s="54"/>
      <c r="C234" s="54"/>
      <c r="D234" s="54"/>
      <c r="E234" s="54"/>
      <c r="F234" s="54"/>
      <c r="G234" s="54"/>
    </row>
    <row r="235" spans="1:7" ht="32.4">
      <c r="A235" s="54"/>
      <c r="B235" s="54"/>
      <c r="C235" s="54"/>
      <c r="D235" s="54"/>
      <c r="E235" s="54"/>
      <c r="F235" s="54"/>
      <c r="G235" s="54"/>
    </row>
    <row r="236" spans="1:7" ht="32.4">
      <c r="A236" s="54"/>
      <c r="B236" s="54"/>
      <c r="C236" s="54"/>
      <c r="D236" s="54"/>
      <c r="E236" s="54"/>
      <c r="F236" s="54"/>
      <c r="G236" s="54"/>
    </row>
    <row r="237" spans="1:7" ht="32.4">
      <c r="A237" s="54"/>
      <c r="B237" s="54"/>
      <c r="C237" s="54"/>
      <c r="D237" s="54"/>
      <c r="E237" s="54"/>
      <c r="F237" s="54"/>
      <c r="G237" s="54"/>
    </row>
    <row r="238" spans="1:7" ht="32.4">
      <c r="A238" s="54"/>
      <c r="B238" s="54"/>
      <c r="C238" s="54"/>
      <c r="D238" s="54"/>
      <c r="E238" s="54"/>
      <c r="F238" s="54"/>
      <c r="G238" s="54"/>
    </row>
    <row r="239" spans="1:7" ht="32.4">
      <c r="A239" s="54"/>
      <c r="B239" s="54"/>
      <c r="C239" s="54"/>
      <c r="D239" s="54"/>
      <c r="E239" s="54"/>
      <c r="F239" s="54"/>
      <c r="G239" s="54"/>
    </row>
    <row r="240" spans="1:7" ht="32.4">
      <c r="A240" s="54"/>
      <c r="B240" s="54"/>
      <c r="C240" s="54"/>
      <c r="D240" s="54"/>
      <c r="E240" s="54"/>
      <c r="F240" s="54"/>
      <c r="G240" s="54"/>
    </row>
    <row r="241" spans="1:7" ht="32.4">
      <c r="A241" s="54"/>
      <c r="B241" s="54"/>
      <c r="C241" s="54"/>
      <c r="D241" s="54"/>
      <c r="E241" s="54"/>
      <c r="F241" s="54"/>
      <c r="G241" s="54"/>
    </row>
    <row r="242" spans="1:7" ht="32.4">
      <c r="A242" s="54"/>
      <c r="B242" s="54"/>
      <c r="C242" s="54"/>
      <c r="D242" s="54"/>
      <c r="E242" s="54"/>
      <c r="F242" s="54"/>
      <c r="G242" s="54"/>
    </row>
    <row r="243" spans="1:7" ht="32.4">
      <c r="A243" s="54"/>
      <c r="B243" s="54"/>
      <c r="C243" s="54"/>
      <c r="D243" s="54"/>
      <c r="E243" s="54"/>
      <c r="F243" s="54"/>
      <c r="G243" s="54"/>
    </row>
    <row r="244" spans="1:7" ht="32.4">
      <c r="A244" s="54"/>
      <c r="B244" s="54"/>
      <c r="C244" s="54"/>
      <c r="D244" s="54"/>
      <c r="E244" s="54"/>
      <c r="F244" s="54"/>
      <c r="G244" s="54"/>
    </row>
    <row r="245" spans="1:7" ht="32.4">
      <c r="A245" s="54"/>
      <c r="B245" s="54"/>
      <c r="C245" s="54"/>
      <c r="D245" s="54"/>
      <c r="E245" s="54"/>
      <c r="F245" s="54"/>
      <c r="G245" s="54"/>
    </row>
    <row r="246" spans="1:7" ht="32.4">
      <c r="A246" s="54"/>
      <c r="B246" s="54"/>
      <c r="C246" s="54"/>
      <c r="D246" s="54"/>
      <c r="E246" s="54"/>
      <c r="F246" s="54"/>
      <c r="G246" s="54"/>
    </row>
    <row r="247" spans="1:7" ht="32.4">
      <c r="A247" s="54"/>
      <c r="B247" s="54"/>
      <c r="C247" s="54"/>
      <c r="D247" s="54"/>
      <c r="E247" s="54"/>
      <c r="F247" s="54"/>
      <c r="G247" s="54"/>
    </row>
    <row r="248" spans="1:7" ht="32.4">
      <c r="A248" s="54"/>
      <c r="B248" s="54"/>
      <c r="C248" s="54"/>
      <c r="D248" s="54"/>
      <c r="E248" s="54"/>
      <c r="F248" s="54"/>
      <c r="G248" s="54"/>
    </row>
    <row r="249" spans="1:7" ht="32.4">
      <c r="A249" s="54"/>
      <c r="B249" s="54"/>
      <c r="C249" s="54"/>
      <c r="D249" s="54"/>
      <c r="E249" s="54"/>
      <c r="F249" s="54"/>
      <c r="G249" s="54"/>
    </row>
    <row r="250" spans="1:7" ht="32.4">
      <c r="A250" s="54"/>
      <c r="B250" s="54"/>
      <c r="C250" s="54"/>
      <c r="D250" s="54"/>
      <c r="E250" s="54"/>
      <c r="F250" s="54"/>
      <c r="G250" s="54"/>
    </row>
    <row r="251" spans="1:7" ht="32.4">
      <c r="A251" s="54"/>
      <c r="B251" s="54"/>
      <c r="C251" s="54"/>
      <c r="D251" s="54"/>
      <c r="E251" s="54"/>
      <c r="F251" s="54"/>
      <c r="G251" s="54"/>
    </row>
    <row r="252" spans="1:7" ht="32.4">
      <c r="A252" s="54"/>
      <c r="B252" s="54"/>
      <c r="C252" s="54"/>
      <c r="D252" s="54"/>
      <c r="E252" s="54"/>
      <c r="F252" s="54"/>
      <c r="G252" s="54"/>
    </row>
    <row r="253" spans="1:7" ht="32.4">
      <c r="A253" s="54"/>
      <c r="B253" s="54"/>
      <c r="C253" s="54"/>
      <c r="D253" s="54"/>
      <c r="E253" s="54"/>
      <c r="F253" s="54"/>
      <c r="G253" s="54"/>
    </row>
    <row r="254" spans="1:7" ht="32.4">
      <c r="A254" s="54"/>
      <c r="B254" s="54"/>
      <c r="C254" s="54"/>
      <c r="D254" s="54"/>
      <c r="E254" s="54"/>
      <c r="F254" s="54"/>
      <c r="G254" s="54"/>
    </row>
    <row r="255" spans="1:7" ht="32.4">
      <c r="A255" s="54"/>
      <c r="B255" s="54"/>
      <c r="C255" s="54"/>
      <c r="D255" s="54"/>
      <c r="E255" s="54"/>
      <c r="F255" s="54"/>
      <c r="G255" s="54"/>
    </row>
    <row r="256" spans="1:7" ht="32.4">
      <c r="A256" s="54"/>
      <c r="B256" s="54"/>
      <c r="C256" s="54"/>
      <c r="D256" s="54"/>
      <c r="E256" s="54"/>
      <c r="F256" s="54"/>
      <c r="G256" s="54"/>
    </row>
    <row r="257" spans="1:7" ht="32.4">
      <c r="A257" s="54"/>
      <c r="B257" s="54"/>
      <c r="C257" s="54"/>
      <c r="D257" s="54"/>
      <c r="E257" s="54"/>
      <c r="F257" s="54"/>
      <c r="G257" s="54"/>
    </row>
    <row r="258" spans="1:7" ht="32.4">
      <c r="A258" s="54"/>
      <c r="B258" s="54"/>
      <c r="C258" s="54"/>
      <c r="D258" s="54"/>
      <c r="E258" s="54"/>
      <c r="F258" s="54"/>
      <c r="G258" s="54"/>
    </row>
    <row r="259" spans="1:7" ht="32.4">
      <c r="A259" s="54"/>
      <c r="B259" s="54"/>
      <c r="C259" s="54"/>
      <c r="D259" s="54"/>
      <c r="E259" s="54"/>
      <c r="F259" s="54"/>
      <c r="G259" s="54"/>
    </row>
    <row r="260" spans="1:7" ht="32.4">
      <c r="A260" s="54"/>
      <c r="B260" s="54"/>
      <c r="C260" s="54"/>
      <c r="D260" s="54"/>
      <c r="E260" s="54"/>
      <c r="F260" s="54"/>
      <c r="G260" s="54"/>
    </row>
    <row r="261" spans="1:7" ht="32.4">
      <c r="A261" s="54"/>
      <c r="B261" s="54"/>
      <c r="C261" s="54"/>
      <c r="D261" s="54"/>
      <c r="E261" s="54"/>
      <c r="F261" s="54"/>
      <c r="G261" s="54"/>
    </row>
    <row r="262" spans="1:7" ht="32.4">
      <c r="A262" s="54"/>
      <c r="B262" s="54"/>
      <c r="C262" s="54"/>
      <c r="D262" s="54"/>
      <c r="E262" s="54"/>
      <c r="F262" s="54"/>
      <c r="G262" s="54"/>
    </row>
    <row r="263" spans="1:7" ht="32.4">
      <c r="A263" s="54"/>
      <c r="B263" s="54"/>
      <c r="C263" s="54"/>
      <c r="D263" s="54"/>
      <c r="E263" s="54"/>
      <c r="F263" s="54"/>
      <c r="G263" s="54"/>
    </row>
    <row r="264" spans="1:7" ht="32.4">
      <c r="A264" s="54"/>
      <c r="B264" s="54"/>
      <c r="C264" s="54"/>
      <c r="D264" s="54"/>
      <c r="E264" s="54"/>
      <c r="F264" s="54"/>
      <c r="G264" s="54"/>
    </row>
    <row r="265" spans="1:7" ht="32.4">
      <c r="A265" s="54"/>
      <c r="B265" s="54"/>
      <c r="C265" s="54"/>
      <c r="D265" s="54"/>
      <c r="E265" s="54"/>
      <c r="F265" s="54"/>
      <c r="G265" s="54"/>
    </row>
    <row r="266" spans="1:7" ht="32.4">
      <c r="A266" s="54"/>
      <c r="B266" s="54"/>
      <c r="C266" s="54"/>
      <c r="D266" s="54"/>
      <c r="E266" s="54"/>
      <c r="F266" s="54"/>
      <c r="G266" s="54"/>
    </row>
    <row r="267" spans="1:7" ht="32.4">
      <c r="A267" s="54"/>
      <c r="B267" s="54"/>
      <c r="C267" s="54"/>
      <c r="D267" s="54"/>
      <c r="E267" s="54"/>
      <c r="F267" s="54"/>
      <c r="G267" s="54"/>
    </row>
    <row r="268" spans="1:7" ht="32.4">
      <c r="A268" s="54"/>
      <c r="B268" s="54"/>
      <c r="C268" s="54"/>
      <c r="D268" s="54"/>
      <c r="E268" s="54"/>
      <c r="F268" s="54"/>
      <c r="G268" s="54"/>
    </row>
    <row r="269" spans="1:7" ht="32.4">
      <c r="A269" s="54"/>
      <c r="B269" s="54"/>
      <c r="C269" s="54"/>
      <c r="D269" s="54"/>
      <c r="E269" s="54"/>
      <c r="F269" s="54"/>
      <c r="G269" s="54"/>
    </row>
    <row r="270" spans="1:7" ht="32.4">
      <c r="A270" s="54"/>
      <c r="B270" s="54"/>
      <c r="C270" s="54"/>
      <c r="D270" s="54"/>
      <c r="E270" s="54"/>
      <c r="F270" s="54"/>
      <c r="G270" s="54"/>
    </row>
    <row r="271" spans="1:7" ht="32.4">
      <c r="A271" s="54"/>
      <c r="B271" s="54"/>
      <c r="C271" s="54"/>
      <c r="D271" s="54"/>
      <c r="E271" s="54"/>
      <c r="F271" s="54"/>
      <c r="G271" s="54"/>
    </row>
    <row r="272" spans="1:7" ht="32.4">
      <c r="A272" s="54"/>
      <c r="B272" s="54"/>
      <c r="C272" s="54"/>
      <c r="D272" s="54"/>
      <c r="E272" s="54"/>
      <c r="F272" s="54"/>
      <c r="G272" s="54"/>
    </row>
    <row r="273" spans="1:7" ht="32.4">
      <c r="A273" s="54"/>
      <c r="B273" s="54"/>
      <c r="C273" s="54"/>
      <c r="D273" s="54"/>
      <c r="E273" s="54"/>
      <c r="F273" s="54"/>
      <c r="G273" s="54"/>
    </row>
    <row r="274" spans="1:7" ht="32.4">
      <c r="A274" s="54"/>
      <c r="B274" s="54"/>
      <c r="C274" s="54"/>
      <c r="D274" s="54"/>
      <c r="E274" s="54"/>
      <c r="F274" s="54"/>
      <c r="G274" s="54"/>
    </row>
    <row r="275" spans="1:7" ht="32.4">
      <c r="A275" s="54"/>
      <c r="B275" s="54"/>
      <c r="C275" s="54"/>
      <c r="D275" s="54"/>
      <c r="E275" s="54"/>
      <c r="F275" s="54"/>
      <c r="G275" s="54"/>
    </row>
    <row r="276" spans="1:7" ht="32.4">
      <c r="A276" s="54"/>
      <c r="B276" s="54"/>
      <c r="C276" s="54"/>
      <c r="D276" s="54"/>
      <c r="E276" s="54"/>
      <c r="F276" s="54"/>
      <c r="G276" s="54"/>
    </row>
    <row r="277" spans="1:7" ht="32.4">
      <c r="A277" s="54"/>
      <c r="B277" s="54"/>
      <c r="C277" s="54"/>
      <c r="D277" s="54"/>
      <c r="E277" s="54"/>
      <c r="F277" s="54"/>
      <c r="G277" s="54"/>
    </row>
    <row r="278" spans="1:7" ht="32.4">
      <c r="A278" s="54"/>
      <c r="B278" s="54"/>
      <c r="C278" s="54"/>
      <c r="D278" s="54"/>
      <c r="E278" s="54"/>
      <c r="F278" s="54"/>
      <c r="G278" s="54"/>
    </row>
    <row r="279" spans="1:7" ht="32.4">
      <c r="A279" s="54"/>
      <c r="B279" s="54"/>
      <c r="C279" s="54"/>
      <c r="D279" s="54"/>
      <c r="E279" s="54"/>
      <c r="F279" s="54"/>
      <c r="G279" s="54"/>
    </row>
    <row r="280" spans="1:7" ht="32.4">
      <c r="A280" s="54"/>
      <c r="B280" s="54"/>
      <c r="C280" s="54"/>
      <c r="D280" s="54"/>
      <c r="E280" s="54"/>
      <c r="F280" s="54"/>
      <c r="G280" s="54"/>
    </row>
    <row r="281" spans="1:7" ht="32.4">
      <c r="A281" s="54"/>
      <c r="B281" s="54"/>
      <c r="C281" s="54"/>
      <c r="D281" s="54"/>
      <c r="E281" s="54"/>
      <c r="F281" s="54"/>
      <c r="G281" s="54"/>
    </row>
    <row r="282" spans="1:7" ht="32.4">
      <c r="A282" s="54"/>
      <c r="B282" s="54"/>
      <c r="C282" s="54"/>
      <c r="D282" s="54"/>
      <c r="E282" s="54"/>
      <c r="F282" s="54"/>
      <c r="G282" s="54"/>
    </row>
    <row r="283" spans="1:7" ht="32.4">
      <c r="A283" s="54"/>
      <c r="B283" s="54"/>
      <c r="C283" s="54"/>
      <c r="D283" s="54"/>
      <c r="E283" s="54"/>
      <c r="F283" s="54"/>
      <c r="G283" s="54"/>
    </row>
    <row r="284" spans="1:7" ht="32.4">
      <c r="A284" s="54"/>
      <c r="B284" s="54"/>
      <c r="C284" s="54"/>
      <c r="D284" s="54"/>
      <c r="E284" s="54"/>
      <c r="F284" s="54"/>
      <c r="G284" s="54"/>
    </row>
    <row r="285" spans="1:7" ht="32.4">
      <c r="A285" s="54"/>
      <c r="B285" s="54"/>
      <c r="C285" s="54"/>
      <c r="D285" s="54"/>
      <c r="E285" s="54"/>
      <c r="F285" s="54"/>
      <c r="G285" s="54"/>
    </row>
    <row r="286" spans="1:7" ht="32.4">
      <c r="A286" s="54"/>
      <c r="B286" s="54"/>
      <c r="C286" s="54"/>
      <c r="D286" s="54"/>
      <c r="E286" s="54"/>
      <c r="F286" s="54"/>
      <c r="G286" s="54"/>
    </row>
    <row r="287" spans="1:7" ht="32.4">
      <c r="A287" s="54"/>
      <c r="B287" s="54"/>
      <c r="C287" s="54"/>
      <c r="D287" s="54"/>
      <c r="E287" s="54"/>
      <c r="F287" s="54"/>
      <c r="G287" s="54"/>
    </row>
    <row r="288" spans="1:7" ht="32.4">
      <c r="A288" s="54"/>
      <c r="B288" s="54"/>
      <c r="C288" s="54"/>
      <c r="D288" s="54"/>
      <c r="E288" s="54"/>
      <c r="F288" s="54"/>
      <c r="G288" s="54"/>
    </row>
    <row r="289" spans="1:7" ht="32.4">
      <c r="A289" s="54"/>
      <c r="B289" s="54"/>
      <c r="C289" s="54"/>
      <c r="D289" s="54"/>
      <c r="E289" s="54"/>
      <c r="F289" s="54"/>
      <c r="G289" s="54"/>
    </row>
    <row r="290" spans="1:7" ht="32.4">
      <c r="A290" s="54"/>
      <c r="B290" s="54"/>
      <c r="C290" s="54"/>
      <c r="D290" s="54"/>
      <c r="E290" s="54"/>
      <c r="F290" s="54"/>
      <c r="G290" s="54"/>
    </row>
    <row r="291" spans="1:7" ht="32.4">
      <c r="A291" s="54"/>
      <c r="B291" s="54"/>
      <c r="C291" s="54"/>
      <c r="D291" s="54"/>
      <c r="E291" s="54"/>
      <c r="F291" s="54"/>
      <c r="G291" s="54"/>
    </row>
    <row r="292" spans="1:7" ht="32.4">
      <c r="A292" s="54"/>
      <c r="B292" s="54"/>
      <c r="C292" s="54"/>
      <c r="D292" s="54"/>
      <c r="E292" s="54"/>
      <c r="F292" s="54"/>
      <c r="G292" s="54"/>
    </row>
    <row r="293" spans="1:7" ht="32.4">
      <c r="A293" s="54"/>
      <c r="B293" s="54"/>
      <c r="C293" s="54"/>
      <c r="D293" s="54"/>
      <c r="E293" s="54"/>
      <c r="F293" s="54"/>
      <c r="G293" s="54"/>
    </row>
    <row r="294" spans="1:7" ht="32.4">
      <c r="A294" s="54"/>
      <c r="B294" s="54"/>
      <c r="C294" s="54"/>
      <c r="D294" s="54"/>
      <c r="E294" s="54"/>
      <c r="F294" s="54"/>
      <c r="G294" s="54"/>
    </row>
    <row r="295" spans="1:7" ht="32.4">
      <c r="A295" s="54"/>
      <c r="B295" s="54"/>
      <c r="C295" s="54"/>
      <c r="D295" s="54"/>
      <c r="E295" s="54"/>
      <c r="F295" s="54"/>
      <c r="G295" s="54"/>
    </row>
    <row r="296" spans="1:7" ht="32.4">
      <c r="A296" s="54"/>
      <c r="B296" s="54"/>
      <c r="C296" s="54"/>
      <c r="D296" s="54"/>
      <c r="E296" s="54"/>
      <c r="F296" s="54"/>
      <c r="G296" s="54"/>
    </row>
    <row r="297" spans="1:7" ht="32.4">
      <c r="A297" s="54"/>
      <c r="B297" s="54"/>
      <c r="C297" s="54"/>
      <c r="D297" s="54"/>
      <c r="E297" s="54"/>
      <c r="F297" s="54"/>
      <c r="G297" s="54"/>
    </row>
    <row r="298" spans="1:7" ht="32.4">
      <c r="A298" s="54"/>
      <c r="B298" s="54"/>
      <c r="C298" s="54"/>
      <c r="D298" s="54"/>
      <c r="E298" s="54"/>
      <c r="F298" s="54"/>
      <c r="G298" s="54"/>
    </row>
    <row r="299" spans="1:7" ht="32.4">
      <c r="A299" s="54"/>
      <c r="B299" s="54"/>
      <c r="C299" s="54"/>
      <c r="D299" s="54"/>
      <c r="E299" s="54"/>
      <c r="F299" s="54"/>
      <c r="G299" s="54"/>
    </row>
    <row r="300" spans="1:7" ht="32.4">
      <c r="A300" s="54"/>
      <c r="B300" s="54"/>
      <c r="C300" s="54"/>
      <c r="D300" s="54"/>
      <c r="E300" s="54"/>
      <c r="F300" s="54"/>
      <c r="G300" s="54"/>
    </row>
    <row r="301" spans="1:7" ht="32.4">
      <c r="A301" s="54"/>
      <c r="B301" s="54"/>
      <c r="C301" s="54"/>
      <c r="D301" s="54"/>
      <c r="E301" s="54"/>
      <c r="F301" s="54"/>
      <c r="G301" s="54"/>
    </row>
    <row r="302" spans="1:7" ht="32.4">
      <c r="A302" s="54"/>
      <c r="B302" s="54"/>
      <c r="C302" s="54"/>
      <c r="D302" s="54"/>
      <c r="E302" s="54"/>
      <c r="F302" s="54"/>
      <c r="G302" s="54"/>
    </row>
    <row r="303" spans="1:7" ht="32.4">
      <c r="A303" s="54"/>
      <c r="B303" s="54"/>
      <c r="C303" s="54"/>
      <c r="D303" s="54"/>
      <c r="E303" s="54"/>
      <c r="F303" s="54"/>
      <c r="G303" s="54"/>
    </row>
    <row r="304" spans="1:7" ht="32.4">
      <c r="A304" s="54"/>
      <c r="B304" s="54"/>
      <c r="C304" s="54"/>
      <c r="D304" s="54"/>
      <c r="E304" s="54"/>
      <c r="F304" s="54"/>
      <c r="G304" s="54"/>
    </row>
    <row r="305" spans="1:7" ht="32.4">
      <c r="A305" s="54"/>
      <c r="B305" s="54"/>
      <c r="C305" s="54"/>
      <c r="D305" s="54"/>
      <c r="E305" s="54"/>
      <c r="F305" s="54"/>
      <c r="G305" s="54"/>
    </row>
    <row r="306" spans="1:7" ht="32.4">
      <c r="A306" s="54"/>
      <c r="B306" s="54"/>
      <c r="C306" s="54"/>
      <c r="D306" s="54"/>
      <c r="E306" s="54"/>
      <c r="F306" s="54"/>
      <c r="G306" s="54"/>
    </row>
    <row r="307" spans="1:7" ht="32.4">
      <c r="A307" s="54"/>
      <c r="B307" s="54"/>
      <c r="C307" s="54"/>
      <c r="D307" s="54"/>
      <c r="E307" s="54"/>
      <c r="F307" s="54"/>
      <c r="G307" s="54"/>
    </row>
    <row r="308" spans="1:7" ht="32.4">
      <c r="A308" s="54"/>
      <c r="B308" s="54"/>
      <c r="C308" s="54"/>
      <c r="D308" s="54"/>
      <c r="E308" s="54"/>
      <c r="F308" s="54"/>
      <c r="G308" s="54"/>
    </row>
    <row r="309" spans="1:7" ht="32.4">
      <c r="A309" s="54"/>
      <c r="B309" s="54"/>
      <c r="C309" s="54"/>
      <c r="D309" s="54"/>
      <c r="E309" s="54"/>
      <c r="F309" s="54"/>
      <c r="G309" s="54"/>
    </row>
    <row r="310" spans="1:7" ht="32.4">
      <c r="A310" s="54"/>
      <c r="B310" s="54"/>
      <c r="C310" s="54"/>
      <c r="D310" s="54"/>
      <c r="E310" s="54"/>
      <c r="F310" s="54"/>
      <c r="G310" s="54"/>
    </row>
    <row r="311" spans="1:7" ht="32.4">
      <c r="A311" s="54"/>
      <c r="B311" s="54"/>
      <c r="C311" s="54"/>
      <c r="D311" s="54"/>
      <c r="E311" s="54"/>
      <c r="F311" s="54"/>
      <c r="G311" s="54"/>
    </row>
    <row r="312" spans="1:7" ht="32.4">
      <c r="A312" s="54"/>
      <c r="B312" s="54"/>
      <c r="C312" s="54"/>
      <c r="D312" s="54"/>
      <c r="E312" s="54"/>
      <c r="F312" s="54"/>
      <c r="G312" s="54"/>
    </row>
    <row r="313" spans="1:7" ht="32.4">
      <c r="A313" s="54"/>
      <c r="B313" s="54"/>
      <c r="C313" s="54"/>
      <c r="D313" s="54"/>
      <c r="E313" s="54"/>
      <c r="F313" s="54"/>
      <c r="G313" s="54"/>
    </row>
    <row r="314" spans="1:7" ht="32.4">
      <c r="A314" s="54"/>
      <c r="B314" s="54"/>
      <c r="C314" s="54"/>
      <c r="D314" s="54"/>
      <c r="E314" s="54"/>
      <c r="F314" s="54"/>
      <c r="G314" s="54"/>
    </row>
    <row r="315" spans="1:7" ht="32.4">
      <c r="A315" s="54"/>
      <c r="B315" s="54"/>
      <c r="C315" s="54"/>
      <c r="D315" s="54"/>
      <c r="E315" s="54"/>
      <c r="F315" s="54"/>
      <c r="G315" s="54"/>
    </row>
    <row r="316" spans="1:7" ht="32.4">
      <c r="A316" s="54"/>
      <c r="B316" s="54"/>
      <c r="C316" s="54"/>
      <c r="D316" s="54"/>
      <c r="E316" s="54"/>
      <c r="F316" s="54"/>
      <c r="G316" s="54"/>
    </row>
    <row r="317" spans="1:7" ht="32.4">
      <c r="A317" s="54"/>
      <c r="B317" s="54"/>
      <c r="C317" s="54"/>
      <c r="D317" s="54"/>
      <c r="E317" s="54"/>
      <c r="F317" s="54"/>
      <c r="G317" s="54"/>
    </row>
    <row r="318" spans="1:7" ht="32.4">
      <c r="A318" s="54"/>
      <c r="B318" s="54"/>
      <c r="C318" s="54"/>
      <c r="D318" s="54"/>
      <c r="E318" s="54"/>
      <c r="F318" s="54"/>
      <c r="G318" s="54"/>
    </row>
    <row r="319" spans="1:7" ht="32.4">
      <c r="A319" s="54"/>
      <c r="B319" s="54"/>
      <c r="C319" s="54"/>
      <c r="D319" s="54"/>
      <c r="E319" s="54"/>
      <c r="F319" s="54"/>
      <c r="G319" s="54"/>
    </row>
    <row r="320" spans="1:7" ht="32.4">
      <c r="A320" s="54"/>
      <c r="B320" s="54"/>
      <c r="C320" s="54"/>
      <c r="D320" s="54"/>
      <c r="E320" s="54"/>
      <c r="F320" s="54"/>
      <c r="G320" s="54"/>
    </row>
    <row r="321" spans="1:7" ht="32.4">
      <c r="A321" s="54"/>
      <c r="B321" s="54"/>
      <c r="C321" s="54"/>
      <c r="D321" s="54"/>
      <c r="E321" s="54"/>
      <c r="F321" s="54"/>
      <c r="G321" s="54"/>
    </row>
    <row r="322" spans="1:7" ht="32.4">
      <c r="A322" s="54"/>
      <c r="B322" s="54"/>
      <c r="C322" s="54"/>
      <c r="D322" s="54"/>
      <c r="E322" s="54"/>
      <c r="F322" s="54"/>
      <c r="G322" s="54"/>
    </row>
    <row r="323" spans="1:7" ht="32.4">
      <c r="A323" s="54"/>
      <c r="B323" s="54"/>
      <c r="C323" s="54"/>
      <c r="D323" s="54"/>
      <c r="E323" s="54"/>
      <c r="F323" s="54"/>
      <c r="G323" s="54"/>
    </row>
    <row r="324" spans="1:7" ht="32.4">
      <c r="A324" s="54"/>
      <c r="B324" s="54"/>
      <c r="C324" s="54"/>
      <c r="D324" s="54"/>
      <c r="E324" s="54"/>
      <c r="F324" s="54"/>
      <c r="G324" s="54"/>
    </row>
    <row r="325" spans="1:7" ht="32.4">
      <c r="A325" s="54"/>
      <c r="B325" s="54"/>
      <c r="C325" s="54"/>
      <c r="D325" s="54"/>
      <c r="E325" s="54"/>
      <c r="F325" s="54"/>
      <c r="G325" s="54"/>
    </row>
    <row r="326" spans="1:7" ht="32.4">
      <c r="A326" s="54"/>
      <c r="B326" s="54"/>
      <c r="C326" s="54"/>
      <c r="D326" s="54"/>
      <c r="E326" s="54"/>
      <c r="F326" s="54"/>
      <c r="G326" s="54"/>
    </row>
    <row r="327" spans="1:7" ht="32.4">
      <c r="A327" s="54"/>
      <c r="B327" s="54"/>
      <c r="C327" s="54"/>
      <c r="D327" s="54"/>
      <c r="E327" s="54"/>
      <c r="F327" s="54"/>
      <c r="G327" s="54"/>
    </row>
    <row r="328" spans="1:7" ht="32.4">
      <c r="A328" s="54"/>
      <c r="B328" s="54"/>
      <c r="C328" s="54"/>
      <c r="D328" s="54"/>
      <c r="E328" s="54"/>
      <c r="F328" s="54"/>
      <c r="G328" s="54"/>
    </row>
    <row r="329" spans="1:7" ht="32.4">
      <c r="A329" s="54"/>
      <c r="B329" s="54"/>
      <c r="C329" s="54"/>
      <c r="D329" s="54"/>
      <c r="E329" s="54"/>
      <c r="F329" s="54"/>
      <c r="G329" s="54"/>
    </row>
    <row r="330" spans="1:7" ht="32.4">
      <c r="A330" s="54"/>
      <c r="B330" s="54"/>
      <c r="C330" s="54"/>
      <c r="D330" s="54"/>
      <c r="E330" s="54"/>
      <c r="F330" s="54"/>
      <c r="G330" s="54"/>
    </row>
    <row r="331" spans="1:7" ht="32.4">
      <c r="A331" s="54"/>
      <c r="B331" s="54"/>
      <c r="C331" s="54"/>
      <c r="D331" s="54"/>
      <c r="E331" s="54"/>
      <c r="F331" s="54"/>
      <c r="G331" s="54"/>
    </row>
    <row r="332" spans="1:7" ht="32.4">
      <c r="A332" s="54"/>
      <c r="B332" s="54"/>
      <c r="C332" s="54"/>
      <c r="D332" s="54"/>
      <c r="E332" s="54"/>
      <c r="F332" s="54"/>
      <c r="G332" s="54"/>
    </row>
    <row r="333" spans="1:7" ht="32.4">
      <c r="A333" s="54"/>
      <c r="B333" s="54"/>
      <c r="C333" s="54"/>
      <c r="D333" s="54"/>
      <c r="E333" s="54"/>
      <c r="F333" s="54"/>
      <c r="G333" s="54"/>
    </row>
    <row r="334" spans="1:7" ht="32.4">
      <c r="A334" s="54"/>
      <c r="B334" s="54"/>
      <c r="C334" s="54"/>
      <c r="D334" s="54"/>
      <c r="E334" s="54"/>
      <c r="F334" s="54"/>
      <c r="G334" s="54"/>
    </row>
    <row r="335" spans="1:7" ht="32.4">
      <c r="A335" s="54"/>
      <c r="B335" s="54"/>
      <c r="C335" s="54"/>
      <c r="D335" s="54"/>
      <c r="E335" s="54"/>
      <c r="F335" s="54"/>
      <c r="G335" s="54"/>
    </row>
    <row r="336" spans="1:7" ht="32.4">
      <c r="A336" s="54"/>
      <c r="B336" s="54"/>
      <c r="C336" s="54"/>
      <c r="D336" s="54"/>
      <c r="E336" s="54"/>
      <c r="F336" s="54"/>
      <c r="G336" s="54"/>
    </row>
    <row r="337" spans="1:7" ht="32.4">
      <c r="A337" s="54"/>
      <c r="B337" s="54"/>
      <c r="C337" s="54"/>
      <c r="D337" s="54"/>
      <c r="E337" s="54"/>
      <c r="F337" s="54"/>
      <c r="G337" s="54"/>
    </row>
    <row r="338" spans="1:7" ht="32.4">
      <c r="A338" s="54"/>
      <c r="B338" s="54"/>
      <c r="C338" s="54"/>
      <c r="D338" s="54"/>
      <c r="E338" s="54"/>
      <c r="F338" s="54"/>
      <c r="G338" s="54"/>
    </row>
    <row r="339" spans="1:7" ht="32.4">
      <c r="A339" s="54"/>
      <c r="B339" s="54"/>
      <c r="C339" s="54"/>
      <c r="D339" s="54"/>
      <c r="E339" s="54"/>
      <c r="F339" s="54"/>
      <c r="G339" s="54"/>
    </row>
    <row r="340" spans="1:7" ht="32.4">
      <c r="A340" s="54"/>
      <c r="B340" s="54"/>
      <c r="C340" s="54"/>
      <c r="D340" s="54"/>
      <c r="E340" s="54"/>
      <c r="F340" s="54"/>
      <c r="G340" s="54"/>
    </row>
    <row r="341" spans="1:7" ht="32.4">
      <c r="A341" s="54"/>
      <c r="B341" s="54"/>
      <c r="C341" s="54"/>
      <c r="D341" s="54"/>
      <c r="E341" s="54"/>
      <c r="F341" s="54"/>
      <c r="G341" s="54"/>
    </row>
    <row r="342" spans="1:7" ht="32.4">
      <c r="A342" s="54"/>
      <c r="B342" s="54"/>
      <c r="C342" s="54"/>
      <c r="D342" s="54"/>
      <c r="E342" s="54"/>
      <c r="F342" s="54"/>
      <c r="G342" s="54"/>
    </row>
    <row r="343" spans="1:7" ht="32.4">
      <c r="A343" s="54"/>
      <c r="B343" s="54"/>
      <c r="C343" s="54"/>
      <c r="D343" s="54"/>
      <c r="E343" s="54"/>
      <c r="F343" s="54"/>
      <c r="G343" s="54"/>
    </row>
    <row r="344" spans="1:7" ht="32.4">
      <c r="A344" s="54"/>
      <c r="B344" s="54"/>
      <c r="C344" s="54"/>
      <c r="D344" s="54"/>
      <c r="E344" s="54"/>
      <c r="F344" s="54"/>
      <c r="G344" s="54"/>
    </row>
    <row r="345" spans="1:7" ht="32.4">
      <c r="A345" s="54"/>
      <c r="B345" s="54"/>
      <c r="C345" s="54"/>
      <c r="D345" s="54"/>
      <c r="E345" s="54"/>
      <c r="F345" s="54"/>
      <c r="G345" s="54"/>
    </row>
    <row r="346" spans="1:7" ht="32.4">
      <c r="A346" s="54"/>
      <c r="B346" s="54"/>
      <c r="C346" s="54"/>
      <c r="D346" s="54"/>
      <c r="E346" s="54"/>
      <c r="F346" s="54"/>
      <c r="G346" s="54"/>
    </row>
    <row r="347" spans="1:7" ht="32.4">
      <c r="A347" s="54"/>
      <c r="B347" s="54"/>
      <c r="C347" s="54"/>
      <c r="D347" s="54"/>
      <c r="E347" s="54"/>
      <c r="F347" s="54"/>
      <c r="G347" s="54"/>
    </row>
    <row r="348" spans="1:7" ht="32.4">
      <c r="A348" s="54"/>
      <c r="B348" s="54"/>
      <c r="C348" s="54"/>
      <c r="D348" s="54"/>
      <c r="E348" s="54"/>
      <c r="F348" s="54"/>
      <c r="G348" s="54"/>
    </row>
    <row r="349" spans="1:7" ht="32.4">
      <c r="A349" s="54"/>
      <c r="B349" s="54"/>
      <c r="C349" s="54"/>
      <c r="D349" s="54"/>
      <c r="E349" s="54"/>
      <c r="F349" s="54"/>
      <c r="G349" s="54"/>
    </row>
    <row r="350" spans="1:7" ht="32.4">
      <c r="A350" s="54"/>
      <c r="B350" s="54"/>
      <c r="C350" s="54"/>
      <c r="D350" s="54"/>
      <c r="E350" s="54"/>
      <c r="F350" s="54"/>
      <c r="G350" s="54"/>
    </row>
    <row r="351" spans="1:7" ht="32.4">
      <c r="A351" s="54"/>
      <c r="B351" s="54"/>
      <c r="C351" s="54"/>
      <c r="D351" s="54"/>
      <c r="E351" s="54"/>
      <c r="F351" s="54"/>
      <c r="G351" s="54"/>
    </row>
    <row r="352" spans="1:7" ht="32.4">
      <c r="A352" s="54"/>
      <c r="B352" s="54"/>
      <c r="C352" s="54"/>
      <c r="D352" s="54"/>
      <c r="E352" s="54"/>
      <c r="F352" s="54"/>
      <c r="G352" s="54"/>
    </row>
    <row r="353" spans="1:7" ht="32.4">
      <c r="A353" s="54"/>
      <c r="B353" s="54"/>
      <c r="C353" s="54"/>
      <c r="D353" s="54"/>
      <c r="E353" s="54"/>
      <c r="F353" s="54"/>
      <c r="G353" s="54"/>
    </row>
    <row r="354" spans="1:7" ht="32.4">
      <c r="A354" s="54"/>
      <c r="B354" s="54"/>
      <c r="C354" s="54"/>
      <c r="D354" s="54"/>
      <c r="E354" s="54"/>
      <c r="F354" s="54"/>
      <c r="G354" s="54"/>
    </row>
    <row r="355" spans="1:7" ht="32.4">
      <c r="A355" s="54"/>
      <c r="B355" s="54"/>
      <c r="C355" s="54"/>
      <c r="D355" s="54"/>
      <c r="E355" s="54"/>
      <c r="F355" s="54"/>
      <c r="G355" s="54"/>
    </row>
    <row r="356" spans="1:7" ht="32.4">
      <c r="A356" s="54"/>
      <c r="B356" s="54"/>
      <c r="C356" s="54"/>
      <c r="D356" s="54"/>
      <c r="E356" s="54"/>
      <c r="F356" s="54"/>
      <c r="G356" s="54"/>
    </row>
    <row r="357" spans="1:7" ht="32.4">
      <c r="A357" s="54"/>
      <c r="B357" s="54"/>
      <c r="C357" s="54"/>
      <c r="D357" s="54"/>
      <c r="E357" s="54"/>
      <c r="F357" s="54"/>
      <c r="G357" s="54"/>
    </row>
    <row r="358" spans="1:7" ht="32.4">
      <c r="A358" s="54"/>
      <c r="B358" s="54"/>
      <c r="C358" s="54"/>
      <c r="D358" s="54"/>
      <c r="E358" s="54"/>
      <c r="F358" s="54"/>
      <c r="G358" s="54"/>
    </row>
    <row r="359" spans="1:7" ht="32.4">
      <c r="A359" s="54"/>
      <c r="B359" s="54"/>
      <c r="C359" s="54"/>
      <c r="D359" s="54"/>
      <c r="E359" s="54"/>
      <c r="F359" s="54"/>
      <c r="G359" s="54"/>
    </row>
    <row r="360" spans="1:7" ht="32.4">
      <c r="A360" s="54"/>
      <c r="B360" s="54"/>
      <c r="C360" s="54"/>
      <c r="D360" s="54"/>
      <c r="E360" s="54"/>
      <c r="F360" s="54"/>
      <c r="G360" s="54"/>
    </row>
    <row r="361" spans="1:7" ht="32.4">
      <c r="A361" s="54"/>
      <c r="B361" s="54"/>
      <c r="C361" s="54"/>
      <c r="D361" s="54"/>
      <c r="E361" s="54"/>
      <c r="F361" s="54"/>
      <c r="G361" s="54"/>
    </row>
    <row r="362" spans="1:7" ht="32.4">
      <c r="A362" s="54"/>
      <c r="B362" s="54"/>
      <c r="C362" s="54"/>
      <c r="D362" s="54"/>
      <c r="E362" s="54"/>
      <c r="F362" s="54"/>
      <c r="G362" s="54"/>
    </row>
    <row r="363" spans="1:7" ht="32.4">
      <c r="A363" s="54"/>
      <c r="B363" s="54"/>
      <c r="C363" s="54"/>
      <c r="D363" s="54"/>
      <c r="E363" s="54"/>
      <c r="F363" s="54"/>
      <c r="G363" s="54"/>
    </row>
    <row r="364" spans="1:7" ht="32.4">
      <c r="A364" s="54"/>
      <c r="B364" s="54"/>
      <c r="C364" s="54"/>
      <c r="D364" s="54"/>
      <c r="E364" s="54"/>
      <c r="F364" s="54"/>
      <c r="G364" s="54"/>
    </row>
    <row r="365" spans="1:7" ht="32.4">
      <c r="A365" s="54"/>
      <c r="B365" s="54"/>
      <c r="C365" s="54"/>
      <c r="D365" s="54"/>
      <c r="E365" s="54"/>
      <c r="F365" s="54"/>
      <c r="G365" s="54"/>
    </row>
  </sheetData>
  <mergeCells count="40">
    <mergeCell ref="P9:P10"/>
    <mergeCell ref="Q9:Q10"/>
    <mergeCell ref="J9:J10"/>
    <mergeCell ref="K9:K10"/>
    <mergeCell ref="L9:L10"/>
    <mergeCell ref="H9:H10"/>
    <mergeCell ref="I9:I10"/>
    <mergeCell ref="A3:B3"/>
    <mergeCell ref="N9:N10"/>
    <mergeCell ref="O9:O10"/>
    <mergeCell ref="A9:A10"/>
    <mergeCell ref="B9:B10"/>
    <mergeCell ref="A4:B4"/>
    <mergeCell ref="A5:B5"/>
    <mergeCell ref="A6:B6"/>
    <mergeCell ref="D9:D10"/>
    <mergeCell ref="R9:R10"/>
    <mergeCell ref="A2:R2"/>
    <mergeCell ref="C9:C10"/>
    <mergeCell ref="M9:M10"/>
    <mergeCell ref="A7:E8"/>
    <mergeCell ref="C6:E6"/>
    <mergeCell ref="C5:E5"/>
    <mergeCell ref="C4:E4"/>
    <mergeCell ref="C3:E3"/>
    <mergeCell ref="F3:H3"/>
    <mergeCell ref="F4:H4"/>
    <mergeCell ref="F5:H5"/>
    <mergeCell ref="F6:H8"/>
    <mergeCell ref="E9:E10"/>
    <mergeCell ref="F9:F10"/>
    <mergeCell ref="G9:G10"/>
    <mergeCell ref="O4:R8"/>
    <mergeCell ref="O3:R3"/>
    <mergeCell ref="I8:N8"/>
    <mergeCell ref="I7:N7"/>
    <mergeCell ref="I6:N6"/>
    <mergeCell ref="I5:N5"/>
    <mergeCell ref="I4:N4"/>
    <mergeCell ref="I3:N3"/>
  </mergeCells>
  <pageMargins left="0.7984251968504" right="0.7984251968504" top="0.75" bottom="0.75" header="0.3" footer="0.3"/>
  <pageSetup fitToHeight="0" orientation="landscape" paperSize="9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44064-6357-4C05-8AE1-270E8CCD36A2}">
  <sheetPr codeName="Sheet3">
    <pageSetUpPr fitToPage="1"/>
  </sheetPr>
  <dimension ref="A1:Q20"/>
  <sheetViews>
    <sheetView view="pageBreakPreview" zoomScale="50" zoomScaleNormal="50" zoomScaleSheetLayoutView="50" workbookViewId="0" topLeftCell="A3">
      <selection pane="topLeft" activeCell="O13" sqref="O13"/>
    </sheetView>
  </sheetViews>
  <sheetFormatPr defaultColWidth="9.109375" defaultRowHeight="13.5"/>
  <cols>
    <col min="1" max="1" width="13.7142857142857" style="46" customWidth="1"/>
    <col min="2" max="2" width="35.7142857142857" style="46" customWidth="1"/>
    <col min="3" max="3" width="37.4285714285714" style="46" customWidth="1"/>
    <col min="4" max="4" width="18.7142857142857" style="46" customWidth="1"/>
    <col min="5" max="5" width="19.2857142857143" style="46" customWidth="1"/>
    <col min="6" max="6" width="18.1428571428571" style="46" customWidth="1"/>
    <col min="7" max="7" width="16.8571428571429" style="46" customWidth="1"/>
    <col min="8" max="8" width="37.5714285714286" style="46" customWidth="1"/>
    <col min="9" max="9" width="22.2857142857143" style="46" customWidth="1"/>
    <col min="10" max="10" width="30.5714285714286" style="34" customWidth="1"/>
    <col min="11" max="11" width="19.2857142857143" style="46" customWidth="1"/>
    <col min="12" max="15" width="20.7142857142857" customWidth="1"/>
    <col min="16" max="16" width="80.7142857142857" customWidth="1"/>
    <col min="17" max="17" width="19.7142857142857" customWidth="1"/>
  </cols>
  <sheetData>
    <row r="1" spans="1:17" ht="103.2" customHeight="1">
      <c r="A1" s="150" t="s">
        <v>224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</row>
    <row r="2" spans="1:17" ht="60" customHeight="1">
      <c r="A2" s="153"/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5"/>
    </row>
    <row r="3" spans="1:17" ht="49.95" customHeight="1">
      <c r="A3" s="5" t="s">
        <v>7</v>
      </c>
      <c r="B3" s="5"/>
      <c r="C3" s="169"/>
      <c r="D3" s="170"/>
      <c r="E3" s="169" t="s">
        <v>114</v>
      </c>
      <c r="F3" s="171"/>
      <c r="G3" s="170"/>
      <c r="H3" s="156" t="str">
        <f>TRIM(Data!BF5)</f>
        <v>Mcleod, Eric</v>
      </c>
      <c r="I3" s="157"/>
      <c r="J3" s="157"/>
      <c r="K3" s="157"/>
      <c r="L3" s="158"/>
      <c r="M3" s="136" t="s">
        <v>4</v>
      </c>
      <c r="N3" s="136"/>
      <c r="O3" s="136"/>
      <c r="P3" s="136"/>
      <c r="Q3" s="136"/>
    </row>
    <row r="4" spans="1:17" ht="49.95" customHeight="1">
      <c r="A4" s="117" t="s">
        <v>130</v>
      </c>
      <c r="B4" s="117"/>
      <c r="C4" s="167" t="str">
        <f>TRIM(Data!BC5)</f>
        <v>10940</v>
      </c>
      <c r="D4" s="168"/>
      <c r="E4" s="181" t="s">
        <v>8</v>
      </c>
      <c r="F4" s="182"/>
      <c r="G4" s="183"/>
      <c r="H4" s="156" t="str">
        <f>TRIM(Data!AX5)</f>
        <v>Retractable Flyscreen</v>
      </c>
      <c r="I4" s="157"/>
      <c r="J4" s="157"/>
      <c r="K4" s="157"/>
      <c r="L4" s="158"/>
      <c r="M4" s="114" t="str">
        <f>TRIM(Data!BJ5)</f>
        <v/>
      </c>
      <c r="N4" s="114"/>
      <c r="O4" s="114"/>
      <c r="P4" s="114"/>
      <c r="Q4" s="114"/>
    </row>
    <row r="5" spans="1:17" ht="49.95" customHeight="1">
      <c r="A5" s="6" t="s">
        <v>15</v>
      </c>
      <c r="B5" s="6"/>
      <c r="C5" s="167" t="str">
        <f>TRIM(Data!BD5)</f>
        <v>A</v>
      </c>
      <c r="D5" s="168"/>
      <c r="E5" s="181" t="s">
        <v>124</v>
      </c>
      <c r="F5" s="182"/>
      <c r="G5" s="183"/>
      <c r="H5" s="156" t="str">
        <f>LEFT(Data!BA5,10)</f>
        <v>21/09/2026</v>
      </c>
      <c r="I5" s="157"/>
      <c r="J5" s="157"/>
      <c r="K5" s="157"/>
      <c r="L5" s="158"/>
      <c r="M5" s="114"/>
      <c r="N5" s="114"/>
      <c r="O5" s="114"/>
      <c r="P5" s="114"/>
      <c r="Q5" s="114"/>
    </row>
    <row r="6" spans="1:17" ht="49.95" customHeight="1">
      <c r="A6" s="4" t="s">
        <v>9</v>
      </c>
      <c r="B6" s="4"/>
      <c r="C6" s="165" t="str">
        <f>TRIM(Data!AY5)</f>
        <v>1/09/2026 12:00:00 AM</v>
      </c>
      <c r="D6" s="166"/>
      <c r="E6" s="172" t="s">
        <v>12</v>
      </c>
      <c r="F6" s="173"/>
      <c r="G6" s="174"/>
      <c r="H6" s="156" t="str">
        <f>TRIM(Data!BF5)</f>
        <v>Mcleod, Eric</v>
      </c>
      <c r="I6" s="157"/>
      <c r="J6" s="157"/>
      <c r="K6" s="157"/>
      <c r="L6" s="158"/>
      <c r="M6" s="114"/>
      <c r="N6" s="114"/>
      <c r="O6" s="114"/>
      <c r="P6" s="114"/>
      <c r="Q6" s="114"/>
    </row>
    <row r="7" spans="1:17" ht="49.95" customHeight="1">
      <c r="A7" s="159" t="str">
        <f>TRIM(Data!CZ5)</f>
        <v>Retail Customer</v>
      </c>
      <c r="B7" s="160"/>
      <c r="C7" s="160"/>
      <c r="D7" s="161"/>
      <c r="E7" s="175"/>
      <c r="F7" s="176"/>
      <c r="G7" s="177"/>
      <c r="H7" s="156" t="str">
        <f>CONCATENATE(Data!BH5," ",Data!BI5," ",Data!BJ5," ",Data!BK5," ",Data!BL5)</f>
        <v>502 6  Lyons Street North </v>
      </c>
      <c r="I7" s="157"/>
      <c r="J7" s="157"/>
      <c r="K7" s="157"/>
      <c r="L7" s="158"/>
      <c r="M7" s="114"/>
      <c r="N7" s="114"/>
      <c r="O7" s="114"/>
      <c r="P7" s="114"/>
      <c r="Q7" s="114"/>
    </row>
    <row r="8" spans="1:17" ht="49.95" customHeight="1">
      <c r="A8" s="162"/>
      <c r="B8" s="163"/>
      <c r="C8" s="163"/>
      <c r="D8" s="164"/>
      <c r="E8" s="178"/>
      <c r="F8" s="179"/>
      <c r="G8" s="180"/>
      <c r="H8" s="156" t="str">
        <f>CONCATENATE(Data!BM5," ",Data!BN5," ",Data!BO5," ",Data!BP5)</f>
        <v>Ballarat Central VIC 3350 Australia</v>
      </c>
      <c r="I8" s="157"/>
      <c r="J8" s="157"/>
      <c r="K8" s="157"/>
      <c r="L8" s="158"/>
      <c r="M8" s="114"/>
      <c r="N8" s="114"/>
      <c r="O8" s="114"/>
      <c r="P8" s="114"/>
      <c r="Q8" s="114"/>
    </row>
    <row r="9" spans="1:17" ht="12.75" customHeight="1">
      <c r="A9" s="146" t="s">
        <v>129</v>
      </c>
      <c r="B9" s="147" t="s">
        <v>115</v>
      </c>
      <c r="C9" s="184" t="s">
        <v>153</v>
      </c>
      <c r="D9" s="136" t="s">
        <v>219</v>
      </c>
      <c r="E9" s="136" t="s">
        <v>220</v>
      </c>
      <c r="F9" s="5" t="s">
        <v>223</v>
      </c>
      <c r="G9" s="5" t="s">
        <v>229</v>
      </c>
      <c r="H9" s="136" t="s">
        <v>231</v>
      </c>
      <c r="I9" s="136" t="s">
        <v>297</v>
      </c>
      <c r="J9" s="136" t="s">
        <v>221</v>
      </c>
      <c r="K9" s="136" t="s">
        <v>222</v>
      </c>
      <c r="L9" s="136" t="s">
        <v>177</v>
      </c>
      <c r="M9" s="136" t="s">
        <v>178</v>
      </c>
      <c r="N9" s="136" t="s">
        <v>179</v>
      </c>
      <c r="O9" s="136" t="s">
        <v>180</v>
      </c>
      <c r="P9" s="136" t="s">
        <v>5</v>
      </c>
      <c r="Q9" s="136" t="s">
        <v>306</v>
      </c>
    </row>
    <row r="10" spans="1:17" ht="117.75" customHeight="1">
      <c r="A10" s="146"/>
      <c r="B10" s="147"/>
      <c r="C10" s="185"/>
      <c r="D10" s="136"/>
      <c r="E10" s="136"/>
      <c r="F10" s="5"/>
      <c r="G10" s="5"/>
      <c r="H10" s="136"/>
      <c r="I10" s="136"/>
      <c r="J10" s="136"/>
      <c r="K10" s="136"/>
      <c r="L10" s="136"/>
      <c r="M10" s="136"/>
      <c r="N10" s="136"/>
      <c r="O10" s="136"/>
      <c r="P10" s="136"/>
      <c r="Q10" s="136"/>
    </row>
    <row r="11" spans="1:17" ht="99">
      <c r="A11" s="93">
        <f>IF(Data!AV11="","",Data!AW11)</f>
        <v>1</v>
      </c>
      <c r="B11" s="56" t="str">
        <f>IF(Data!AV11="","",Data!AY11)</f>
        <v>Bed 3</v>
      </c>
      <c r="C11" s="57" t="str">
        <f>'Job Sheet'!H11</f>
        <v>Black</v>
      </c>
      <c r="D11" s="78" t="str">
        <f>IF(Data!AV11="","","2")</f>
        <v>2</v>
      </c>
      <c r="E11" s="78" t="str">
        <f>IF(Data!AV11="","","2")</f>
        <v>2</v>
      </c>
      <c r="F11" s="78" t="str">
        <f>'Job Sheet'!Q11</f>
        <v/>
      </c>
      <c r="G11" s="78">
        <f>IF(Data!AV11="","",VLOOKUP('Job Sheet'!J11,Operation,5,FALSE))</f>
        <v>2</v>
      </c>
      <c r="H11" s="57" t="str">
        <f>IF(Data!AV11="","",VLOOKUP('Job Sheet'!J11,Operation,6,FALSE))</f>
        <v>2 Handles, 2 Rubber Squares and 2 Screws</v>
      </c>
      <c r="I11" s="78">
        <f>IF(Data!AV11="","",'Job Sheet'!AA11*2)</f>
        <v>2</v>
      </c>
      <c r="J11" s="57" t="str">
        <f>IF(Data!AV11="","",IF(OR('Job Sheet'!J11="Centre Opening",'Job Sheet'!J11="Centre Opening Off Set"),CONCATENATE("1"," x ",'Job Sheet'!I11),""))</f>
        <v/>
      </c>
      <c r="K11" s="57" t="str">
        <f>IF('Job Sheet'!C11&gt;6000,1,"")</f>
        <v/>
      </c>
      <c r="L11" s="57" t="str">
        <f>'Tube Cutting'!M11</f>
        <v>25mm x 25mm x 1310mm</v>
      </c>
      <c r="M11" s="57" t="str">
        <f>'Tube Cutting'!N11</f>
        <v/>
      </c>
      <c r="N11" s="57" t="str">
        <f>'Tube Cutting'!O11</f>
        <v>25mm x 25mm x 2455mm</v>
      </c>
      <c r="O11" s="57" t="str">
        <f>'Tube Cutting'!P11</f>
        <v>25mm x 25mm x 2455mm</v>
      </c>
      <c r="P11" s="57" t="str">
        <f>'Job Sheet'!V11</f>
        <v/>
      </c>
      <c r="Q11" s="96">
        <f>A11</f>
        <v>1</v>
      </c>
    </row>
    <row r="12" spans="1:17" ht="99">
      <c r="A12" s="93">
        <f>IF(Data!AV12="","",Data!AW12)</f>
        <v>2</v>
      </c>
      <c r="B12" s="56" t="str">
        <f>IF(Data!AV12="","",Data!AY12)</f>
        <v>Living West</v>
      </c>
      <c r="C12" s="57" t="str">
        <f>'Job Sheet'!H12</f>
        <v>Black</v>
      </c>
      <c r="D12" s="78" t="str">
        <f>IF(Data!AV12="","","2")</f>
        <v>2</v>
      </c>
      <c r="E12" s="78" t="str">
        <f>IF(Data!AV12="","","2")</f>
        <v>2</v>
      </c>
      <c r="F12" s="78" t="str">
        <f>'Job Sheet'!Q12</f>
        <v/>
      </c>
      <c r="G12" s="78">
        <f>IF(Data!AV12="","",VLOOKUP('Job Sheet'!J12,Operation,5,FALSE))</f>
        <v>2</v>
      </c>
      <c r="H12" s="57" t="str">
        <f>IF(Data!AV12="","",VLOOKUP('Job Sheet'!J12,Operation,6,FALSE))</f>
        <v>2 Handles, 2 Rubber Squares and 2 Screws</v>
      </c>
      <c r="I12" s="78">
        <f>IF(Data!AV12="","",'Job Sheet'!AA12*2)</f>
        <v>2</v>
      </c>
      <c r="J12" s="57" t="str">
        <f>IF(Data!AV12="","",IF(OR('Job Sheet'!J12="Centre Opening",'Job Sheet'!J12="Centre Opening Off Set"),CONCATENATE("1"," x ",'Job Sheet'!I12),""))</f>
        <v/>
      </c>
      <c r="K12" s="57" t="str">
        <f>IF('Job Sheet'!C12&gt;6000,1,"")</f>
        <v/>
      </c>
      <c r="L12" s="57" t="str">
        <f>'Tube Cutting'!M12</f>
        <v>25mm x 25mm x 1280mm</v>
      </c>
      <c r="M12" s="57" t="str">
        <f>'Tube Cutting'!N12</f>
        <v/>
      </c>
      <c r="N12" s="57" t="str">
        <f>'Tube Cutting'!O12</f>
        <v/>
      </c>
      <c r="O12" s="57" t="str">
        <f>'Tube Cutting'!P12</f>
        <v>25mm x 25mm x 2640mm</v>
      </c>
      <c r="P12" s="57" t="str">
        <f>'Job Sheet'!V12</f>
        <v/>
      </c>
      <c r="Q12" s="96">
        <f t="shared" si="0" ref="Q12:Q20">A12</f>
        <v>2</v>
      </c>
    </row>
    <row r="13" spans="1:17" ht="99">
      <c r="A13" s="93">
        <f>IF(Data!AV13="","",Data!AW13)</f>
        <v>3</v>
      </c>
      <c r="B13" s="56" t="str">
        <f>IF(Data!AV13="","",Data!AY13)</f>
        <v>Living North</v>
      </c>
      <c r="C13" s="57" t="str">
        <f>'Job Sheet'!H13</f>
        <v>Black</v>
      </c>
      <c r="D13" s="78" t="str">
        <f>IF(Data!AV13="","","2")</f>
        <v>2</v>
      </c>
      <c r="E13" s="78" t="str">
        <f>IF(Data!AV13="","","2")</f>
        <v>2</v>
      </c>
      <c r="F13" s="78" t="str">
        <f>'Job Sheet'!Q13</f>
        <v/>
      </c>
      <c r="G13" s="78">
        <f>IF(Data!AV13="","",VLOOKUP('Job Sheet'!J13,Operation,5,FALSE))</f>
        <v>2</v>
      </c>
      <c r="H13" s="57" t="str">
        <f>IF(Data!AV13="","",VLOOKUP('Job Sheet'!J13,Operation,6,FALSE))</f>
        <v>2 Handles, 2 Rubber Squares and 2 Screws</v>
      </c>
      <c r="I13" s="78">
        <f>IF(Data!AV13="","",'Job Sheet'!AA13*2)</f>
        <v>2</v>
      </c>
      <c r="J13" s="57" t="str">
        <f>IF(Data!AV13="","",IF(OR('Job Sheet'!J13="Centre Opening",'Job Sheet'!J13="Centre Opening Off Set"),CONCATENATE("1"," x ",'Job Sheet'!I13),""))</f>
        <v/>
      </c>
      <c r="K13" s="57" t="str">
        <f>IF('Job Sheet'!C13&gt;6000,1,"")</f>
        <v/>
      </c>
      <c r="L13" s="57" t="str">
        <f>'Tube Cutting'!M13</f>
        <v>25mm x 25mm x 1280mm</v>
      </c>
      <c r="M13" s="57" t="str">
        <f>'Tube Cutting'!N13</f>
        <v/>
      </c>
      <c r="N13" s="57" t="str">
        <f>'Tube Cutting'!O13</f>
        <v/>
      </c>
      <c r="O13" s="57" t="str">
        <f>'Tube Cutting'!P13</f>
        <v>25mm x 25mm x 2640mm</v>
      </c>
      <c r="P13" s="57" t="str">
        <f>'Job Sheet'!V13</f>
        <v/>
      </c>
      <c r="Q13" s="96">
        <f t="shared" si="0"/>
        <v>3</v>
      </c>
    </row>
    <row r="14" spans="1:17" ht="60" customHeight="1">
      <c r="A14" s="93" t="str">
        <f>IF(Data!AV14="","",Data!AW14)</f>
        <v/>
      </c>
      <c r="B14" s="56" t="str">
        <f>IF(Data!AV14="","",Data!AY14)</f>
        <v/>
      </c>
      <c r="C14" s="57" t="str">
        <f>'Job Sheet'!H14</f>
        <v/>
      </c>
      <c r="D14" s="78" t="str">
        <f>IF(Data!AV14="","","2")</f>
        <v/>
      </c>
      <c r="E14" s="78" t="str">
        <f>IF(Data!AV14="","","2")</f>
        <v/>
      </c>
      <c r="F14" s="78" t="str">
        <f>'Job Sheet'!Q14</f>
        <v/>
      </c>
      <c r="G14" s="78" t="str">
        <f>IF(Data!AV14="","",VLOOKUP('Job Sheet'!J14,Operation,5,FALSE))</f>
        <v/>
      </c>
      <c r="H14" s="57" t="str">
        <f>IF(Data!AV14="","",VLOOKUP('Job Sheet'!J14,Operation,6,FALSE))</f>
        <v/>
      </c>
      <c r="I14" s="78" t="str">
        <f>IF(Data!AV14="","",'Job Sheet'!AA14*2)</f>
        <v/>
      </c>
      <c r="J14" s="57" t="str">
        <f>IF(Data!AV14="","",IF(OR('Job Sheet'!J14="Centre Opening",'Job Sheet'!J14="Centre Opening Off Set"),CONCATENATE("1"," x ",'Job Sheet'!I14),""))</f>
        <v/>
      </c>
      <c r="K14" s="57" t="str">
        <f>IF('Job Sheet'!C14&gt;6000,1,"")</f>
        <v/>
      </c>
      <c r="L14" s="57" t="str">
        <f>'Tube Cutting'!M14</f>
        <v/>
      </c>
      <c r="M14" s="57" t="str">
        <f>'Tube Cutting'!N14</f>
        <v/>
      </c>
      <c r="N14" s="57" t="str">
        <f>'Tube Cutting'!O14</f>
        <v/>
      </c>
      <c r="O14" s="57" t="str">
        <f>'Tube Cutting'!P14</f>
        <v/>
      </c>
      <c r="P14" s="57" t="str">
        <f>'Job Sheet'!V14</f>
        <v/>
      </c>
      <c r="Q14" s="96" t="str">
        <f t="shared" si="0"/>
        <v/>
      </c>
    </row>
    <row r="15" spans="1:17" ht="60" customHeight="1">
      <c r="A15" s="93" t="str">
        <f>IF(Data!AV15="","",Data!AW15)</f>
        <v/>
      </c>
      <c r="B15" s="56" t="str">
        <f>IF(Data!AV15="","",Data!AY15)</f>
        <v/>
      </c>
      <c r="C15" s="57" t="str">
        <f>'Job Sheet'!H15</f>
        <v/>
      </c>
      <c r="D15" s="78" t="str">
        <f>IF(Data!AV15="","","2")</f>
        <v/>
      </c>
      <c r="E15" s="78" t="str">
        <f>IF(Data!AV15="","","2")</f>
        <v/>
      </c>
      <c r="F15" s="78" t="str">
        <f>'Job Sheet'!Q15</f>
        <v/>
      </c>
      <c r="G15" s="78" t="str">
        <f>IF(Data!AV15="","",VLOOKUP('Job Sheet'!J15,Operation,5,FALSE))</f>
        <v/>
      </c>
      <c r="H15" s="57" t="str">
        <f>IF(Data!AV15="","",VLOOKUP('Job Sheet'!J15,Operation,6,FALSE))</f>
        <v/>
      </c>
      <c r="I15" s="78" t="str">
        <f>IF(Data!AV15="","",'Job Sheet'!AA15*2)</f>
        <v/>
      </c>
      <c r="J15" s="57" t="str">
        <f>IF(Data!AV15="","",IF(OR('Job Sheet'!J15="Centre Opening",'Job Sheet'!J15="Centre Opening Off Set"),CONCATENATE("1"," x ",'Job Sheet'!I15),""))</f>
        <v/>
      </c>
      <c r="K15" s="57" t="str">
        <f>IF('Job Sheet'!C15&gt;6000,1,"")</f>
        <v/>
      </c>
      <c r="L15" s="57" t="str">
        <f>'Tube Cutting'!M15</f>
        <v/>
      </c>
      <c r="M15" s="57" t="str">
        <f>'Tube Cutting'!N15</f>
        <v/>
      </c>
      <c r="N15" s="57" t="str">
        <f>'Tube Cutting'!O15</f>
        <v/>
      </c>
      <c r="O15" s="57" t="str">
        <f>'Tube Cutting'!P15</f>
        <v/>
      </c>
      <c r="P15" s="57" t="str">
        <f>'Job Sheet'!V15</f>
        <v/>
      </c>
      <c r="Q15" s="96" t="str">
        <f t="shared" si="0"/>
        <v/>
      </c>
    </row>
    <row r="16" spans="1:17" ht="60" customHeight="1">
      <c r="A16" s="93" t="str">
        <f>IF(Data!AV16="","",Data!AW16)</f>
        <v/>
      </c>
      <c r="B16" s="56" t="str">
        <f>IF(Data!AV16="","",Data!AY16)</f>
        <v/>
      </c>
      <c r="C16" s="57" t="str">
        <f>'Job Sheet'!H16</f>
        <v/>
      </c>
      <c r="D16" s="78" t="str">
        <f>IF(Data!AV16="","","2")</f>
        <v/>
      </c>
      <c r="E16" s="78" t="str">
        <f>IF(Data!AV16="","","2")</f>
        <v/>
      </c>
      <c r="F16" s="78" t="str">
        <f>'Job Sheet'!Q16</f>
        <v/>
      </c>
      <c r="G16" s="78" t="str">
        <f>IF(Data!AV16="","",VLOOKUP('Job Sheet'!J16,Operation,5,FALSE))</f>
        <v/>
      </c>
      <c r="H16" s="57" t="str">
        <f>IF(Data!AV16="","",VLOOKUP('Job Sheet'!J16,Operation,6,FALSE))</f>
        <v/>
      </c>
      <c r="I16" s="78" t="str">
        <f>IF(Data!AV16="","",'Job Sheet'!AA16*2)</f>
        <v/>
      </c>
      <c r="J16" s="57" t="str">
        <f>IF(Data!AV16="","",IF(OR('Job Sheet'!J16="Centre Opening",'Job Sheet'!J16="Centre Opening Off Set"),CONCATENATE("1"," x ",'Job Sheet'!I16),""))</f>
        <v/>
      </c>
      <c r="K16" s="57" t="str">
        <f>IF('Job Sheet'!C16&gt;6000,1,"")</f>
        <v/>
      </c>
      <c r="L16" s="57" t="str">
        <f>'Tube Cutting'!M16</f>
        <v/>
      </c>
      <c r="M16" s="57" t="str">
        <f>'Tube Cutting'!N16</f>
        <v/>
      </c>
      <c r="N16" s="57" t="str">
        <f>'Tube Cutting'!O16</f>
        <v/>
      </c>
      <c r="O16" s="57" t="str">
        <f>'Tube Cutting'!P16</f>
        <v/>
      </c>
      <c r="P16" s="57" t="str">
        <f>'Job Sheet'!V16</f>
        <v/>
      </c>
      <c r="Q16" s="96" t="str">
        <f t="shared" si="0"/>
        <v/>
      </c>
    </row>
    <row r="17" spans="1:17" ht="60" customHeight="1">
      <c r="A17" s="93" t="str">
        <f>IF(Data!AV17="","",Data!AW17)</f>
        <v/>
      </c>
      <c r="B17" s="56" t="str">
        <f>IF(Data!AV17="","",Data!AY17)</f>
        <v/>
      </c>
      <c r="C17" s="57" t="str">
        <f>'Job Sheet'!H17</f>
        <v/>
      </c>
      <c r="D17" s="78" t="str">
        <f>IF(Data!AV17="","","2")</f>
        <v/>
      </c>
      <c r="E17" s="78" t="str">
        <f>IF(Data!AV17="","","2")</f>
        <v/>
      </c>
      <c r="F17" s="78" t="str">
        <f>'Job Sheet'!Q17</f>
        <v/>
      </c>
      <c r="G17" s="78" t="str">
        <f>IF(Data!AV17="","",VLOOKUP('Job Sheet'!J17,Operation,5,FALSE))</f>
        <v/>
      </c>
      <c r="H17" s="57" t="str">
        <f>IF(Data!AV17="","",VLOOKUP('Job Sheet'!J17,Operation,6,FALSE))</f>
        <v/>
      </c>
      <c r="I17" s="78" t="str">
        <f>IF(Data!AV17="","",'Job Sheet'!AA17*2)</f>
        <v/>
      </c>
      <c r="J17" s="57" t="str">
        <f>IF(Data!AV17="","",IF(OR('Job Sheet'!J17="Centre Opening",'Job Sheet'!J17="Centre Opening Off Set"),CONCATENATE("1"," x ",'Job Sheet'!I17),""))</f>
        <v/>
      </c>
      <c r="K17" s="57" t="str">
        <f>IF('Job Sheet'!C17&gt;6000,1,"")</f>
        <v/>
      </c>
      <c r="L17" s="57" t="str">
        <f>'Tube Cutting'!M17</f>
        <v/>
      </c>
      <c r="M17" s="57" t="str">
        <f>'Tube Cutting'!N17</f>
        <v/>
      </c>
      <c r="N17" s="57" t="str">
        <f>'Tube Cutting'!O17</f>
        <v/>
      </c>
      <c r="O17" s="57" t="str">
        <f>'Tube Cutting'!P17</f>
        <v/>
      </c>
      <c r="P17" s="57" t="str">
        <f>'Job Sheet'!V17</f>
        <v/>
      </c>
      <c r="Q17" s="96" t="str">
        <f t="shared" si="0"/>
        <v/>
      </c>
    </row>
    <row r="18" spans="1:17" ht="60" customHeight="1">
      <c r="A18" s="93" t="str">
        <f>IF(Data!AV18="","",Data!AW18)</f>
        <v/>
      </c>
      <c r="B18" s="56" t="str">
        <f>IF(Data!AV18="","",Data!AY18)</f>
        <v/>
      </c>
      <c r="C18" s="57" t="str">
        <f>'Job Sheet'!H18</f>
        <v/>
      </c>
      <c r="D18" s="78" t="str">
        <f>IF(Data!AV18="","","2")</f>
        <v/>
      </c>
      <c r="E18" s="78" t="str">
        <f>IF(Data!AV18="","","2")</f>
        <v/>
      </c>
      <c r="F18" s="78" t="str">
        <f>'Job Sheet'!Q18</f>
        <v/>
      </c>
      <c r="G18" s="78" t="str">
        <f>IF(Data!AV18="","",VLOOKUP('Job Sheet'!J18,Operation,5,FALSE))</f>
        <v/>
      </c>
      <c r="H18" s="57" t="str">
        <f>IF(Data!AV18="","",VLOOKUP('Job Sheet'!J18,Operation,6,FALSE))</f>
        <v/>
      </c>
      <c r="I18" s="78" t="str">
        <f>IF(Data!AV18="","",'Job Sheet'!AA18*2)</f>
        <v/>
      </c>
      <c r="J18" s="57" t="str">
        <f>IF(Data!AV18="","",IF(OR('Job Sheet'!J18="Centre Opening",'Job Sheet'!J18="Centre Opening Off Set"),CONCATENATE("1"," x ",'Job Sheet'!I18),""))</f>
        <v/>
      </c>
      <c r="K18" s="57" t="str">
        <f>IF('Job Sheet'!C18&gt;6000,1,"")</f>
        <v/>
      </c>
      <c r="L18" s="57" t="str">
        <f>'Tube Cutting'!M18</f>
        <v/>
      </c>
      <c r="M18" s="57" t="str">
        <f>'Tube Cutting'!N18</f>
        <v/>
      </c>
      <c r="N18" s="57" t="str">
        <f>'Tube Cutting'!O18</f>
        <v/>
      </c>
      <c r="O18" s="57" t="str">
        <f>'Tube Cutting'!P18</f>
        <v/>
      </c>
      <c r="P18" s="57" t="str">
        <f>'Job Sheet'!V18</f>
        <v/>
      </c>
      <c r="Q18" s="96" t="str">
        <f t="shared" si="0"/>
        <v/>
      </c>
    </row>
    <row r="19" spans="1:17" ht="60" customHeight="1">
      <c r="A19" s="93" t="str">
        <f>IF(Data!AV19="","",Data!AW19)</f>
        <v/>
      </c>
      <c r="B19" s="56" t="str">
        <f>IF(Data!AV19="","",Data!AY19)</f>
        <v/>
      </c>
      <c r="C19" s="57" t="str">
        <f>'Job Sheet'!H19</f>
        <v/>
      </c>
      <c r="D19" s="78" t="str">
        <f>IF(Data!AV19="","","2")</f>
        <v/>
      </c>
      <c r="E19" s="78" t="str">
        <f>IF(Data!AV19="","","2")</f>
        <v/>
      </c>
      <c r="F19" s="78" t="str">
        <f>'Job Sheet'!Q19</f>
        <v/>
      </c>
      <c r="G19" s="78" t="str">
        <f>IF(Data!AV19="","",VLOOKUP('Job Sheet'!J19,Operation,5,FALSE))</f>
        <v/>
      </c>
      <c r="H19" s="57" t="str">
        <f>IF(Data!AV19="","",VLOOKUP('Job Sheet'!J19,Operation,6,FALSE))</f>
        <v/>
      </c>
      <c r="I19" s="78" t="str">
        <f>IF(Data!AV19="","",'Job Sheet'!AA19*2)</f>
        <v/>
      </c>
      <c r="J19" s="57" t="str">
        <f>IF(Data!AV19="","",IF(OR('Job Sheet'!J19="Centre Opening",'Job Sheet'!J19="Centre Opening Off Set"),CONCATENATE("1"," x ",'Job Sheet'!I19),""))</f>
        <v/>
      </c>
      <c r="K19" s="57" t="str">
        <f>IF('Job Sheet'!C19&gt;6000,1,"")</f>
        <v/>
      </c>
      <c r="L19" s="57" t="str">
        <f>'Tube Cutting'!M19</f>
        <v/>
      </c>
      <c r="M19" s="57" t="str">
        <f>'Tube Cutting'!N19</f>
        <v/>
      </c>
      <c r="N19" s="57" t="str">
        <f>'Tube Cutting'!O19</f>
        <v/>
      </c>
      <c r="O19" s="57" t="str">
        <f>'Tube Cutting'!P19</f>
        <v/>
      </c>
      <c r="P19" s="57" t="str">
        <f>'Job Sheet'!V19</f>
        <v/>
      </c>
      <c r="Q19" s="96" t="str">
        <f t="shared" si="0"/>
        <v/>
      </c>
    </row>
    <row r="20" spans="1:17" ht="60" customHeight="1">
      <c r="A20" s="93" t="str">
        <f>IF(Data!AV20="","",Data!AW20)</f>
        <v/>
      </c>
      <c r="B20" s="56" t="str">
        <f>IF(Data!AV20="","",Data!AY20)</f>
        <v/>
      </c>
      <c r="C20" s="57" t="str">
        <f>'Job Sheet'!H20</f>
        <v/>
      </c>
      <c r="D20" s="78" t="str">
        <f>IF(Data!AV20="","","2")</f>
        <v/>
      </c>
      <c r="E20" s="78" t="str">
        <f>IF(Data!AV20="","","2")</f>
        <v/>
      </c>
      <c r="F20" s="78" t="str">
        <f>'Job Sheet'!Q20</f>
        <v/>
      </c>
      <c r="G20" s="78" t="str">
        <f>IF(Data!AV20="","",VLOOKUP('Job Sheet'!J20,Operation,5,FALSE))</f>
        <v/>
      </c>
      <c r="H20" s="57" t="str">
        <f>IF(Data!AV20="","",VLOOKUP('Job Sheet'!J20,Operation,6,FALSE))</f>
        <v/>
      </c>
      <c r="I20" s="78" t="str">
        <f>IF(Data!AV20="","",'Job Sheet'!AA20*2)</f>
        <v/>
      </c>
      <c r="J20" s="57" t="str">
        <f>IF(Data!AV20="","",IF(OR('Job Sheet'!J20="Centre Opening",'Job Sheet'!J20="Centre Opening Off Set"),CONCATENATE("1"," x ",'Job Sheet'!I20),""))</f>
        <v/>
      </c>
      <c r="K20" s="57" t="str">
        <f>IF('Job Sheet'!C20&gt;6000,1,"")</f>
        <v/>
      </c>
      <c r="L20" s="57" t="str">
        <f>'Tube Cutting'!M20</f>
        <v/>
      </c>
      <c r="M20" s="57" t="str">
        <f>'Tube Cutting'!N20</f>
        <v/>
      </c>
      <c r="N20" s="57" t="str">
        <f>'Tube Cutting'!O20</f>
        <v/>
      </c>
      <c r="O20" s="57" t="str">
        <f>'Tube Cutting'!P20</f>
        <v/>
      </c>
      <c r="P20" s="57" t="str">
        <f>'Job Sheet'!V20</f>
        <v/>
      </c>
      <c r="Q20" s="96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</sheetData>
  <mergeCells count="39">
    <mergeCell ref="M3:Q3"/>
    <mergeCell ref="I9:I10"/>
    <mergeCell ref="A9:A10"/>
    <mergeCell ref="B9:B10"/>
    <mergeCell ref="D9:D10"/>
    <mergeCell ref="E9:E10"/>
    <mergeCell ref="G9:G10"/>
    <mergeCell ref="C9:C10"/>
    <mergeCell ref="Q9:Q10"/>
    <mergeCell ref="P9:P10"/>
    <mergeCell ref="F9:F10"/>
    <mergeCell ref="H9:H10"/>
    <mergeCell ref="K9:K10"/>
    <mergeCell ref="J9:J10"/>
    <mergeCell ref="L9:L10"/>
    <mergeCell ref="A4:B4"/>
    <mergeCell ref="M9:M10"/>
    <mergeCell ref="E6:G8"/>
    <mergeCell ref="M4:Q8"/>
    <mergeCell ref="N9:N10"/>
    <mergeCell ref="O9:O10"/>
    <mergeCell ref="E5:G5"/>
    <mergeCell ref="E4:G4"/>
    <mergeCell ref="A1:Q2"/>
    <mergeCell ref="H3:L3"/>
    <mergeCell ref="H8:L8"/>
    <mergeCell ref="H7:L7"/>
    <mergeCell ref="H6:L6"/>
    <mergeCell ref="H5:L5"/>
    <mergeCell ref="H4:L4"/>
    <mergeCell ref="A7:D8"/>
    <mergeCell ref="C6:D6"/>
    <mergeCell ref="C5:D5"/>
    <mergeCell ref="C4:D4"/>
    <mergeCell ref="C3:D3"/>
    <mergeCell ref="E3:G3"/>
    <mergeCell ref="A5:B5"/>
    <mergeCell ref="A6:B6"/>
    <mergeCell ref="A3:B3"/>
  </mergeCells>
  <pageMargins left="0.77874015748032" right="0.77874015748032" top="0.75" bottom="0.75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FAE2-969B-4827-8FDA-4426C60CE1A1}">
  <sheetPr codeName="Sheet6">
    <pageSetUpPr fitToPage="1"/>
  </sheetPr>
  <dimension ref="A1:U17"/>
  <sheetViews>
    <sheetView zoomScale="60" zoomScaleNormal="60" workbookViewId="0" topLeftCell="A1">
      <selection pane="topLeft" activeCell="T8" sqref="T8"/>
    </sheetView>
  </sheetViews>
  <sheetFormatPr defaultColWidth="9.109375" defaultRowHeight="13.5"/>
  <cols>
    <col min="1" max="1" width="10.4285714285714" style="46" customWidth="1"/>
    <col min="2" max="2" width="30.5714285714286" style="46" customWidth="1"/>
    <col min="3" max="3" width="17.5714285714286" style="46" customWidth="1"/>
    <col min="4" max="4" width="17.4285714285714" style="46" customWidth="1"/>
    <col min="5" max="5" width="17" style="46" bestFit="1" customWidth="1"/>
    <col min="6" max="6" width="24.7142857142857" style="46" customWidth="1"/>
    <col min="7" max="7" width="19" style="46" customWidth="1"/>
    <col min="8" max="8" width="22.8571428571429" style="46" customWidth="1"/>
    <col min="9" max="9" width="18.4285714285714" style="46" customWidth="1"/>
    <col min="10" max="10" width="16.2857142857143" style="34" customWidth="1"/>
    <col min="11" max="11" width="12.5714285714286" style="34" customWidth="1"/>
    <col min="12" max="12" width="17.8571428571429" style="46" customWidth="1"/>
    <col min="13" max="13" width="14.4285714285714" style="46" customWidth="1"/>
    <col min="14" max="14" width="13.7142857142857" style="46" customWidth="1"/>
    <col min="15" max="15" width="13" style="46" customWidth="1"/>
    <col min="16" max="16" width="14.2857142857143" style="46" customWidth="1"/>
    <col min="17" max="17" width="16.8571428571429" style="35" customWidth="1"/>
    <col min="18" max="18" width="17.2857142857143" style="46" customWidth="1"/>
    <col min="19" max="19" width="14.7142857142857" style="46" customWidth="1"/>
    <col min="20" max="20" width="16.2857142857143" style="46" customWidth="1"/>
    <col min="21" max="21" width="28.2857142857143" customWidth="1"/>
  </cols>
  <sheetData>
    <row r="1" spans="1:21" s="24" customFormat="1" ht="219" customHeight="1">
      <c r="A1" s="186" t="s">
        <v>300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</row>
    <row r="2" spans="1:21" s="36" customFormat="1" ht="50.1" customHeight="1">
      <c r="A2" s="117" t="s">
        <v>7</v>
      </c>
      <c r="B2" s="117"/>
      <c r="C2" s="7"/>
      <c r="D2" s="7"/>
      <c r="E2" s="7"/>
      <c r="F2" s="7"/>
      <c r="G2" s="115" t="s">
        <v>114</v>
      </c>
      <c r="H2" s="115"/>
      <c r="I2" s="115"/>
      <c r="J2" s="114" t="str">
        <f>TRIM(Data!BF5)</f>
        <v>Mcleod, Eric</v>
      </c>
      <c r="K2" s="114"/>
      <c r="L2" s="114"/>
      <c r="M2" s="114"/>
      <c r="N2" s="114"/>
      <c r="O2" s="114"/>
      <c r="P2" s="114" t="s">
        <v>4</v>
      </c>
      <c r="Q2" s="114"/>
      <c r="R2" s="114"/>
      <c r="S2" s="114"/>
      <c r="T2" s="114"/>
      <c r="U2" s="114"/>
    </row>
    <row r="3" spans="1:21" s="37" customFormat="1" ht="50.1" customHeight="1">
      <c r="A3" s="6" t="s">
        <v>130</v>
      </c>
      <c r="B3" s="6"/>
      <c r="C3" s="7" t="str">
        <f>TRIM(Data!BC5)</f>
        <v>10940</v>
      </c>
      <c r="D3" s="7"/>
      <c r="E3" s="7"/>
      <c r="F3" s="7"/>
      <c r="G3" s="115" t="s">
        <v>8</v>
      </c>
      <c r="H3" s="115"/>
      <c r="I3" s="115"/>
      <c r="J3" s="114" t="str">
        <f>TRIM(Data!AX5)</f>
        <v>Retractable Flyscreen</v>
      </c>
      <c r="K3" s="114"/>
      <c r="L3" s="114"/>
      <c r="M3" s="114"/>
      <c r="N3" s="114"/>
      <c r="O3" s="114"/>
      <c r="P3" s="114" t="str">
        <f>TRIM(Data!BG5)</f>
        <v/>
      </c>
      <c r="Q3" s="114"/>
      <c r="R3" s="114"/>
      <c r="S3" s="114"/>
      <c r="T3" s="114"/>
      <c r="U3" s="114"/>
    </row>
    <row r="4" spans="1:21" s="37" customFormat="1" ht="50.1" customHeight="1">
      <c r="A4" s="4" t="s">
        <v>15</v>
      </c>
      <c r="B4" s="4"/>
      <c r="C4" s="3" t="str">
        <f>TRIM(Data!BD5)</f>
        <v>A</v>
      </c>
      <c r="D4" s="3"/>
      <c r="E4" s="3"/>
      <c r="F4" s="3"/>
      <c r="G4" s="7" t="s">
        <v>124</v>
      </c>
      <c r="H4" s="7"/>
      <c r="I4" s="7"/>
      <c r="J4" s="114" t="str">
        <f>LEFT(Data!BA5,10)</f>
        <v>21/09/2026</v>
      </c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</row>
    <row r="5" spans="1:21" s="44" customFormat="1" ht="50.1" customHeight="1">
      <c r="A5" s="187" t="s">
        <v>129</v>
      </c>
      <c r="B5" s="11" t="s">
        <v>150</v>
      </c>
      <c r="C5" s="11" t="s">
        <v>149</v>
      </c>
      <c r="D5" s="11" t="s">
        <v>115</v>
      </c>
      <c r="E5" s="11" t="s">
        <v>139</v>
      </c>
      <c r="F5" s="11" t="s">
        <v>145</v>
      </c>
      <c r="G5" s="13" t="s">
        <v>152</v>
      </c>
      <c r="H5" s="11" t="s">
        <v>11</v>
      </c>
      <c r="I5" s="11" t="s">
        <v>301</v>
      </c>
      <c r="J5" s="11" t="s">
        <v>153</v>
      </c>
      <c r="K5" s="11" t="s">
        <v>154</v>
      </c>
      <c r="L5" s="11" t="s">
        <v>151</v>
      </c>
      <c r="M5" s="11" t="s">
        <v>172</v>
      </c>
      <c r="N5" s="11" t="s">
        <v>173</v>
      </c>
      <c r="O5" s="11" t="s">
        <v>174</v>
      </c>
      <c r="P5" s="11" t="s">
        <v>175</v>
      </c>
      <c r="Q5" s="11" t="s">
        <v>155</v>
      </c>
      <c r="R5" s="11" t="s">
        <v>156</v>
      </c>
      <c r="S5" s="11" t="s">
        <v>157</v>
      </c>
      <c r="T5" s="11" t="s">
        <v>302</v>
      </c>
      <c r="U5" s="11" t="s">
        <v>5</v>
      </c>
    </row>
    <row r="6" spans="1:21" s="44" customFormat="1" ht="14.25" customHeight="1" hidden="1">
      <c r="A6" s="187"/>
      <c r="B6" s="11"/>
      <c r="C6" s="11"/>
      <c r="D6" s="11"/>
      <c r="E6" s="11"/>
      <c r="F6" s="11"/>
      <c r="G6" s="13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</row>
    <row r="7" spans="1:21" s="45" customFormat="1" ht="50.1" customHeight="1">
      <c r="A7" s="187"/>
      <c r="B7" s="11"/>
      <c r="C7" s="11"/>
      <c r="D7" s="11"/>
      <c r="E7" s="11"/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21" s="30" customFormat="1" ht="69.75">
      <c r="A8" s="77">
        <f>IF(Data!AV11="","",'Job Sheet'!A11)</f>
        <v>1</v>
      </c>
      <c r="B8" s="77" t="str">
        <f>IF(Data!AV11="","",'Job Sheet'!X11)</f>
        <v>Pleated Flyscreen</v>
      </c>
      <c r="C8" s="77" t="str">
        <f>IF(Data!AV11="","",'Job Sheet'!Y11)</f>
        <v>Black</v>
      </c>
      <c r="D8" s="77" t="str">
        <f>IF(Data!AV11="","",'Job Sheet'!B11)</f>
        <v>Bed 3</v>
      </c>
      <c r="E8" s="77">
        <f>IF(Data!AV11="","",'Job Sheet'!S11)</f>
        <v>1310</v>
      </c>
      <c r="F8" s="77">
        <f>IF(Data!AV11="","",'Job Sheet'!T11)</f>
        <v>2455</v>
      </c>
      <c r="G8" s="77" t="str">
        <f>'Job Sheet'!E11</f>
        <v>Opening</v>
      </c>
      <c r="H8" s="77" t="str">
        <f>'Job Sheet'!F11</f>
        <v>Outside</v>
      </c>
      <c r="I8" s="77" t="str">
        <f>'Job Sheet'!G11</f>
        <v>Aluminium</v>
      </c>
      <c r="J8" s="77" t="str">
        <f>'Job Sheet'!H11</f>
        <v>Black</v>
      </c>
      <c r="K8" s="77" t="str">
        <f>'Job Sheet'!I11</f>
        <v>4mm</v>
      </c>
      <c r="L8" s="77" t="str">
        <f>'Job Sheet'!J11</f>
        <v>One Way Right Hand</v>
      </c>
      <c r="M8" s="77" t="str">
        <f>'Job Sheet'!K11</f>
        <v>25mm x 25mm</v>
      </c>
      <c r="N8" s="77" t="str">
        <f>'Job Sheet'!L11</f>
        <v/>
      </c>
      <c r="O8" s="77" t="str">
        <f>'Job Sheet'!M11</f>
        <v>25mm x 25mm</v>
      </c>
      <c r="P8" s="77" t="str">
        <f>'Job Sheet'!N11</f>
        <v>25mm x 25mm</v>
      </c>
      <c r="Q8" s="77" t="str">
        <f>'Job Sheet'!O11</f>
        <v/>
      </c>
      <c r="R8" s="77" t="str">
        <f>'Job Sheet'!P11</f>
        <v/>
      </c>
      <c r="S8" s="77" t="str">
        <f>'Job Sheet'!Q11</f>
        <v/>
      </c>
      <c r="T8" s="77" t="str">
        <f>IF(Data!AV11="","","Deliver")</f>
        <v>Deliver</v>
      </c>
      <c r="U8" s="77" t="str">
        <f>'Job Sheet'!V11</f>
        <v/>
      </c>
    </row>
    <row r="9" spans="1:21" s="30" customFormat="1" ht="68.4" customHeight="1">
      <c r="A9" s="77">
        <f>IF(Data!AV12="","",'Job Sheet'!A12)</f>
        <v>2</v>
      </c>
      <c r="B9" s="77" t="str">
        <f>IF(Data!AV12="","",'Job Sheet'!X12)</f>
        <v>Pleated Flyscreen</v>
      </c>
      <c r="C9" s="77" t="str">
        <f>IF(Data!AV12="","",'Job Sheet'!Y12)</f>
        <v>Black</v>
      </c>
      <c r="D9" s="77" t="str">
        <f>IF(Data!AV12="","",'Job Sheet'!B12)</f>
        <v>Living West</v>
      </c>
      <c r="E9" s="77">
        <f>IF(Data!AV12="","",'Job Sheet'!S12)</f>
        <v>1280</v>
      </c>
      <c r="F9" s="77">
        <f>IF(Data!AV12="","",'Job Sheet'!T12)</f>
        <v>2640</v>
      </c>
      <c r="G9" s="77" t="str">
        <f>'Job Sheet'!E12</f>
        <v>Opening</v>
      </c>
      <c r="H9" s="77" t="str">
        <f>'Job Sheet'!F12</f>
        <v>Outside</v>
      </c>
      <c r="I9" s="77" t="str">
        <f>'Job Sheet'!G12</f>
        <v>Aluminium</v>
      </c>
      <c r="J9" s="77" t="str">
        <f>'Job Sheet'!H12</f>
        <v>Black</v>
      </c>
      <c r="K9" s="77" t="str">
        <f>'Job Sheet'!I12</f>
        <v>4mm</v>
      </c>
      <c r="L9" s="77" t="str">
        <f>'Job Sheet'!J12</f>
        <v>One Way Left Hand</v>
      </c>
      <c r="M9" s="77" t="str">
        <f>'Job Sheet'!K12</f>
        <v>25mm x 25mm</v>
      </c>
      <c r="N9" s="77" t="str">
        <f>'Job Sheet'!L12</f>
        <v/>
      </c>
      <c r="O9" s="77" t="str">
        <f>'Job Sheet'!M12</f>
        <v/>
      </c>
      <c r="P9" s="77" t="str">
        <f>'Job Sheet'!N12</f>
        <v>25mm x 25mm</v>
      </c>
      <c r="Q9" s="77" t="str">
        <f>'Job Sheet'!O12</f>
        <v/>
      </c>
      <c r="R9" s="77" t="str">
        <f>'Job Sheet'!P12</f>
        <v/>
      </c>
      <c r="S9" s="77" t="str">
        <f>'Job Sheet'!Q12</f>
        <v/>
      </c>
      <c r="T9" s="77" t="str">
        <f>'Job Sheet'!U12</f>
        <v>Installation</v>
      </c>
      <c r="U9" s="77" t="str">
        <f>'Job Sheet'!V12</f>
        <v/>
      </c>
    </row>
    <row r="10" spans="1:21" s="30" customFormat="1" ht="68.4" customHeight="1">
      <c r="A10" s="77">
        <f>IF(Data!AV13="","",'Job Sheet'!A13)</f>
        <v>3</v>
      </c>
      <c r="B10" s="77" t="str">
        <f>IF(Data!AV13="","",'Job Sheet'!X13)</f>
        <v>Pleated Flyscreen</v>
      </c>
      <c r="C10" s="77" t="str">
        <f>IF(Data!AV13="","",'Job Sheet'!Y13)</f>
        <v>Black</v>
      </c>
      <c r="D10" s="77" t="str">
        <f>IF(Data!AV13="","",'Job Sheet'!B13)</f>
        <v>Living North</v>
      </c>
      <c r="E10" s="77">
        <f>IF(Data!AV13="","",'Job Sheet'!S13)</f>
        <v>1280</v>
      </c>
      <c r="F10" s="77">
        <f>IF(Data!AV13="","",'Job Sheet'!T13)</f>
        <v>2640</v>
      </c>
      <c r="G10" s="77" t="str">
        <f>'Job Sheet'!E13</f>
        <v>Opening</v>
      </c>
      <c r="H10" s="77" t="str">
        <f>'Job Sheet'!F13</f>
        <v>Outside</v>
      </c>
      <c r="I10" s="77" t="str">
        <f>'Job Sheet'!G13</f>
        <v>Aluminium</v>
      </c>
      <c r="J10" s="77" t="str">
        <f>'Job Sheet'!H13</f>
        <v>Black</v>
      </c>
      <c r="K10" s="77" t="str">
        <f>'Job Sheet'!I13</f>
        <v>4mm</v>
      </c>
      <c r="L10" s="77" t="str">
        <f>'Job Sheet'!J13</f>
        <v>One Way Left Hand</v>
      </c>
      <c r="M10" s="77" t="str">
        <f>'Job Sheet'!K13</f>
        <v>25mm x 25mm</v>
      </c>
      <c r="N10" s="77" t="str">
        <f>'Job Sheet'!L13</f>
        <v/>
      </c>
      <c r="O10" s="77" t="str">
        <f>'Job Sheet'!M13</f>
        <v/>
      </c>
      <c r="P10" s="77" t="str">
        <f>'Job Sheet'!N13</f>
        <v>25mm x 25mm</v>
      </c>
      <c r="Q10" s="77" t="str">
        <f>'Job Sheet'!O13</f>
        <v/>
      </c>
      <c r="R10" s="77" t="str">
        <f>'Job Sheet'!P13</f>
        <v/>
      </c>
      <c r="S10" s="77" t="str">
        <f>'Job Sheet'!Q13</f>
        <v/>
      </c>
      <c r="T10" s="77" t="str">
        <f>'Job Sheet'!U13</f>
        <v>Installation</v>
      </c>
      <c r="U10" s="77" t="str">
        <f>'Job Sheet'!V13</f>
        <v/>
      </c>
    </row>
    <row r="11" spans="1:21" s="30" customFormat="1" ht="68.4" customHeight="1">
      <c r="A11" s="77" t="str">
        <f>IF(Data!AV14="","",'Job Sheet'!A14)</f>
        <v/>
      </c>
      <c r="B11" s="77" t="str">
        <f>IF(Data!AV14="","",'Job Sheet'!X14)</f>
        <v/>
      </c>
      <c r="C11" s="77" t="str">
        <f>IF(Data!AV14="","",'Job Sheet'!Y14)</f>
        <v/>
      </c>
      <c r="D11" s="77" t="str">
        <f>IF(Data!AV14="","",'Job Sheet'!B14)</f>
        <v/>
      </c>
      <c r="E11" s="77" t="str">
        <f>IF(Data!AV14="","",'Job Sheet'!S14)</f>
        <v/>
      </c>
      <c r="F11" s="77" t="str">
        <f>IF(Data!AV14="","",'Job Sheet'!T14)</f>
        <v/>
      </c>
      <c r="G11" s="77" t="str">
        <f>'Job Sheet'!E14</f>
        <v/>
      </c>
      <c r="H11" s="77" t="str">
        <f>'Job Sheet'!F14</f>
        <v/>
      </c>
      <c r="I11" s="77" t="str">
        <f>'Job Sheet'!G14</f>
        <v/>
      </c>
      <c r="J11" s="77" t="str">
        <f>'Job Sheet'!H14</f>
        <v/>
      </c>
      <c r="K11" s="77" t="str">
        <f>'Job Sheet'!I14</f>
        <v/>
      </c>
      <c r="L11" s="77" t="str">
        <f>'Job Sheet'!J14</f>
        <v/>
      </c>
      <c r="M11" s="77" t="str">
        <f>'Job Sheet'!K14</f>
        <v/>
      </c>
      <c r="N11" s="77" t="str">
        <f>'Job Sheet'!L14</f>
        <v/>
      </c>
      <c r="O11" s="77" t="str">
        <f>'Job Sheet'!M14</f>
        <v/>
      </c>
      <c r="P11" s="77" t="str">
        <f>'Job Sheet'!N14</f>
        <v/>
      </c>
      <c r="Q11" s="77" t="str">
        <f>'Job Sheet'!O14</f>
        <v/>
      </c>
      <c r="R11" s="77" t="str">
        <f>'Job Sheet'!P14</f>
        <v/>
      </c>
      <c r="S11" s="77" t="str">
        <f>'Job Sheet'!Q14</f>
        <v/>
      </c>
      <c r="T11" s="77" t="str">
        <f>'Job Sheet'!U14</f>
        <v/>
      </c>
      <c r="U11" s="77" t="str">
        <f>'Job Sheet'!V14</f>
        <v/>
      </c>
    </row>
    <row r="12" spans="1:21" s="30" customFormat="1" ht="60" customHeight="1">
      <c r="A12" s="77" t="str">
        <f>IF(Data!AV15="","",'Job Sheet'!A15)</f>
        <v/>
      </c>
      <c r="B12" s="77" t="str">
        <f>IF(Data!AV15="","",'Job Sheet'!X15)</f>
        <v/>
      </c>
      <c r="C12" s="77" t="str">
        <f>IF(Data!AV15="","",'Job Sheet'!Y15)</f>
        <v/>
      </c>
      <c r="D12" s="77" t="str">
        <f>IF(Data!AV15="","",'Job Sheet'!B15)</f>
        <v/>
      </c>
      <c r="E12" s="77" t="str">
        <f>IF(Data!AV15="","",'Job Sheet'!S15)</f>
        <v/>
      </c>
      <c r="F12" s="77" t="str">
        <f>IF(Data!AV15="","",'Job Sheet'!T15)</f>
        <v/>
      </c>
      <c r="G12" s="77" t="str">
        <f>'Job Sheet'!E15</f>
        <v/>
      </c>
      <c r="H12" s="77" t="str">
        <f>'Job Sheet'!F15</f>
        <v/>
      </c>
      <c r="I12" s="77" t="str">
        <f>'Job Sheet'!G15</f>
        <v/>
      </c>
      <c r="J12" s="77" t="str">
        <f>'Job Sheet'!H15</f>
        <v/>
      </c>
      <c r="K12" s="77" t="str">
        <f>'Job Sheet'!I15</f>
        <v/>
      </c>
      <c r="L12" s="77" t="str">
        <f>'Job Sheet'!J15</f>
        <v/>
      </c>
      <c r="M12" s="77" t="str">
        <f>'Job Sheet'!K15</f>
        <v/>
      </c>
      <c r="N12" s="77" t="str">
        <f>'Job Sheet'!L15</f>
        <v/>
      </c>
      <c r="O12" s="77" t="str">
        <f>'Job Sheet'!M15</f>
        <v/>
      </c>
      <c r="P12" s="77" t="str">
        <f>'Job Sheet'!N15</f>
        <v/>
      </c>
      <c r="Q12" s="77" t="str">
        <f>'Job Sheet'!O15</f>
        <v/>
      </c>
      <c r="R12" s="77" t="str">
        <f>'Job Sheet'!P15</f>
        <v/>
      </c>
      <c r="S12" s="77" t="str">
        <f>'Job Sheet'!Q15</f>
        <v/>
      </c>
      <c r="T12" s="77" t="str">
        <f>'Job Sheet'!U15</f>
        <v/>
      </c>
      <c r="U12" s="77" t="str">
        <f>'Job Sheet'!V15</f>
        <v/>
      </c>
    </row>
    <row r="13" spans="1:21" s="30" customFormat="1" ht="60" customHeight="1">
      <c r="A13" s="77" t="str">
        <f>IF(Data!AV16="","",'Job Sheet'!A16)</f>
        <v/>
      </c>
      <c r="B13" s="77" t="str">
        <f>IF(Data!AV16="","",'Job Sheet'!X16)</f>
        <v/>
      </c>
      <c r="C13" s="77" t="str">
        <f>IF(Data!AV16="","",'Job Sheet'!Y16)</f>
        <v/>
      </c>
      <c r="D13" s="77" t="str">
        <f>IF(Data!AV16="","",'Job Sheet'!B16)</f>
        <v/>
      </c>
      <c r="E13" s="77" t="str">
        <f>IF(Data!AV16="","",'Job Sheet'!S16)</f>
        <v/>
      </c>
      <c r="F13" s="77" t="str">
        <f>IF(Data!AV16="","",'Job Sheet'!T16)</f>
        <v/>
      </c>
      <c r="G13" s="77" t="str">
        <f>'Job Sheet'!E16</f>
        <v/>
      </c>
      <c r="H13" s="77" t="str">
        <f>'Job Sheet'!F16</f>
        <v/>
      </c>
      <c r="I13" s="77" t="str">
        <f>'Job Sheet'!G16</f>
        <v/>
      </c>
      <c r="J13" s="77" t="str">
        <f>'Job Sheet'!H16</f>
        <v/>
      </c>
      <c r="K13" s="77" t="str">
        <f>'Job Sheet'!I16</f>
        <v/>
      </c>
      <c r="L13" s="77" t="str">
        <f>'Job Sheet'!J16</f>
        <v/>
      </c>
      <c r="M13" s="77" t="str">
        <f>'Job Sheet'!K16</f>
        <v/>
      </c>
      <c r="N13" s="77" t="str">
        <f>'Job Sheet'!L16</f>
        <v/>
      </c>
      <c r="O13" s="77" t="str">
        <f>'Job Sheet'!M16</f>
        <v/>
      </c>
      <c r="P13" s="77" t="str">
        <f>'Job Sheet'!N16</f>
        <v/>
      </c>
      <c r="Q13" s="77" t="str">
        <f>'Job Sheet'!O16</f>
        <v/>
      </c>
      <c r="R13" s="77" t="str">
        <f>'Job Sheet'!P16</f>
        <v/>
      </c>
      <c r="S13" s="77" t="str">
        <f>'Job Sheet'!Q16</f>
        <v/>
      </c>
      <c r="T13" s="77" t="str">
        <f>'Job Sheet'!U16</f>
        <v/>
      </c>
      <c r="U13" s="77" t="str">
        <f>'Job Sheet'!V16</f>
        <v/>
      </c>
    </row>
    <row r="14" spans="1:21" s="30" customFormat="1" ht="60" customHeight="1">
      <c r="A14" s="77" t="str">
        <f>IF(Data!AV17="","",'Job Sheet'!A17)</f>
        <v/>
      </c>
      <c r="B14" s="77" t="str">
        <f>IF(Data!AV17="","",'Job Sheet'!X17)</f>
        <v/>
      </c>
      <c r="C14" s="77" t="str">
        <f>IF(Data!AV17="","",'Job Sheet'!Y17)</f>
        <v/>
      </c>
      <c r="D14" s="77" t="str">
        <f>IF(Data!AV17="","",'Job Sheet'!B17)</f>
        <v/>
      </c>
      <c r="E14" s="77" t="str">
        <f>IF(Data!AV17="","",'Job Sheet'!S17)</f>
        <v/>
      </c>
      <c r="F14" s="77" t="str">
        <f>IF(Data!AV17="","",'Job Sheet'!T17)</f>
        <v/>
      </c>
      <c r="G14" s="77" t="str">
        <f>'Job Sheet'!E17</f>
        <v/>
      </c>
      <c r="H14" s="77" t="str">
        <f>'Job Sheet'!F17</f>
        <v/>
      </c>
      <c r="I14" s="77" t="str">
        <f>'Job Sheet'!G17</f>
        <v/>
      </c>
      <c r="J14" s="77" t="str">
        <f>'Job Sheet'!H17</f>
        <v/>
      </c>
      <c r="K14" s="77" t="str">
        <f>'Job Sheet'!I17</f>
        <v/>
      </c>
      <c r="L14" s="77" t="str">
        <f>'Job Sheet'!J17</f>
        <v/>
      </c>
      <c r="M14" s="77" t="str">
        <f>'Job Sheet'!K17</f>
        <v/>
      </c>
      <c r="N14" s="77" t="str">
        <f>'Job Sheet'!L17</f>
        <v/>
      </c>
      <c r="O14" s="77" t="str">
        <f>'Job Sheet'!M17</f>
        <v/>
      </c>
      <c r="P14" s="77" t="str">
        <f>'Job Sheet'!N17</f>
        <v/>
      </c>
      <c r="Q14" s="77" t="str">
        <f>'Job Sheet'!O17</f>
        <v/>
      </c>
      <c r="R14" s="77" t="str">
        <f>'Job Sheet'!P17</f>
        <v/>
      </c>
      <c r="S14" s="77" t="str">
        <f>'Job Sheet'!Q17</f>
        <v/>
      </c>
      <c r="T14" s="77" t="str">
        <f>'Job Sheet'!U17</f>
        <v/>
      </c>
      <c r="U14" s="77" t="str">
        <f>'Job Sheet'!V17</f>
        <v/>
      </c>
    </row>
    <row r="15" spans="1:21" s="30" customFormat="1" ht="60" customHeight="1">
      <c r="A15" s="77" t="str">
        <f>IF(Data!AV18="","",'Job Sheet'!A18)</f>
        <v/>
      </c>
      <c r="B15" s="77" t="str">
        <f>IF(Data!AV18="","",'Job Sheet'!X18)</f>
        <v/>
      </c>
      <c r="C15" s="77" t="str">
        <f>IF(Data!AV18="","",'Job Sheet'!Y18)</f>
        <v/>
      </c>
      <c r="D15" s="77" t="str">
        <f>IF(Data!AV18="","",'Job Sheet'!B18)</f>
        <v/>
      </c>
      <c r="E15" s="77" t="str">
        <f>IF(Data!AV18="","",'Job Sheet'!S18)</f>
        <v/>
      </c>
      <c r="F15" s="77" t="str">
        <f>IF(Data!AV18="","",'Job Sheet'!T18)</f>
        <v/>
      </c>
      <c r="G15" s="77" t="str">
        <f>'Job Sheet'!E18</f>
        <v/>
      </c>
      <c r="H15" s="77" t="str">
        <f>'Job Sheet'!F18</f>
        <v/>
      </c>
      <c r="I15" s="77" t="str">
        <f>'Job Sheet'!G18</f>
        <v/>
      </c>
      <c r="J15" s="77" t="str">
        <f>'Job Sheet'!H18</f>
        <v/>
      </c>
      <c r="K15" s="77" t="str">
        <f>'Job Sheet'!I18</f>
        <v/>
      </c>
      <c r="L15" s="77" t="str">
        <f>'Job Sheet'!J18</f>
        <v/>
      </c>
      <c r="M15" s="77" t="str">
        <f>'Job Sheet'!K18</f>
        <v/>
      </c>
      <c r="N15" s="77" t="str">
        <f>'Job Sheet'!L18</f>
        <v/>
      </c>
      <c r="O15" s="77" t="str">
        <f>'Job Sheet'!M18</f>
        <v/>
      </c>
      <c r="P15" s="77" t="str">
        <f>'Job Sheet'!N18</f>
        <v/>
      </c>
      <c r="Q15" s="77" t="str">
        <f>'Job Sheet'!O18</f>
        <v/>
      </c>
      <c r="R15" s="77" t="str">
        <f>'Job Sheet'!P18</f>
        <v/>
      </c>
      <c r="S15" s="77" t="str">
        <f>'Job Sheet'!Q18</f>
        <v/>
      </c>
      <c r="T15" s="77" t="str">
        <f>'Job Sheet'!U18</f>
        <v/>
      </c>
      <c r="U15" s="77" t="str">
        <f>'Job Sheet'!V18</f>
        <v/>
      </c>
    </row>
    <row r="16" spans="1:21" s="30" customFormat="1" ht="60" customHeight="1">
      <c r="A16" s="77" t="str">
        <f>IF(Data!AV19="","",'Job Sheet'!A19)</f>
        <v/>
      </c>
      <c r="B16" s="77" t="str">
        <f>IF(Data!AV19="","",'Job Sheet'!X19)</f>
        <v/>
      </c>
      <c r="C16" s="77" t="str">
        <f>IF(Data!AV19="","",'Job Sheet'!Y19)</f>
        <v/>
      </c>
      <c r="D16" s="77" t="str">
        <f>IF(Data!AV19="","",'Job Sheet'!B19)</f>
        <v/>
      </c>
      <c r="E16" s="77" t="str">
        <f>IF(Data!AV19="","",'Job Sheet'!S19)</f>
        <v/>
      </c>
      <c r="F16" s="77" t="str">
        <f>IF(Data!AV19="","",'Job Sheet'!T19)</f>
        <v/>
      </c>
      <c r="G16" s="77" t="str">
        <f>'Job Sheet'!E19</f>
        <v/>
      </c>
      <c r="H16" s="77" t="str">
        <f>'Job Sheet'!F19</f>
        <v/>
      </c>
      <c r="I16" s="77" t="str">
        <f>'Job Sheet'!G19</f>
        <v/>
      </c>
      <c r="J16" s="77" t="str">
        <f>'Job Sheet'!H19</f>
        <v/>
      </c>
      <c r="K16" s="77" t="str">
        <f>'Job Sheet'!I19</f>
        <v/>
      </c>
      <c r="L16" s="77" t="str">
        <f>'Job Sheet'!J19</f>
        <v/>
      </c>
      <c r="M16" s="77" t="str">
        <f>'Job Sheet'!K19</f>
        <v/>
      </c>
      <c r="N16" s="77" t="str">
        <f>'Job Sheet'!L19</f>
        <v/>
      </c>
      <c r="O16" s="77" t="str">
        <f>'Job Sheet'!M19</f>
        <v/>
      </c>
      <c r="P16" s="77" t="str">
        <f>'Job Sheet'!N19</f>
        <v/>
      </c>
      <c r="Q16" s="77" t="str">
        <f>'Job Sheet'!O19</f>
        <v/>
      </c>
      <c r="R16" s="77" t="str">
        <f>'Job Sheet'!P19</f>
        <v/>
      </c>
      <c r="S16" s="77" t="str">
        <f>'Job Sheet'!Q19</f>
        <v/>
      </c>
      <c r="T16" s="77" t="str">
        <f>'Job Sheet'!U19</f>
        <v/>
      </c>
      <c r="U16" s="77" t="str">
        <f>'Job Sheet'!V19</f>
        <v/>
      </c>
    </row>
    <row r="17" spans="1:21" ht="60" customHeight="1">
      <c r="A17" s="77" t="str">
        <f>IF(Data!AV20="","",'Job Sheet'!A20)</f>
        <v/>
      </c>
      <c r="B17" s="77" t="str">
        <f>IF(Data!AV20="","",'Job Sheet'!X20)</f>
        <v/>
      </c>
      <c r="C17" s="77" t="str">
        <f>IF(Data!AV20="","",'Job Sheet'!Y20)</f>
        <v/>
      </c>
      <c r="D17" s="77" t="str">
        <f>IF(Data!AV20="","",'Job Sheet'!B20)</f>
        <v/>
      </c>
      <c r="E17" s="77" t="str">
        <f>IF(Data!AV20="","",'Job Sheet'!S20)</f>
        <v/>
      </c>
      <c r="F17" s="77" t="str">
        <f>IF(Data!AV20="","",'Job Sheet'!T20)</f>
        <v/>
      </c>
      <c r="G17" s="77" t="str">
        <f>'Job Sheet'!E20</f>
        <v/>
      </c>
      <c r="H17" s="77" t="str">
        <f>'Job Sheet'!F20</f>
        <v/>
      </c>
      <c r="I17" s="77" t="str">
        <f>'Job Sheet'!G20</f>
        <v/>
      </c>
      <c r="J17" s="77" t="str">
        <f>'Job Sheet'!H20</f>
        <v/>
      </c>
      <c r="K17" s="77" t="str">
        <f>'Job Sheet'!I20</f>
        <v/>
      </c>
      <c r="L17" s="77" t="str">
        <f>'Job Sheet'!J20</f>
        <v/>
      </c>
      <c r="M17" s="77" t="str">
        <f>'Job Sheet'!K20</f>
        <v/>
      </c>
      <c r="N17" s="77" t="str">
        <f>'Job Sheet'!L20</f>
        <v/>
      </c>
      <c r="O17" s="77" t="str">
        <f>'Job Sheet'!M20</f>
        <v/>
      </c>
      <c r="P17" s="77" t="str">
        <f>'Job Sheet'!N20</f>
        <v/>
      </c>
      <c r="Q17" s="77" t="str">
        <f>'Job Sheet'!O20</f>
        <v/>
      </c>
      <c r="R17" s="77" t="str">
        <f>'Job Sheet'!P20</f>
        <v/>
      </c>
      <c r="S17" s="77" t="str">
        <f>'Job Sheet'!Q20</f>
        <v/>
      </c>
      <c r="T17" s="77" t="str">
        <f>'Job Sheet'!U20</f>
        <v/>
      </c>
      <c r="U17" s="77" t="str">
        <f>'Job Sheet'!V20</f>
        <v/>
      </c>
    </row>
    <row r="18" ht="60" customHeight="1"/>
    <row r="19" ht="60" customHeight="1"/>
    <row r="20" ht="60" customHeight="1"/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</sheetData>
  <mergeCells count="36">
    <mergeCell ref="S5:S7"/>
    <mergeCell ref="N5:N7"/>
    <mergeCell ref="O5:O7"/>
    <mergeCell ref="P5:P7"/>
    <mergeCell ref="Q5:Q7"/>
    <mergeCell ref="R5:R7"/>
    <mergeCell ref="A5:A7"/>
    <mergeCell ref="D5:D7"/>
    <mergeCell ref="E5:E7"/>
    <mergeCell ref="F5:F7"/>
    <mergeCell ref="G5:G7"/>
    <mergeCell ref="H5:H7"/>
    <mergeCell ref="A1:U1"/>
    <mergeCell ref="T5:T7"/>
    <mergeCell ref="U5:U7"/>
    <mergeCell ref="J5:J7"/>
    <mergeCell ref="K5:K7"/>
    <mergeCell ref="L5:L7"/>
    <mergeCell ref="M5:M7"/>
    <mergeCell ref="B5:B7"/>
    <mergeCell ref="C5:C7"/>
    <mergeCell ref="G4:I4"/>
    <mergeCell ref="I5:I7"/>
    <mergeCell ref="A3:B3"/>
    <mergeCell ref="C3:F3"/>
    <mergeCell ref="G3:I3"/>
    <mergeCell ref="J3:O3"/>
    <mergeCell ref="P2:U2"/>
    <mergeCell ref="A4:B4"/>
    <mergeCell ref="C4:F4"/>
    <mergeCell ref="J4:O4"/>
    <mergeCell ref="A2:B2"/>
    <mergeCell ref="C2:F2"/>
    <mergeCell ref="G2:I2"/>
    <mergeCell ref="J2:O2"/>
    <mergeCell ref="P3:U4"/>
  </mergeCells>
  <pageMargins left="0.731496062992128" right="0.731496062992128" top="0.75" bottom="0.75" header="0.3" footer="0.3"/>
  <pageSetup fitToHeight="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0D6B8-8981-4449-BDDD-2859BE62F48D}">
  <sheetPr codeName="Sheet5"/>
  <dimension ref="A2:EB12"/>
  <sheetViews>
    <sheetView workbookViewId="0" topLeftCell="A1">
      <selection pane="topLeft" activeCell="AR1" sqref="AR1:AR1048576"/>
    </sheetView>
  </sheetViews>
  <sheetFormatPr defaultColWidth="9.109375" defaultRowHeight="13.5"/>
  <cols>
    <col min="4" max="4" width="7.57142857142857" style="15" customWidth="1"/>
    <col min="5" max="5" width="5.28571428571429" style="15" customWidth="1"/>
    <col min="6" max="6" width="7.57142857142857" style="15" customWidth="1"/>
    <col min="7" max="7" width="21" style="15" customWidth="1"/>
    <col min="8" max="8" width="28.1428571428571" style="15" bestFit="1" customWidth="1"/>
    <col min="9" max="9" width="4" style="15" customWidth="1"/>
    <col min="10" max="10" width="4.14285714285714" style="66" customWidth="1"/>
    <col min="11" max="11" width="4.14285714285714" style="15" customWidth="1"/>
    <col min="12" max="12" width="4.14285714285714" style="67" customWidth="1"/>
    <col min="13" max="13" width="4.14285714285714" style="15" customWidth="1"/>
    <col min="14" max="16" width="4.14285714285714" style="66" customWidth="1"/>
    <col min="17" max="26" width="4.14285714285714" style="15" customWidth="1"/>
    <col min="27" max="27" width="4.28571428571429" style="15" customWidth="1"/>
    <col min="28" max="30" width="4.14285714285714" style="15" customWidth="1"/>
    <col min="31" max="31" width="4.28571428571429" style="15" bestFit="1" customWidth="1"/>
    <col min="32" max="38" width="4.14285714285714" style="15" customWidth="1"/>
    <col min="39" max="39" width="5.14285714285714" style="15" bestFit="1" customWidth="1"/>
    <col min="40" max="43" width="4.14285714285714" style="15" customWidth="1"/>
    <col min="44" max="44" width="4.28571428571429" style="15" bestFit="1" customWidth="1"/>
    <col min="45" max="50" width="4.14285714285714" style="15" customWidth="1"/>
    <col min="51" max="51" width="4.57142857142857" style="15" customWidth="1"/>
    <col min="52" max="132" width="4.14285714285714" style="15" customWidth="1"/>
  </cols>
  <sheetData>
    <row r="1" ht="8.25" customHeight="1"/>
    <row r="2" spans="1:132" ht="173.25" customHeight="1">
      <c r="A2" s="94" t="s">
        <v>309</v>
      </c>
      <c r="B2" s="94" t="s">
        <v>310</v>
      </c>
      <c r="C2" s="94" t="s">
        <v>311</v>
      </c>
      <c r="D2" s="64" t="s">
        <v>233</v>
      </c>
      <c r="E2" s="64" t="s">
        <v>234</v>
      </c>
      <c r="F2" s="64" t="s">
        <v>235</v>
      </c>
      <c r="G2" s="65" t="s">
        <v>236</v>
      </c>
      <c r="H2" s="65" t="s">
        <v>237</v>
      </c>
      <c r="I2" s="68" t="s">
        <v>238</v>
      </c>
      <c r="J2" s="68" t="s">
        <v>239</v>
      </c>
      <c r="K2" s="68" t="s">
        <v>240</v>
      </c>
      <c r="L2" s="68" t="s">
        <v>241</v>
      </c>
      <c r="M2" s="68" t="s">
        <v>242</v>
      </c>
      <c r="N2" s="68" t="s">
        <v>243</v>
      </c>
      <c r="O2" s="69" t="s">
        <v>244</v>
      </c>
      <c r="P2" s="69" t="s">
        <v>245</v>
      </c>
      <c r="Q2" s="69" t="s">
        <v>246</v>
      </c>
      <c r="R2" s="69" t="s">
        <v>247</v>
      </c>
      <c r="S2" s="69" t="s">
        <v>248</v>
      </c>
      <c r="T2" s="69" t="s">
        <v>249</v>
      </c>
      <c r="U2" s="69" t="s">
        <v>250</v>
      </c>
      <c r="V2" s="69" t="s">
        <v>251</v>
      </c>
      <c r="W2" s="69" t="s">
        <v>252</v>
      </c>
      <c r="X2" s="68" t="s">
        <v>253</v>
      </c>
      <c r="Y2" s="68" t="s">
        <v>254</v>
      </c>
      <c r="Z2" s="68" t="s">
        <v>255</v>
      </c>
      <c r="AA2" s="64" t="s">
        <v>256</v>
      </c>
      <c r="AB2" s="64" t="s">
        <v>257</v>
      </c>
      <c r="AC2" s="64" t="s">
        <v>258</v>
      </c>
      <c r="AD2" s="64" t="s">
        <v>259</v>
      </c>
      <c r="AE2" s="64" t="s">
        <v>261</v>
      </c>
      <c r="AF2" s="64" t="s">
        <v>262</v>
      </c>
      <c r="AG2" s="64" t="s">
        <v>263</v>
      </c>
      <c r="AH2" s="64" t="s">
        <v>270</v>
      </c>
      <c r="AI2" s="64" t="s">
        <v>271</v>
      </c>
      <c r="AJ2" s="64" t="s">
        <v>272</v>
      </c>
      <c r="AK2" s="64" t="s">
        <v>273</v>
      </c>
      <c r="AL2" s="64" t="s">
        <v>264</v>
      </c>
      <c r="AM2" s="64" t="s">
        <v>265</v>
      </c>
      <c r="AN2" s="64" t="s">
        <v>266</v>
      </c>
      <c r="AO2" s="64" t="s">
        <v>267</v>
      </c>
      <c r="AP2" s="64" t="s">
        <v>268</v>
      </c>
      <c r="AQ2" s="64" t="s">
        <v>269</v>
      </c>
      <c r="AR2" s="64" t="s">
        <v>260</v>
      </c>
      <c r="AS2" s="64" t="s">
        <v>274</v>
      </c>
      <c r="AT2" s="64" t="s">
        <v>275</v>
      </c>
      <c r="AU2" s="64" t="s">
        <v>276</v>
      </c>
      <c r="AV2" s="64" t="s">
        <v>277</v>
      </c>
      <c r="AW2" s="64" t="s">
        <v>278</v>
      </c>
      <c r="AX2" s="64" t="s">
        <v>279</v>
      </c>
      <c r="AY2" s="64" t="s">
        <v>281</v>
      </c>
      <c r="AZ2" s="64" t="s">
        <v>280</v>
      </c>
      <c r="BA2" s="64" t="s">
        <v>291</v>
      </c>
      <c r="BB2" s="64" t="s">
        <v>292</v>
      </c>
      <c r="BC2" s="64" t="s">
        <v>282</v>
      </c>
      <c r="BD2" s="64" t="s">
        <v>283</v>
      </c>
      <c r="BE2" s="64" t="s">
        <v>231</v>
      </c>
      <c r="BF2" s="64" t="s">
        <v>293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</row>
    <row r="3" spans="4:58" ht="13.2" customHeight="1">
      <c r="D3" s="15" t="str">
        <f>IF('Tube Cutting'!C11="","",CONCATENATE(Data!BC$5,".",Data!BD$5))</f>
        <v>10940.A</v>
      </c>
      <c r="E3" s="15">
        <f>IF(D3="","",Data!AW11)</f>
        <v>1</v>
      </c>
      <c r="F3" s="15" t="str">
        <f>IF(D3="","",Data!AV11)</f>
        <v>3b2f3759-66dc-4e74-af83-b7477df3cca2</v>
      </c>
      <c r="G3" s="15" t="str">
        <f>IF(D3="","",Data!BF$5)</f>
        <v>Mcleod, Eric</v>
      </c>
      <c r="H3" s="15" t="str">
        <f>IF(D3="","",Data!AX$5)</f>
        <v>Retractable Flyscreen </v>
      </c>
      <c r="I3" s="15" t="str">
        <f>IF('Job Sheet'!AB11="1000 x 2050",'Job Sheet'!AA11,"")</f>
        <v/>
      </c>
      <c r="J3" s="66" t="str">
        <f>IF('Job Sheet'!AB11="1000 x 2350",'Job Sheet'!AA11,"")</f>
        <v/>
      </c>
      <c r="K3" s="66" t="str">
        <f>IF('Job Sheet'!AB11="1000 x 2750",'Job Sheet'!AA11,"")</f>
        <v/>
      </c>
      <c r="L3" s="67" t="str">
        <f>IF('Job Sheet'!AB11="1300 x 2050",'Job Sheet'!AA11,"")</f>
        <v/>
      </c>
      <c r="M3" s="67" t="str">
        <f>IF('Job Sheet'!AB11="1300 x 2350",'Job Sheet'!AA11,"")</f>
        <v/>
      </c>
      <c r="N3" s="66" t="str">
        <f>IF('Job Sheet'!AB11="1300 x 2750",'Job Sheet'!AA11,"")</f>
        <v/>
      </c>
      <c r="O3" s="66" t="str">
        <f>IF('Job Sheet'!AB11="1800 x 2050",'Job Sheet'!AA11,"")</f>
        <v/>
      </c>
      <c r="P3" s="66" t="str">
        <f>IF('Job Sheet'!AB11="1800 x 2350",'Job Sheet'!AA11,"")</f>
        <v/>
      </c>
      <c r="Q3" s="15">
        <f>IF('Job Sheet'!AB11="1800 x 2750",'Job Sheet'!AA11,"")</f>
        <v>1</v>
      </c>
      <c r="R3" s="15" t="str">
        <f>IF('Job Sheet'!AB11="2500 x 2050",'Job Sheet'!AA11,"")</f>
        <v/>
      </c>
      <c r="S3" s="15" t="str">
        <f>IF('Job Sheet'!AB11="2500 x 2350",'Job Sheet'!AA11,"")</f>
        <v/>
      </c>
      <c r="T3" s="15" t="str">
        <f>IF('Job Sheet'!AB11="2500 x 2750",'Job Sheet'!AA11,"")</f>
        <v/>
      </c>
      <c r="U3" s="15" t="str">
        <f>IF('Job Sheet'!AB11="2800 x 2050",'Job Sheet'!AA11,"")</f>
        <v/>
      </c>
      <c r="V3" s="15" t="str">
        <f>IF('Job Sheet'!AB11="2800 x 2350",'Job Sheet'!AA11,"")</f>
        <v/>
      </c>
      <c r="W3" s="15" t="str">
        <f>IF('Job Sheet'!AB11="2800 x 2750",'Job Sheet'!AA11,"")</f>
        <v/>
      </c>
      <c r="X3" s="15" t="str">
        <f>IF('Job Sheet'!AB11="3500 x 2050",'Job Sheet'!AA11,"")</f>
        <v/>
      </c>
      <c r="Y3" s="15" t="str">
        <f>IF('Job Sheet'!AB11="3500 x 2350",'Job Sheet'!AA11,"")</f>
        <v/>
      </c>
      <c r="Z3" s="15" t="str">
        <f>IF('Job Sheet'!AB11="3500 x 2750",'Job Sheet'!AA11,"")</f>
        <v/>
      </c>
      <c r="AA3" s="15" t="str">
        <f>IF(AND('Tube Cutting'!F11="White",'Job Sheet'!AA11=2),'Job Sheet'!AD11*2,IF('Tube Cutting'!F11="White",'Job Sheet'!AD11,""))</f>
        <v/>
      </c>
      <c r="AB3" s="15">
        <f>IF(AND('Tube Cutting'!F11="Black",'Job Sheet'!AA11=2),'Job Sheet'!AD11*2,IF('Tube Cutting'!F11="Black",'Job Sheet'!AD11,""))</f>
        <v>2437</v>
      </c>
      <c r="AC3" s="15" t="str">
        <f>IF('Tube Cutting'!F11="White",('Job Sheet'!AE11)*2,"")</f>
        <v/>
      </c>
      <c r="AD3" s="15">
        <f>IF('Tube Cutting'!F11="Black",('Job Sheet'!AE11)*2,"")</f>
        <v>4790</v>
      </c>
      <c r="AE3" s="15">
        <f>IF(D3="","",IF('Job Sheet'!AA11=2,"",'Job Sheet'!AE11))</f>
        <v>2395</v>
      </c>
      <c r="AF3" s="15" t="str">
        <f>IF('Tube Cutting'!F11="White",'Tube Cutting'!L11,"")</f>
        <v/>
      </c>
      <c r="AG3" s="15">
        <f>IF('Tube Cutting'!F11="Black",'Tube Cutting'!L11,"")</f>
        <v>1260</v>
      </c>
      <c r="AH3" s="15" t="str">
        <f>IF(D3="","",IF('Tube Cutting'!F11="Black","",IF(AND('Tube Cutting'!J11="4mm",(OR('Job Sheet'!J11="Centre Opening",'Job Sheet'!J11="Centre Opening Off Set"))),'Job Sheet'!C11-100,IF('Tube Cutting'!J11="4mm",'Job Sheet'!C11-50,""))))</f>
        <v/>
      </c>
      <c r="AI3" s="15">
        <f>IF(D3="","",IF('Tube Cutting'!F11="White","",IF(AND('Tube Cutting'!J11="4mm",(OR('Job Sheet'!J11="Centre Opening",'Job Sheet'!J11="Centre Opening Off Set"))),'Job Sheet'!C11-100,IF('Tube Cutting'!J11="4mm",'Job Sheet'!C11-50,""))))</f>
        <v>1260</v>
      </c>
      <c r="AJ3" s="15" t="str">
        <f>IF(D3="","",IF('Tube Cutting'!F11="Black","",IF(AND('Tube Cutting'!J11="8mm",(OR('Job Sheet'!J11="Centre Opening",'Job Sheet'!J11="Centre Opening Off Set"))),'Job Sheet'!C11-100,IF('Tube Cutting'!J11="8mm",'Job Sheet'!C11-50,""))))</f>
        <v/>
      </c>
      <c r="AK3" s="15" t="str">
        <f>IF(D3="","",IF('Tube Cutting'!F11="White","",IF(AND('Tube Cutting'!J11="8mm",(OR('Job Sheet'!J11="Centre Opening",'Job Sheet'!J11="Centre Opening Off Set"))),'Job Sheet'!C11-100,IF('Tube Cutting'!J11="8mm",'Job Sheet'!C11-50,""))))</f>
        <v/>
      </c>
      <c r="AL3" s="66" t="str">
        <f t="array" ref="AL3">IF(SUMPRODUCT(--(LEN('Job Sheet'!AG11:AJ11)&gt;0))=0,"",IF('Tube Cutting'!F11="White",SUM('Job Sheet'!AG11:AJ11),""))</f>
        <v/>
      </c>
      <c r="AM3" s="66">
        <f t="array" ref="AM3">IF(SUMPRODUCT(--(LEN('Job Sheet'!AG11:AJ11)&gt;0))=0,"",IF('Tube Cutting'!F11="Black",SUM('Job Sheet'!AG11:AJ11),""))</f>
        <v>6220</v>
      </c>
      <c r="AN3" s="66" t="str">
        <f t="array" ref="AN3">IF(SUMPRODUCT(--(LEN('Job Sheet'!AL11:AO11)&gt;0))=0,"",IF('Tube Cutting'!F11="White",SUM('Job Sheet'!AL11:AO11),""))</f>
        <v/>
      </c>
      <c r="AO3" s="66" t="str">
        <f t="array" ref="AO3">IF(SUMPRODUCT(--(LEN('Job Sheet'!AL11:AO11)&gt;0))=0,"",IF('Tube Cutting'!F11="Black",SUM('Job Sheet'!AL11:AO11),""))</f>
        <v/>
      </c>
      <c r="AP3" s="66" t="str">
        <f t="array" ref="AP3">IF(SUMPRODUCT(--(LEN('Job Sheet'!AQ11:AT11)&gt;0))=0,"",IF('Tube Cutting'!F11="White",SUM('Job Sheet'!AQ11:AT11),""))</f>
        <v/>
      </c>
      <c r="AQ3" s="66" t="str">
        <f t="array" ref="AQ3">IF(SUMPRODUCT(--(LEN('Job Sheet'!AQ11:AT11)&gt;0))=0,"",IF('Tube Cutting'!F11="Black",SUM('Job Sheet'!AQ11:AT11),""))</f>
        <v/>
      </c>
      <c r="AR3" s="15">
        <f>IF(D3="","",'Job Sheet'!AE11*2)</f>
        <v>4790</v>
      </c>
      <c r="AS3" s="15" t="str">
        <f>IF('Tube Cutting'!F11="White",2,"")</f>
        <v/>
      </c>
      <c r="AT3" s="15">
        <f>IF('Tube Cutting'!F11="Black",2,"")</f>
        <v>2</v>
      </c>
      <c r="AU3" s="15" t="str">
        <f>IF('Tube Cutting'!F11="White",2,"")</f>
        <v/>
      </c>
      <c r="AV3" s="15">
        <f>IF('Tube Cutting'!F11="Black",2,"")</f>
        <v>2</v>
      </c>
      <c r="AW3" s="15" t="str">
        <f>IF('Tube Cutting'!F11="White",'Job Sheet'!AA11*2,"")</f>
        <v/>
      </c>
      <c r="AX3" s="15">
        <f>IF('Tube Cutting'!F11="Black",'Job Sheet'!AA11*2,"")</f>
        <v>2</v>
      </c>
      <c r="AY3" s="15">
        <f>IF(D3="","",'Tube Cutting'!L11)</f>
        <v>1260</v>
      </c>
      <c r="AZ3" s="66">
        <f>IF(D3="","",'Job Sheet'!C11-50)</f>
        <v>1260</v>
      </c>
      <c r="BA3" s="15" t="str">
        <f>IF(AND('Job Sheet'!I11="4mm",OR('Job Sheet'!J11="Centre Opening",'Job Sheet'!J11="Centre Opening Off Set")),1,"")</f>
        <v/>
      </c>
      <c r="BB3" s="15" t="str">
        <f>IF(AND('Job Sheet'!I11="8mm",OR('Job Sheet'!J11="Centre Opening",'Job Sheet'!J11="Centre Opening Off Set")),1,"")</f>
        <v/>
      </c>
      <c r="BC3" s="15">
        <f>IF(D3="","",Bagging!G11)</f>
        <v>2</v>
      </c>
      <c r="BD3" s="15">
        <f>IF(D3="","",Bagging!G11)</f>
        <v>2</v>
      </c>
      <c r="BE3" s="15">
        <f>IF(D3="","",Bagging!G11)</f>
        <v>2</v>
      </c>
      <c r="BF3" s="15" t="str">
        <f>IF(D3="","",Bagging!K11)</f>
        <v/>
      </c>
    </row>
    <row r="4" spans="4:58" ht="13.2" customHeight="1">
      <c r="D4" s="15" t="str">
        <f>IF('Tube Cutting'!C12="","",CONCATENATE(Data!BC$5,".",Data!BD$5))</f>
        <v>10940.A</v>
      </c>
      <c r="E4" s="15">
        <f>IF(D4="","",Data!AW12)</f>
        <v>2</v>
      </c>
      <c r="F4" s="15" t="str">
        <f>IF(D4="","",Data!AV12)</f>
        <v>674195d7-af38-4ded-abc9-abb26b7fb79e</v>
      </c>
      <c r="G4" s="15" t="str">
        <f>IF(D4="","",Data!BF$5)</f>
        <v>Mcleod, Eric</v>
      </c>
      <c r="H4" s="15" t="str">
        <f>IF(D4="","",Data!AX$5)</f>
        <v>Retractable Flyscreen </v>
      </c>
      <c r="I4" s="15" t="str">
        <f>IF('Job Sheet'!AB12="1000 x 2050",'Job Sheet'!AA12,"")</f>
        <v/>
      </c>
      <c r="J4" s="66" t="str">
        <f>IF('Job Sheet'!AB12="1000 x 2350",'Job Sheet'!AA12,"")</f>
        <v/>
      </c>
      <c r="K4" s="66" t="str">
        <f>IF('Job Sheet'!AB12="1000 x 2750",'Job Sheet'!AA12,"")</f>
        <v/>
      </c>
      <c r="L4" s="67" t="str">
        <f>IF('Job Sheet'!AB12="1300 x 2050",'Job Sheet'!AA12,"")</f>
        <v/>
      </c>
      <c r="M4" s="67" t="str">
        <f>IF('Job Sheet'!AB12="1300 x 2350",'Job Sheet'!AA12,"")</f>
        <v/>
      </c>
      <c r="N4" s="66">
        <f>IF('Job Sheet'!AB12="1300 x 2750",'Job Sheet'!AA12,"")</f>
        <v>1</v>
      </c>
      <c r="O4" s="66" t="str">
        <f>IF('Job Sheet'!AB12="1800 x 2050",'Job Sheet'!AA12,"")</f>
        <v/>
      </c>
      <c r="P4" s="66" t="str">
        <f>IF('Job Sheet'!AB12="1800 x 2350",'Job Sheet'!AA12,"")</f>
        <v/>
      </c>
      <c r="Q4" s="15" t="str">
        <f>IF('Job Sheet'!AB12="1800 x 2750",'Job Sheet'!AA12,"")</f>
        <v/>
      </c>
      <c r="R4" s="15" t="str">
        <f>IF('Job Sheet'!AB12="2500 x 2050",'Job Sheet'!AA12,"")</f>
        <v/>
      </c>
      <c r="S4" s="15" t="str">
        <f>IF('Job Sheet'!AB12="2500 x 2350",'Job Sheet'!AA12,"")</f>
        <v/>
      </c>
      <c r="T4" s="15" t="str">
        <f>IF('Job Sheet'!AB12="2500 x 2750",'Job Sheet'!AA12,"")</f>
        <v/>
      </c>
      <c r="U4" s="15" t="str">
        <f>IF('Job Sheet'!AB12="2800 x 2050",'Job Sheet'!AA12,"")</f>
        <v/>
      </c>
      <c r="V4" s="15" t="str">
        <f>IF('Job Sheet'!AB12="2800 x 2350",'Job Sheet'!AA12,"")</f>
        <v/>
      </c>
      <c r="W4" s="15" t="str">
        <f>IF('Job Sheet'!AB12="2800 x 2750",'Job Sheet'!AA12,"")</f>
        <v/>
      </c>
      <c r="X4" s="15" t="str">
        <f>IF('Job Sheet'!AB12="3500 x 2050",'Job Sheet'!AA12,"")</f>
        <v/>
      </c>
      <c r="Y4" s="15" t="str">
        <f>IF('Job Sheet'!AB12="3500 x 2350",'Job Sheet'!AA12,"")</f>
        <v/>
      </c>
      <c r="Z4" s="15" t="str">
        <f>IF('Job Sheet'!AB12="3500 x 2750",'Job Sheet'!AA12,"")</f>
        <v/>
      </c>
      <c r="AA4" s="15" t="str">
        <f>IF(AND('Tube Cutting'!F12="White",'Job Sheet'!AA12=2),'Job Sheet'!AD12*2,IF('Tube Cutting'!F12="White",'Job Sheet'!AD12,""))</f>
        <v/>
      </c>
      <c r="AB4" s="15">
        <f>IF(AND('Tube Cutting'!F12="Black",'Job Sheet'!AA12=2),'Job Sheet'!AD12*2,IF('Tube Cutting'!F12="Black",'Job Sheet'!AD12,""))</f>
        <v>2622</v>
      </c>
      <c r="AC4" s="15" t="str">
        <f>IF('Tube Cutting'!F12="White",('Job Sheet'!AE12)*2,"")</f>
        <v/>
      </c>
      <c r="AD4" s="15">
        <f>IF('Tube Cutting'!F12="Black",('Job Sheet'!AE12)*2,"")</f>
        <v>5160</v>
      </c>
      <c r="AE4" s="15">
        <f>IF(D4="","",IF('Job Sheet'!AA12=2,"",'Job Sheet'!AE12))</f>
        <v>2580</v>
      </c>
      <c r="AF4" s="15" t="str">
        <f>IF('Tube Cutting'!F12="White",'Tube Cutting'!L12,"")</f>
        <v/>
      </c>
      <c r="AG4" s="15">
        <f>IF('Tube Cutting'!F12="Black",'Tube Cutting'!L12,"")</f>
        <v>1230</v>
      </c>
      <c r="AH4" s="15" t="str">
        <f>IF(D4="","",IF('Tube Cutting'!F12="Black","",IF(AND('Tube Cutting'!J12="4mm",(OR('Job Sheet'!J12="Centre Opening",'Job Sheet'!J12="Centre Opening Off Set"))),'Job Sheet'!C12-100,IF('Tube Cutting'!J12="4mm",'Job Sheet'!C12-50,""))))</f>
        <v/>
      </c>
      <c r="AI4" s="15">
        <f>IF(D4="","",IF('Tube Cutting'!F12="White","",IF(AND('Tube Cutting'!J12="4mm",(OR('Job Sheet'!J12="Centre Opening",'Job Sheet'!J12="Centre Opening Off Set"))),'Job Sheet'!C12-100,IF('Tube Cutting'!J12="4mm",'Job Sheet'!C12-50,""))))</f>
        <v>1230</v>
      </c>
      <c r="AJ4" s="15" t="str">
        <f>IF(D4="","",IF('Tube Cutting'!F12="Black","",IF(AND('Tube Cutting'!J12="8mm",(OR('Job Sheet'!J12="Centre Opening",'Job Sheet'!J12="Centre Opening Off Set"))),'Job Sheet'!C12-100,IF('Tube Cutting'!J12="8mm",'Job Sheet'!C12-50,""))))</f>
        <v/>
      </c>
      <c r="AK4" s="15" t="str">
        <f>IF(D4="","",IF('Tube Cutting'!F12="White","",IF(AND('Tube Cutting'!J12="8mm",(OR('Job Sheet'!J12="Centre Opening",'Job Sheet'!J12="Centre Opening Off Set"))),'Job Sheet'!C12-100,IF('Tube Cutting'!J12="8mm",'Job Sheet'!C12-50,""))))</f>
        <v/>
      </c>
      <c r="AL4" s="66" t="str">
        <f t="array" ref="AL4">IF(SUMPRODUCT(--(LEN('Job Sheet'!AG12:AJ12)&gt;0))=0,"",IF('Tube Cutting'!F12="White",SUM('Job Sheet'!AG12:AJ12),""))</f>
        <v/>
      </c>
      <c r="AM4" s="66">
        <f t="array" ref="AM4">IF(SUMPRODUCT(--(LEN('Job Sheet'!AG12:AJ12)&gt;0))=0,"",IF('Tube Cutting'!F12="Black",SUM('Job Sheet'!AG12:AJ12),""))</f>
        <v>3920</v>
      </c>
      <c r="AN4" s="66" t="str">
        <f t="array" ref="AN4">IF(SUMPRODUCT(--(LEN('Job Sheet'!AL12:AO12)&gt;0))=0,"",IF('Tube Cutting'!F12="White",SUM('Job Sheet'!AL12:AO12),""))</f>
        <v/>
      </c>
      <c r="AO4" s="66" t="str">
        <f t="array" ref="AO4">IF(SUMPRODUCT(--(LEN('Job Sheet'!AL12:AO12)&gt;0))=0,"",IF('Tube Cutting'!F12="Black",SUM('Job Sheet'!AL12:AO12),""))</f>
        <v/>
      </c>
      <c r="AP4" s="66" t="str">
        <f t="array" ref="AP4">IF(SUMPRODUCT(--(LEN('Job Sheet'!AQ12:AT12)&gt;0))=0,"",IF('Tube Cutting'!F12="White",SUM('Job Sheet'!AQ12:AT12),""))</f>
        <v/>
      </c>
      <c r="AQ4" s="66" t="str">
        <f t="array" ref="AQ4">IF(SUMPRODUCT(--(LEN('Job Sheet'!AQ12:AT12)&gt;0))=0,"",IF('Tube Cutting'!F12="Black",SUM('Job Sheet'!AQ12:AT12),""))</f>
        <v/>
      </c>
      <c r="AR4" s="15">
        <f>IF(D4="","",'Job Sheet'!AE12*2)</f>
        <v>5160</v>
      </c>
      <c r="AS4" s="15" t="str">
        <f>IF('Tube Cutting'!F12="White",2,"")</f>
        <v/>
      </c>
      <c r="AT4" s="15">
        <f>IF('Tube Cutting'!F12="Black",2,"")</f>
        <v>2</v>
      </c>
      <c r="AU4" s="15" t="str">
        <f>IF('Tube Cutting'!F12="White",2,"")</f>
        <v/>
      </c>
      <c r="AV4" s="15">
        <f>IF('Tube Cutting'!F12="Black",2,"")</f>
        <v>2</v>
      </c>
      <c r="AW4" s="15" t="str">
        <f>IF('Tube Cutting'!F12="White",'Job Sheet'!AA12*2,"")</f>
        <v/>
      </c>
      <c r="AX4" s="15">
        <f>IF('Tube Cutting'!F12="Black",'Job Sheet'!AA12*2,"")</f>
        <v>2</v>
      </c>
      <c r="AY4" s="15">
        <f>IF(D4="","",'Tube Cutting'!L12)</f>
        <v>1230</v>
      </c>
      <c r="AZ4" s="66">
        <f>IF(D4="","",'Job Sheet'!C12-50)</f>
        <v>1230</v>
      </c>
      <c r="BA4" s="15" t="str">
        <f>IF(AND('Job Sheet'!I12="4mm",OR('Job Sheet'!J12="Centre Opening",'Job Sheet'!J12="Centre Opening Off Set")),1,"")</f>
        <v/>
      </c>
      <c r="BB4" s="15" t="str">
        <f>IF(AND('Job Sheet'!I12="8mm",OR('Job Sheet'!J12="Centre Opening",'Job Sheet'!J12="Centre Opening Off Set")),1,"")</f>
        <v/>
      </c>
      <c r="BC4" s="15">
        <f>IF(D4="","",Bagging!G12)</f>
        <v>2</v>
      </c>
      <c r="BD4" s="15">
        <f>IF(D4="","",Bagging!G12)</f>
        <v>2</v>
      </c>
      <c r="BE4" s="15">
        <f>IF(D4="","",Bagging!G12)</f>
        <v>2</v>
      </c>
      <c r="BF4" s="15" t="str">
        <f>IF(D4="","",Bagging!K12)</f>
        <v/>
      </c>
    </row>
    <row r="5" spans="4:58" ht="13.2" customHeight="1">
      <c r="D5" s="15" t="str">
        <f>IF('Tube Cutting'!C13="","",CONCATENATE(Data!BC$5,".",Data!BD$5))</f>
        <v>10940.A</v>
      </c>
      <c r="E5" s="15">
        <f>IF(D5="","",Data!AW13)</f>
        <v>3</v>
      </c>
      <c r="F5" s="15" t="str">
        <f>IF(D5="","",Data!AV13)</f>
        <v>dc5a1e21-2268-4330-961c-09a6eceef770</v>
      </c>
      <c r="G5" s="15" t="str">
        <f>IF(D5="","",Data!BF$5)</f>
        <v>Mcleod, Eric</v>
      </c>
      <c r="H5" s="15" t="str">
        <f>IF(D5="","",Data!AX$5)</f>
        <v>Retractable Flyscreen </v>
      </c>
      <c r="I5" s="15" t="str">
        <f>IF('Job Sheet'!AB13="1000 x 2050",'Job Sheet'!AA13,"")</f>
        <v/>
      </c>
      <c r="J5" s="66" t="str">
        <f>IF('Job Sheet'!AB13="1000 x 2350",'Job Sheet'!AA13,"")</f>
        <v/>
      </c>
      <c r="K5" s="66" t="str">
        <f>IF('Job Sheet'!AB13="1000 x 2750",'Job Sheet'!AA13,"")</f>
        <v/>
      </c>
      <c r="L5" s="67" t="str">
        <f>IF('Job Sheet'!AB13="1300 x 2050",'Job Sheet'!AA13,"")</f>
        <v/>
      </c>
      <c r="M5" s="67" t="str">
        <f>IF('Job Sheet'!AB13="1300 x 2350",'Job Sheet'!AA13,"")</f>
        <v/>
      </c>
      <c r="N5" s="66">
        <f>IF('Job Sheet'!AB13="1300 x 2750",'Job Sheet'!AA13,"")</f>
        <v>1</v>
      </c>
      <c r="O5" s="66" t="str">
        <f>IF('Job Sheet'!AB13="1800 x 2050",'Job Sheet'!AA13,"")</f>
        <v/>
      </c>
      <c r="P5" s="66" t="str">
        <f>IF('Job Sheet'!AB13="1800 x 2350",'Job Sheet'!AA13,"")</f>
        <v/>
      </c>
      <c r="Q5" s="15" t="str">
        <f>IF('Job Sheet'!AB13="1800 x 2750",'Job Sheet'!AA13,"")</f>
        <v/>
      </c>
      <c r="R5" s="15" t="str">
        <f>IF('Job Sheet'!AB13="2500 x 2050",'Job Sheet'!AA13,"")</f>
        <v/>
      </c>
      <c r="S5" s="15" t="str">
        <f>IF('Job Sheet'!AB13="2500 x 2350",'Job Sheet'!AA13,"")</f>
        <v/>
      </c>
      <c r="T5" s="15" t="str">
        <f>IF('Job Sheet'!AB13="2500 x 2750",'Job Sheet'!AA13,"")</f>
        <v/>
      </c>
      <c r="U5" s="15" t="str">
        <f>IF('Job Sheet'!AB13="2800 x 2050",'Job Sheet'!AA13,"")</f>
        <v/>
      </c>
      <c r="V5" s="15" t="str">
        <f>IF('Job Sheet'!AB13="2800 x 2350",'Job Sheet'!AA13,"")</f>
        <v/>
      </c>
      <c r="W5" s="15" t="str">
        <f>IF('Job Sheet'!AB13="2800 x 2750",'Job Sheet'!AA13,"")</f>
        <v/>
      </c>
      <c r="X5" s="15" t="str">
        <f>IF('Job Sheet'!AB13="3500 x 2050",'Job Sheet'!AA13,"")</f>
        <v/>
      </c>
      <c r="Y5" s="15" t="str">
        <f>IF('Job Sheet'!AB13="3500 x 2350",'Job Sheet'!AA13,"")</f>
        <v/>
      </c>
      <c r="Z5" s="15" t="str">
        <f>IF('Job Sheet'!AB13="3500 x 2750",'Job Sheet'!AA13,"")</f>
        <v/>
      </c>
      <c r="AA5" s="15" t="str">
        <f>IF(AND('Tube Cutting'!F13="White",'Job Sheet'!AA13=2),'Job Sheet'!AD13*2,IF('Tube Cutting'!F13="White",'Job Sheet'!AD13,""))</f>
        <v/>
      </c>
      <c r="AB5" s="15">
        <f>IF(AND('Tube Cutting'!F13="Black",'Job Sheet'!AA13=2),'Job Sheet'!AD13*2,IF('Tube Cutting'!F13="Black",'Job Sheet'!AD13,""))</f>
        <v>2622</v>
      </c>
      <c r="AC5" s="15" t="str">
        <f>IF('Tube Cutting'!F13="White",('Job Sheet'!AE13)*2,"")</f>
        <v/>
      </c>
      <c r="AD5" s="15">
        <f>IF('Tube Cutting'!F13="Black",('Job Sheet'!AE13)*2,"")</f>
        <v>5160</v>
      </c>
      <c r="AE5" s="15">
        <f>IF(D5="","",IF('Job Sheet'!AA13=2,"",'Job Sheet'!AE13))</f>
        <v>2580</v>
      </c>
      <c r="AF5" s="15" t="str">
        <f>IF('Tube Cutting'!F13="White",'Tube Cutting'!L13,"")</f>
        <v/>
      </c>
      <c r="AG5" s="15">
        <f>IF('Tube Cutting'!F13="Black",'Tube Cutting'!L13,"")</f>
        <v>1230</v>
      </c>
      <c r="AH5" s="15" t="str">
        <f>IF(D5="","",IF('Tube Cutting'!F13="Black","",IF(AND('Tube Cutting'!J13="4mm",(OR('Job Sheet'!J13="Centre Opening",'Job Sheet'!J13="Centre Opening Off Set"))),'Job Sheet'!C13-100,IF('Tube Cutting'!J13="4mm",'Job Sheet'!C13-50,""))))</f>
        <v/>
      </c>
      <c r="AI5" s="15">
        <f>IF(D5="","",IF('Tube Cutting'!F13="White","",IF(AND('Tube Cutting'!J13="4mm",(OR('Job Sheet'!J13="Centre Opening",'Job Sheet'!J13="Centre Opening Off Set"))),'Job Sheet'!C13-100,IF('Tube Cutting'!J13="4mm",'Job Sheet'!C13-50,""))))</f>
        <v>1230</v>
      </c>
      <c r="AJ5" s="15" t="str">
        <f>IF(D5="","",IF('Tube Cutting'!F13="Black","",IF(AND('Tube Cutting'!J13="8mm",(OR('Job Sheet'!J13="Centre Opening",'Job Sheet'!J13="Centre Opening Off Set"))),'Job Sheet'!C13-100,IF('Tube Cutting'!J13="8mm",'Job Sheet'!C13-50,""))))</f>
        <v/>
      </c>
      <c r="AK5" s="15" t="str">
        <f>IF(D5="","",IF('Tube Cutting'!F13="White","",IF(AND('Tube Cutting'!J13="8mm",(OR('Job Sheet'!J13="Centre Opening",'Job Sheet'!J13="Centre Opening Off Set"))),'Job Sheet'!C13-100,IF('Tube Cutting'!J13="8mm",'Job Sheet'!C13-50,""))))</f>
        <v/>
      </c>
      <c r="AL5" s="66" t="str">
        <f t="array" ref="AL5">IF(SUMPRODUCT(--(LEN('Job Sheet'!AG13:AJ13)&gt;0))=0,"",IF('Tube Cutting'!F13="White",SUM('Job Sheet'!AG13:AJ13),""))</f>
        <v/>
      </c>
      <c r="AM5" s="66">
        <f t="array" ref="AM5">IF(SUMPRODUCT(--(LEN('Job Sheet'!AG13:AJ13)&gt;0))=0,"",IF('Tube Cutting'!F13="Black",SUM('Job Sheet'!AG13:AJ13),""))</f>
        <v>3920</v>
      </c>
      <c r="AN5" s="66" t="str">
        <f t="array" ref="AN5">IF(SUMPRODUCT(--(LEN('Job Sheet'!AL13:AO13)&gt;0))=0,"",IF('Tube Cutting'!F13="White",SUM('Job Sheet'!AL13:AO13),""))</f>
        <v/>
      </c>
      <c r="AO5" s="66" t="str">
        <f t="array" ref="AO5">IF(SUMPRODUCT(--(LEN('Job Sheet'!AL13:AO13)&gt;0))=0,"",IF('Tube Cutting'!F13="Black",SUM('Job Sheet'!AL13:AO13),""))</f>
        <v/>
      </c>
      <c r="AP5" s="66" t="str">
        <f t="array" ref="AP5">IF(SUMPRODUCT(--(LEN('Job Sheet'!AQ13:AT13)&gt;0))=0,"",IF('Tube Cutting'!F13="White",SUM('Job Sheet'!AQ13:AT13),""))</f>
        <v/>
      </c>
      <c r="AQ5" s="66" t="str">
        <f t="array" ref="AQ5">IF(SUMPRODUCT(--(LEN('Job Sheet'!AQ13:AT13)&gt;0))=0,"",IF('Tube Cutting'!F13="Black",SUM('Job Sheet'!AQ13:AT13),""))</f>
        <v/>
      </c>
      <c r="AR5" s="15">
        <f>IF(D5="","",'Job Sheet'!AE13*2)</f>
        <v>5160</v>
      </c>
      <c r="AS5" s="15" t="str">
        <f>IF('Tube Cutting'!F13="White",2,"")</f>
        <v/>
      </c>
      <c r="AT5" s="15">
        <f>IF('Tube Cutting'!F13="Black",2,"")</f>
        <v>2</v>
      </c>
      <c r="AU5" s="15" t="str">
        <f>IF('Tube Cutting'!F13="White",2,"")</f>
        <v/>
      </c>
      <c r="AV5" s="15">
        <f>IF('Tube Cutting'!F13="Black",2,"")</f>
        <v>2</v>
      </c>
      <c r="AW5" s="15" t="str">
        <f>IF('Tube Cutting'!F13="White",'Job Sheet'!AA13*2,"")</f>
        <v/>
      </c>
      <c r="AX5" s="15">
        <f>IF('Tube Cutting'!F13="Black",'Job Sheet'!AA13*2,"")</f>
        <v>2</v>
      </c>
      <c r="AY5" s="15">
        <f>IF(D5="","",'Tube Cutting'!L13)</f>
        <v>1230</v>
      </c>
      <c r="AZ5" s="66">
        <f>IF(D5="","",'Job Sheet'!C13-50)</f>
        <v>1230</v>
      </c>
      <c r="BA5" s="15" t="str">
        <f>IF(AND('Job Sheet'!I13="4mm",OR('Job Sheet'!J13="Centre Opening",'Job Sheet'!J13="Centre Opening Off Set")),1,"")</f>
        <v/>
      </c>
      <c r="BB5" s="15" t="str">
        <f>IF(AND('Job Sheet'!I13="8mm",OR('Job Sheet'!J13="Centre Opening",'Job Sheet'!J13="Centre Opening Off Set")),1,"")</f>
        <v/>
      </c>
      <c r="BC5" s="15">
        <f>IF(D5="","",Bagging!G13)</f>
        <v>2</v>
      </c>
      <c r="BD5" s="15">
        <f>IF(D5="","",Bagging!G13)</f>
        <v>2</v>
      </c>
      <c r="BE5" s="15">
        <f>IF(D5="","",Bagging!G13)</f>
        <v>2</v>
      </c>
      <c r="BF5" s="15" t="str">
        <f>IF(D5="","",Bagging!K13)</f>
        <v/>
      </c>
    </row>
    <row r="6" spans="4:58" ht="13.2" customHeight="1">
      <c r="D6" s="15" t="str">
        <f>IF('Tube Cutting'!C14="","",CONCATENATE(Data!BC$5,".",Data!BD$5))</f>
        <v/>
      </c>
      <c r="E6" s="15" t="str">
        <f>IF(D6="","",Data!AW14)</f>
        <v/>
      </c>
      <c r="F6" s="15" t="str">
        <f>IF(D6="","",Data!AV14)</f>
        <v/>
      </c>
      <c r="G6" s="15" t="str">
        <f>IF(D6="","",Data!BF$5)</f>
        <v/>
      </c>
      <c r="H6" s="15" t="str">
        <f>IF(D6="","",Data!AX$5)</f>
        <v/>
      </c>
      <c r="I6" s="15" t="str">
        <f>IF('Job Sheet'!AB14="1000 x 2050",'Job Sheet'!AA14,"")</f>
        <v/>
      </c>
      <c r="J6" s="66" t="str">
        <f>IF('Job Sheet'!AB14="1000 x 2350",'Job Sheet'!AA14,"")</f>
        <v/>
      </c>
      <c r="K6" s="66" t="str">
        <f>IF('Job Sheet'!AB14="1000 x 2750",'Job Sheet'!AA14,"")</f>
        <v/>
      </c>
      <c r="L6" s="67" t="str">
        <f>IF('Job Sheet'!AB14="1300 x 2050",'Job Sheet'!AA14,"")</f>
        <v/>
      </c>
      <c r="M6" s="67" t="str">
        <f>IF('Job Sheet'!AB14="1300 x 2350",'Job Sheet'!AA14,"")</f>
        <v/>
      </c>
      <c r="N6" s="66" t="str">
        <f>IF('Job Sheet'!AB14="1300 x 2750",'Job Sheet'!AA14,"")</f>
        <v/>
      </c>
      <c r="O6" s="66" t="str">
        <f>IF('Job Sheet'!AB14="1800 x 2050",'Job Sheet'!AA14,"")</f>
        <v/>
      </c>
      <c r="P6" s="66" t="str">
        <f>IF('Job Sheet'!AB14="1800 x 2350",'Job Sheet'!AA14,"")</f>
        <v/>
      </c>
      <c r="Q6" s="15" t="str">
        <f>IF('Job Sheet'!AB14="1800 x 2750",'Job Sheet'!AA14,"")</f>
        <v/>
      </c>
      <c r="R6" s="15" t="str">
        <f>IF('Job Sheet'!AB14="2500 x 2050",'Job Sheet'!AA14,"")</f>
        <v/>
      </c>
      <c r="S6" s="15" t="str">
        <f>IF('Job Sheet'!AB14="2500 x 2350",'Job Sheet'!AA14,"")</f>
        <v/>
      </c>
      <c r="T6" s="15" t="str">
        <f>IF('Job Sheet'!AB14="2500 x 2750",'Job Sheet'!AA14,"")</f>
        <v/>
      </c>
      <c r="U6" s="15" t="str">
        <f>IF('Job Sheet'!AB14="2800 x 2050",'Job Sheet'!AA14,"")</f>
        <v/>
      </c>
      <c r="V6" s="15" t="str">
        <f>IF('Job Sheet'!AB14="2800 x 2350",'Job Sheet'!AA14,"")</f>
        <v/>
      </c>
      <c r="W6" s="15" t="str">
        <f>IF('Job Sheet'!AB14="2800 x 2750",'Job Sheet'!AA14,"")</f>
        <v/>
      </c>
      <c r="X6" s="15" t="str">
        <f>IF('Job Sheet'!AB14="3500 x 2050",'Job Sheet'!AA14,"")</f>
        <v/>
      </c>
      <c r="Y6" s="15" t="str">
        <f>IF('Job Sheet'!AB14="3500 x 2350",'Job Sheet'!AA14,"")</f>
        <v/>
      </c>
      <c r="Z6" s="15" t="str">
        <f>IF('Job Sheet'!AB14="3500 x 2750",'Job Sheet'!AA14,"")</f>
        <v/>
      </c>
      <c r="AA6" s="15" t="str">
        <f>IF(AND('Tube Cutting'!F14="White",'Job Sheet'!AA14=2),'Job Sheet'!AD14*2,IF('Tube Cutting'!F14="White",'Job Sheet'!AD14,""))</f>
        <v/>
      </c>
      <c r="AB6" s="15" t="str">
        <f>IF(AND('Tube Cutting'!F14="Black",'Job Sheet'!AA14=2),'Job Sheet'!AD14*2,IF('Tube Cutting'!F14="Black",'Job Sheet'!AD14,""))</f>
        <v/>
      </c>
      <c r="AC6" s="15" t="str">
        <f>IF('Tube Cutting'!F14="White",('Job Sheet'!AE14)*2,"")</f>
        <v/>
      </c>
      <c r="AD6" s="15" t="str">
        <f>IF('Tube Cutting'!F14="Black",('Job Sheet'!AE14)*2,"")</f>
        <v/>
      </c>
      <c r="AE6" s="15" t="str">
        <f>IF(D6="","",IF('Job Sheet'!AA14=2,"",'Job Sheet'!AE14))</f>
        <v/>
      </c>
      <c r="AF6" s="15" t="str">
        <f>IF('Tube Cutting'!F14="White",'Tube Cutting'!L14,"")</f>
        <v/>
      </c>
      <c r="AG6" s="15" t="str">
        <f>IF('Tube Cutting'!F14="Black",'Tube Cutting'!L14,"")</f>
        <v/>
      </c>
      <c r="AH6" s="15" t="str">
        <f>IF(D6="","",IF('Tube Cutting'!F14="Black","",IF(AND('Tube Cutting'!J14="4mm",(OR('Job Sheet'!J14="Centre Opening",'Job Sheet'!J14="Centre Opening Off Set"))),'Job Sheet'!C14-100,IF('Tube Cutting'!J14="4mm",'Job Sheet'!C14-50,""))))</f>
        <v/>
      </c>
      <c r="AI6" s="15" t="str">
        <f>IF(D6="","",IF('Tube Cutting'!F14="White","",IF(AND('Tube Cutting'!J14="4mm",(OR('Job Sheet'!J14="Centre Opening",'Job Sheet'!J14="Centre Opening Off Set"))),'Job Sheet'!C14-100,IF('Tube Cutting'!J14="4mm",'Job Sheet'!C14-50,""))))</f>
        <v/>
      </c>
      <c r="AJ6" s="15" t="str">
        <f>IF(D6="","",IF('Tube Cutting'!F14="Black","",IF(AND('Tube Cutting'!J14="8mm",(OR('Job Sheet'!J14="Centre Opening",'Job Sheet'!J14="Centre Opening Off Set"))),'Job Sheet'!C14-100,IF('Tube Cutting'!J14="8mm",'Job Sheet'!C14-50,""))))</f>
        <v/>
      </c>
      <c r="AK6" s="15" t="str">
        <f>IF(D6="","",IF('Tube Cutting'!F14="White","",IF(AND('Tube Cutting'!J14="8mm",(OR('Job Sheet'!J14="Centre Opening",'Job Sheet'!J14="Centre Opening Off Set"))),'Job Sheet'!C14-100,IF('Tube Cutting'!J14="8mm",'Job Sheet'!C14-50,""))))</f>
        <v/>
      </c>
      <c r="AL6" s="66" t="str">
        <f t="array" ref="AL6">IF(SUMPRODUCT(--(LEN('Job Sheet'!AG14:AJ14)&gt;0))=0,"",IF('Tube Cutting'!F14="White",SUM('Job Sheet'!AG14:AJ14),""))</f>
        <v/>
      </c>
      <c r="AM6" s="66" t="str">
        <f t="array" ref="AM6">IF(SUMPRODUCT(--(LEN('Job Sheet'!AG14:AJ14)&gt;0))=0,"",IF('Tube Cutting'!F14="Black",SUM('Job Sheet'!AG14:AJ14),""))</f>
        <v/>
      </c>
      <c r="AN6" s="66" t="str">
        <f t="array" ref="AN6">IF(SUMPRODUCT(--(LEN('Job Sheet'!AL14:AO14)&gt;0))=0,"",IF('Tube Cutting'!F14="White",SUM('Job Sheet'!AL14:AO14),""))</f>
        <v/>
      </c>
      <c r="AO6" s="66" t="str">
        <f t="array" ref="AO6">IF(SUMPRODUCT(--(LEN('Job Sheet'!AL14:AO14)&gt;0))=0,"",IF('Tube Cutting'!F14="Black",SUM('Job Sheet'!AL14:AO14),""))</f>
        <v/>
      </c>
      <c r="AP6" s="66" t="str">
        <f t="array" ref="AP6">IF(SUMPRODUCT(--(LEN('Job Sheet'!AQ14:AT14)&gt;0))=0,"",IF('Tube Cutting'!F14="White",SUM('Job Sheet'!AQ14:AT14),""))</f>
        <v/>
      </c>
      <c r="AQ6" s="66" t="str">
        <f t="array" ref="AQ6">IF(SUMPRODUCT(--(LEN('Job Sheet'!AQ14:AT14)&gt;0))=0,"",IF('Tube Cutting'!F14="Black",SUM('Job Sheet'!AQ14:AT14),""))</f>
        <v/>
      </c>
      <c r="AR6" s="15" t="str">
        <f>IF(D6="","",'Job Sheet'!AE14*2)</f>
        <v/>
      </c>
      <c r="AS6" s="15" t="str">
        <f>IF('Tube Cutting'!F14="White",2,"")</f>
        <v/>
      </c>
      <c r="AT6" s="15" t="str">
        <f>IF('Tube Cutting'!F14="Black",2,"")</f>
        <v/>
      </c>
      <c r="AU6" s="15" t="str">
        <f>IF('Tube Cutting'!F14="White",2,"")</f>
        <v/>
      </c>
      <c r="AV6" s="15" t="str">
        <f>IF('Tube Cutting'!F14="Black",2,"")</f>
        <v/>
      </c>
      <c r="AW6" s="15" t="str">
        <f>IF('Tube Cutting'!F14="White",'Job Sheet'!AA14*2,"")</f>
        <v/>
      </c>
      <c r="AX6" s="15" t="str">
        <f>IF('Tube Cutting'!F14="Black",'Job Sheet'!AA14*2,"")</f>
        <v/>
      </c>
      <c r="AY6" s="15" t="str">
        <f>IF(D6="","",'Tube Cutting'!L14)</f>
        <v/>
      </c>
      <c r="AZ6" s="66" t="str">
        <f>IF(D6="","",'Job Sheet'!C14-50)</f>
        <v/>
      </c>
      <c r="BA6" s="15" t="str">
        <f>IF(AND('Job Sheet'!I14="4mm",OR('Job Sheet'!J14="Centre Opening",'Job Sheet'!J14="Centre Opening Off Set")),1,"")</f>
        <v/>
      </c>
      <c r="BB6" s="15" t="str">
        <f>IF(AND('Job Sheet'!I14="8mm",OR('Job Sheet'!J14="Centre Opening",'Job Sheet'!J14="Centre Opening Off Set")),1,"")</f>
        <v/>
      </c>
      <c r="BC6" s="15" t="str">
        <f>IF(D6="","",Bagging!G14)</f>
        <v/>
      </c>
      <c r="BD6" s="15" t="str">
        <f>IF(D6="","",Bagging!G14)</f>
        <v/>
      </c>
      <c r="BE6" s="15" t="str">
        <f>IF(D6="","",Bagging!G14)</f>
        <v/>
      </c>
      <c r="BF6" s="15" t="str">
        <f>IF(D6="","",Bagging!K14)</f>
        <v/>
      </c>
    </row>
    <row r="7" spans="4:58" ht="13.2" customHeight="1">
      <c r="D7" s="15" t="str">
        <f>IF('Tube Cutting'!C15="","",CONCATENATE(Data!BC$5,".",Data!BD$5))</f>
        <v/>
      </c>
      <c r="E7" s="15" t="str">
        <f>IF(D7="","",Data!AW15)</f>
        <v/>
      </c>
      <c r="F7" s="15" t="str">
        <f>IF(D7="","",Data!AV15)</f>
        <v/>
      </c>
      <c r="G7" s="15" t="str">
        <f>IF(D7="","",Data!BF$5)</f>
        <v/>
      </c>
      <c r="H7" s="15" t="str">
        <f>IF(D7="","",Data!AX$5)</f>
        <v/>
      </c>
      <c r="I7" s="15" t="str">
        <f>IF('Job Sheet'!AB15="1000 x 2050",'Job Sheet'!AA15,"")</f>
        <v/>
      </c>
      <c r="J7" s="66" t="str">
        <f>IF('Job Sheet'!AB15="1000 x 2350",'Job Sheet'!AA15,"")</f>
        <v/>
      </c>
      <c r="K7" s="66" t="str">
        <f>IF('Job Sheet'!AB15="1000 x 2750",'Job Sheet'!AA15,"")</f>
        <v/>
      </c>
      <c r="L7" s="67" t="str">
        <f>IF('Job Sheet'!AB15="1300 x 2050",'Job Sheet'!AA15,"")</f>
        <v/>
      </c>
      <c r="M7" s="67" t="str">
        <f>IF('Job Sheet'!AB15="1300 x 2350",'Job Sheet'!AA15,"")</f>
        <v/>
      </c>
      <c r="N7" s="66" t="str">
        <f>IF('Job Sheet'!AB15="1300 x 2750",'Job Sheet'!AA15,"")</f>
        <v/>
      </c>
      <c r="O7" s="66" t="str">
        <f>IF('Job Sheet'!AB15="1800 x 2050",'Job Sheet'!AA15,"")</f>
        <v/>
      </c>
      <c r="P7" s="66" t="str">
        <f>IF('Job Sheet'!AB15="1800 x 2350",'Job Sheet'!AA15,"")</f>
        <v/>
      </c>
      <c r="Q7" s="15" t="str">
        <f>IF('Job Sheet'!AB15="1800 x 2750",'Job Sheet'!AA15,"")</f>
        <v/>
      </c>
      <c r="R7" s="15" t="str">
        <f>IF('Job Sheet'!AB15="2500 x 2050",'Job Sheet'!AA15,"")</f>
        <v/>
      </c>
      <c r="S7" s="15" t="str">
        <f>IF('Job Sheet'!AB15="2500 x 2350",'Job Sheet'!AA15,"")</f>
        <v/>
      </c>
      <c r="T7" s="15" t="str">
        <f>IF('Job Sheet'!AB15="2500 x 2750",'Job Sheet'!AA15,"")</f>
        <v/>
      </c>
      <c r="U7" s="15" t="str">
        <f>IF('Job Sheet'!AB15="2800 x 2050",'Job Sheet'!AA15,"")</f>
        <v/>
      </c>
      <c r="V7" s="15" t="str">
        <f>IF('Job Sheet'!AB15="2800 x 2350",'Job Sheet'!AA15,"")</f>
        <v/>
      </c>
      <c r="W7" s="15" t="str">
        <f>IF('Job Sheet'!AB15="2800 x 2750",'Job Sheet'!AA15,"")</f>
        <v/>
      </c>
      <c r="X7" s="15" t="str">
        <f>IF('Job Sheet'!AB15="3500 x 2050",'Job Sheet'!AA15,"")</f>
        <v/>
      </c>
      <c r="Y7" s="15" t="str">
        <f>IF('Job Sheet'!AB15="3500 x 2350",'Job Sheet'!AA15,"")</f>
        <v/>
      </c>
      <c r="Z7" s="15" t="str">
        <f>IF('Job Sheet'!AB15="3500 x 2750",'Job Sheet'!AA15,"")</f>
        <v/>
      </c>
      <c r="AA7" s="15" t="str">
        <f>IF(AND('Tube Cutting'!F15="White",'Job Sheet'!AA15=2),'Job Sheet'!AD15*2,IF('Tube Cutting'!F15="White",'Job Sheet'!AD15,""))</f>
        <v/>
      </c>
      <c r="AB7" s="15" t="str">
        <f>IF(AND('Tube Cutting'!F15="Black",'Job Sheet'!AA15=2),'Job Sheet'!AD15*2,IF('Tube Cutting'!F15="Black",'Job Sheet'!AD15,""))</f>
        <v/>
      </c>
      <c r="AC7" s="15" t="str">
        <f>IF('Tube Cutting'!F15="White",('Job Sheet'!AE15)*2,"")</f>
        <v/>
      </c>
      <c r="AD7" s="15" t="str">
        <f>IF('Tube Cutting'!F15="Black",('Job Sheet'!AE15)*2,"")</f>
        <v/>
      </c>
      <c r="AE7" s="15" t="str">
        <f>IF(D7="","",IF('Job Sheet'!AA15=2,"",'Job Sheet'!AE15))</f>
        <v/>
      </c>
      <c r="AF7" s="15" t="str">
        <f>IF('Tube Cutting'!F15="White",'Tube Cutting'!L15,"")</f>
        <v/>
      </c>
      <c r="AG7" s="15" t="str">
        <f>IF('Tube Cutting'!F15="Black",'Tube Cutting'!L15,"")</f>
        <v/>
      </c>
      <c r="AH7" s="15" t="str">
        <f>IF(D7="","",IF('Tube Cutting'!F15="Black","",IF(AND('Tube Cutting'!J15="4mm",(OR('Job Sheet'!J15="Centre Opening",'Job Sheet'!J15="Centre Opening Off Set"))),'Job Sheet'!C15-100,IF('Tube Cutting'!J15="4mm",'Job Sheet'!C15-50,""))))</f>
        <v/>
      </c>
      <c r="AI7" s="15" t="str">
        <f>IF(D7="","",IF('Tube Cutting'!F15="White","",IF(AND('Tube Cutting'!J15="4mm",(OR('Job Sheet'!J15="Centre Opening",'Job Sheet'!J15="Centre Opening Off Set"))),'Job Sheet'!C15-100,IF('Tube Cutting'!J15="4mm",'Job Sheet'!C15-50,""))))</f>
        <v/>
      </c>
      <c r="AJ7" s="15" t="str">
        <f>IF(D7="","",IF('Tube Cutting'!F15="Black","",IF(AND('Tube Cutting'!J15="8mm",(OR('Job Sheet'!J15="Centre Opening",'Job Sheet'!J15="Centre Opening Off Set"))),'Job Sheet'!C15-100,IF('Tube Cutting'!J15="8mm",'Job Sheet'!C15-50,""))))</f>
        <v/>
      </c>
      <c r="AK7" s="15" t="str">
        <f>IF(D7="","",IF('Tube Cutting'!F15="White","",IF(AND('Tube Cutting'!J15="8mm",(OR('Job Sheet'!J15="Centre Opening",'Job Sheet'!J15="Centre Opening Off Set"))),'Job Sheet'!C15-100,IF('Tube Cutting'!J15="8mm",'Job Sheet'!C15-50,""))))</f>
        <v/>
      </c>
      <c r="AL7" s="66" t="str">
        <f t="array" ref="AL7">IF(SUMPRODUCT(--(LEN('Job Sheet'!AG15:AJ15)&gt;0))=0,"",IF('Tube Cutting'!F15="White",SUM('Job Sheet'!AG15:AJ15),""))</f>
        <v/>
      </c>
      <c r="AM7" s="66" t="str">
        <f t="array" ref="AM7">IF(SUMPRODUCT(--(LEN('Job Sheet'!AG15:AJ15)&gt;0))=0,"",IF('Tube Cutting'!F15="Black",SUM('Job Sheet'!AG15:AJ15),""))</f>
        <v/>
      </c>
      <c r="AN7" s="66" t="str">
        <f t="array" ref="AN7">IF(SUMPRODUCT(--(LEN('Job Sheet'!AL15:AO15)&gt;0))=0,"",IF('Tube Cutting'!F15="White",SUM('Job Sheet'!AL15:AO15),""))</f>
        <v/>
      </c>
      <c r="AO7" s="66" t="str">
        <f t="array" ref="AO7">IF(SUMPRODUCT(--(LEN('Job Sheet'!AL15:AO15)&gt;0))=0,"",IF('Tube Cutting'!F15="Black",SUM('Job Sheet'!AL15:AO15),""))</f>
        <v/>
      </c>
      <c r="AP7" s="66" t="str">
        <f t="array" ref="AP7">IF(SUMPRODUCT(--(LEN('Job Sheet'!AQ15:AT15)&gt;0))=0,"",IF('Tube Cutting'!F15="White",SUM('Job Sheet'!AQ15:AT15),""))</f>
        <v/>
      </c>
      <c r="AQ7" s="66" t="str">
        <f t="array" ref="AQ7">IF(SUMPRODUCT(--(LEN('Job Sheet'!AQ15:AT15)&gt;0))=0,"",IF('Tube Cutting'!F15="Black",SUM('Job Sheet'!AQ15:AT15),""))</f>
        <v/>
      </c>
      <c r="AR7" s="15" t="str">
        <f>IF(D7="","",'Job Sheet'!AE15*2)</f>
        <v/>
      </c>
      <c r="AS7" s="15" t="str">
        <f>IF('Tube Cutting'!F15="White",2,"")</f>
        <v/>
      </c>
      <c r="AT7" s="15" t="str">
        <f>IF('Tube Cutting'!F15="Black",2,"")</f>
        <v/>
      </c>
      <c r="AU7" s="15" t="str">
        <f>IF('Tube Cutting'!F15="White",2,"")</f>
        <v/>
      </c>
      <c r="AV7" s="15" t="str">
        <f>IF('Tube Cutting'!F15="Black",2,"")</f>
        <v/>
      </c>
      <c r="AW7" s="15" t="str">
        <f>IF('Tube Cutting'!F15="White",'Job Sheet'!AA15*2,"")</f>
        <v/>
      </c>
      <c r="AX7" s="15" t="str">
        <f>IF('Tube Cutting'!F15="Black",'Job Sheet'!AA15*2,"")</f>
        <v/>
      </c>
      <c r="AY7" s="15" t="str">
        <f>IF(D7="","",'Tube Cutting'!L15)</f>
        <v/>
      </c>
      <c r="AZ7" s="66" t="str">
        <f>IF(D7="","",'Job Sheet'!C15-50)</f>
        <v/>
      </c>
      <c r="BA7" s="15" t="str">
        <f>IF(AND('Job Sheet'!I15="4mm",OR('Job Sheet'!J15="Centre Opening",'Job Sheet'!J15="Centre Opening Off Set")),1,"")</f>
        <v/>
      </c>
      <c r="BB7" s="15" t="str">
        <f>IF(AND('Job Sheet'!I15="8mm",OR('Job Sheet'!J15="Centre Opening",'Job Sheet'!J15="Centre Opening Off Set")),1,"")</f>
        <v/>
      </c>
      <c r="BC7" s="15" t="str">
        <f>IF(D7="","",Bagging!G15)</f>
        <v/>
      </c>
      <c r="BD7" s="15" t="str">
        <f>IF(D7="","",Bagging!G15)</f>
        <v/>
      </c>
      <c r="BE7" s="15" t="str">
        <f>IF(D7="","",Bagging!G15)</f>
        <v/>
      </c>
      <c r="BF7" s="15" t="str">
        <f>IF(D7="","",Bagging!K15)</f>
        <v/>
      </c>
    </row>
    <row r="8" spans="4:58" ht="13.2" customHeight="1">
      <c r="D8" s="15" t="str">
        <f>IF('Tube Cutting'!C16="","",CONCATENATE(Data!BC$5,".",Data!BD$5))</f>
        <v/>
      </c>
      <c r="E8" s="15" t="str">
        <f>IF(D8="","",Data!AW16)</f>
        <v/>
      </c>
      <c r="F8" s="15" t="str">
        <f>IF(D8="","",Data!AV16)</f>
        <v/>
      </c>
      <c r="G8" s="15" t="str">
        <f>IF(D8="","",Data!BF$5)</f>
        <v/>
      </c>
      <c r="H8" s="15" t="str">
        <f>IF(D8="","",Data!AX$5)</f>
        <v/>
      </c>
      <c r="I8" s="15" t="str">
        <f>IF('Job Sheet'!AB16="1000 x 2050",'Job Sheet'!AA16,"")</f>
        <v/>
      </c>
      <c r="J8" s="66" t="str">
        <f>IF('Job Sheet'!AB16="1000 x 2350",'Job Sheet'!AA16,"")</f>
        <v/>
      </c>
      <c r="K8" s="66" t="str">
        <f>IF('Job Sheet'!AB16="1000 x 2750",'Job Sheet'!AA16,"")</f>
        <v/>
      </c>
      <c r="L8" s="67" t="str">
        <f>IF('Job Sheet'!AB16="1300 x 2050",'Job Sheet'!AA16,"")</f>
        <v/>
      </c>
      <c r="M8" s="67" t="str">
        <f>IF('Job Sheet'!AB16="1300 x 2350",'Job Sheet'!AA16,"")</f>
        <v/>
      </c>
      <c r="N8" s="66" t="str">
        <f>IF('Job Sheet'!AB16="1300 x 2750",'Job Sheet'!AA16,"")</f>
        <v/>
      </c>
      <c r="O8" s="66" t="str">
        <f>IF('Job Sheet'!AB16="1800 x 2050",'Job Sheet'!AA16,"")</f>
        <v/>
      </c>
      <c r="P8" s="66" t="str">
        <f>IF('Job Sheet'!AB16="1800 x 2350",'Job Sheet'!AA16,"")</f>
        <v/>
      </c>
      <c r="Q8" s="15" t="str">
        <f>IF('Job Sheet'!AB16="1800 x 2750",'Job Sheet'!AA16,"")</f>
        <v/>
      </c>
      <c r="R8" s="15" t="str">
        <f>IF('Job Sheet'!AB16="2500 x 2050",'Job Sheet'!AA16,"")</f>
        <v/>
      </c>
      <c r="S8" s="15" t="str">
        <f>IF('Job Sheet'!AB16="2500 x 2350",'Job Sheet'!AA16,"")</f>
        <v/>
      </c>
      <c r="T8" s="15" t="str">
        <f>IF('Job Sheet'!AB16="2500 x 2750",'Job Sheet'!AA16,"")</f>
        <v/>
      </c>
      <c r="U8" s="15" t="str">
        <f>IF('Job Sheet'!AB16="2800 x 2050",'Job Sheet'!AA16,"")</f>
        <v/>
      </c>
      <c r="V8" s="15" t="str">
        <f>IF('Job Sheet'!AB16="2800 x 2350",'Job Sheet'!AA16,"")</f>
        <v/>
      </c>
      <c r="W8" s="15" t="str">
        <f>IF('Job Sheet'!AB16="2800 x 2750",'Job Sheet'!AA16,"")</f>
        <v/>
      </c>
      <c r="X8" s="15" t="str">
        <f>IF('Job Sheet'!AB16="3500 x 2050",'Job Sheet'!AA16,"")</f>
        <v/>
      </c>
      <c r="Y8" s="15" t="str">
        <f>IF('Job Sheet'!AB16="3500 x 2350",'Job Sheet'!AA16,"")</f>
        <v/>
      </c>
      <c r="Z8" s="15" t="str">
        <f>IF('Job Sheet'!AB16="3500 x 2750",'Job Sheet'!AA16,"")</f>
        <v/>
      </c>
      <c r="AA8" s="15" t="str">
        <f>IF(AND('Tube Cutting'!F16="White",'Job Sheet'!AA16=2),'Job Sheet'!AD16*2,IF('Tube Cutting'!F16="White",'Job Sheet'!AD16,""))</f>
        <v/>
      </c>
      <c r="AB8" s="15" t="str">
        <f>IF(AND('Tube Cutting'!F16="Black",'Job Sheet'!AA16=2),'Job Sheet'!AD16*2,IF('Tube Cutting'!F16="Black",'Job Sheet'!AD16,""))</f>
        <v/>
      </c>
      <c r="AC8" s="15" t="str">
        <f>IF('Tube Cutting'!F16="White",('Job Sheet'!AE16)*2,"")</f>
        <v/>
      </c>
      <c r="AD8" s="15" t="str">
        <f>IF('Tube Cutting'!F16="Black",('Job Sheet'!AE16)*2,"")</f>
        <v/>
      </c>
      <c r="AE8" s="15" t="str">
        <f>IF(D8="","",IF('Job Sheet'!AA16=2,"",'Job Sheet'!AE16))</f>
        <v/>
      </c>
      <c r="AF8" s="15" t="str">
        <f>IF('Tube Cutting'!F16="White",'Tube Cutting'!L16,"")</f>
        <v/>
      </c>
      <c r="AG8" s="15" t="str">
        <f>IF('Tube Cutting'!F16="Black",'Tube Cutting'!L16,"")</f>
        <v/>
      </c>
      <c r="AH8" s="15" t="str">
        <f>IF(D8="","",IF('Tube Cutting'!F16="Black","",IF(AND('Tube Cutting'!J16="4mm",(OR('Job Sheet'!J16="Centre Opening",'Job Sheet'!J16="Centre Opening Off Set"))),'Job Sheet'!C16-100,IF('Tube Cutting'!J16="4mm",'Job Sheet'!C16-50,""))))</f>
        <v/>
      </c>
      <c r="AI8" s="15" t="str">
        <f>IF(D8="","",IF('Tube Cutting'!F16="White","",IF(AND('Tube Cutting'!J16="4mm",(OR('Job Sheet'!J16="Centre Opening",'Job Sheet'!J16="Centre Opening Off Set"))),'Job Sheet'!C16-100,IF('Tube Cutting'!J16="4mm",'Job Sheet'!C16-50,""))))</f>
        <v/>
      </c>
      <c r="AJ8" s="15" t="str">
        <f>IF(D8="","",IF('Tube Cutting'!F16="Black","",IF(AND('Tube Cutting'!J16="8mm",(OR('Job Sheet'!J16="Centre Opening",'Job Sheet'!J16="Centre Opening Off Set"))),'Job Sheet'!C16-100,IF('Tube Cutting'!J16="8mm",'Job Sheet'!C16-50,""))))</f>
        <v/>
      </c>
      <c r="AK8" s="15" t="str">
        <f>IF(D8="","",IF('Tube Cutting'!F16="White","",IF(AND('Tube Cutting'!J16="8mm",(OR('Job Sheet'!J16="Centre Opening",'Job Sheet'!J16="Centre Opening Off Set"))),'Job Sheet'!C16-100,IF('Tube Cutting'!J16="8mm",'Job Sheet'!C16-50,""))))</f>
        <v/>
      </c>
      <c r="AL8" s="66" t="str">
        <f t="array" ref="AL8">IF(SUMPRODUCT(--(LEN('Job Sheet'!AG16:AJ16)&gt;0))=0,"",IF('Tube Cutting'!F16="White",SUM('Job Sheet'!AG16:AJ16),""))</f>
        <v/>
      </c>
      <c r="AM8" s="66" t="str">
        <f t="array" ref="AM8">IF(SUMPRODUCT(--(LEN('Job Sheet'!AG16:AJ16)&gt;0))=0,"",IF('Tube Cutting'!F16="Black",SUM('Job Sheet'!AG16:AJ16),""))</f>
        <v/>
      </c>
      <c r="AN8" s="66" t="str">
        <f t="array" ref="AN8">IF(SUMPRODUCT(--(LEN('Job Sheet'!AL16:AO16)&gt;0))=0,"",IF('Tube Cutting'!F16="White",SUM('Job Sheet'!AL16:AO16),""))</f>
        <v/>
      </c>
      <c r="AO8" s="66" t="str">
        <f t="array" ref="AO8">IF(SUMPRODUCT(--(LEN('Job Sheet'!AL16:AO16)&gt;0))=0,"",IF('Tube Cutting'!F16="Black",SUM('Job Sheet'!AL16:AO16),""))</f>
        <v/>
      </c>
      <c r="AP8" s="66" t="str">
        <f t="array" ref="AP8">IF(SUMPRODUCT(--(LEN('Job Sheet'!AQ16:AT16)&gt;0))=0,"",IF('Tube Cutting'!F16="White",SUM('Job Sheet'!AQ16:AT16),""))</f>
        <v/>
      </c>
      <c r="AQ8" s="66" t="str">
        <f t="array" ref="AQ8">IF(SUMPRODUCT(--(LEN('Job Sheet'!AQ16:AT16)&gt;0))=0,"",IF('Tube Cutting'!F16="Black",SUM('Job Sheet'!AQ16:AT16),""))</f>
        <v/>
      </c>
      <c r="AR8" s="15" t="str">
        <f>IF(D8="","",'Job Sheet'!AE16*2)</f>
        <v/>
      </c>
      <c r="AS8" s="15" t="str">
        <f>IF('Tube Cutting'!F16="White",2,"")</f>
        <v/>
      </c>
      <c r="AT8" s="15" t="str">
        <f>IF('Tube Cutting'!F16="Black",2,"")</f>
        <v/>
      </c>
      <c r="AU8" s="15" t="str">
        <f>IF('Tube Cutting'!F16="White",2,"")</f>
        <v/>
      </c>
      <c r="AV8" s="15" t="str">
        <f>IF('Tube Cutting'!F16="Black",2,"")</f>
        <v/>
      </c>
      <c r="AW8" s="15" t="str">
        <f>IF('Tube Cutting'!F16="White",'Job Sheet'!AA16*2,"")</f>
        <v/>
      </c>
      <c r="AX8" s="15" t="str">
        <f>IF('Tube Cutting'!F16="Black",'Job Sheet'!AA16*2,"")</f>
        <v/>
      </c>
      <c r="AY8" s="15" t="str">
        <f>IF(D8="","",'Tube Cutting'!L16)</f>
        <v/>
      </c>
      <c r="AZ8" s="66" t="str">
        <f>IF(D8="","",'Job Sheet'!C16-50)</f>
        <v/>
      </c>
      <c r="BA8" s="15" t="str">
        <f>IF(AND('Job Sheet'!I16="4mm",OR('Job Sheet'!J16="Centre Opening",'Job Sheet'!J16="Centre Opening Off Set")),1,"")</f>
        <v/>
      </c>
      <c r="BB8" s="15" t="str">
        <f>IF(AND('Job Sheet'!I16="8mm",OR('Job Sheet'!J16="Centre Opening",'Job Sheet'!J16="Centre Opening Off Set")),1,"")</f>
        <v/>
      </c>
      <c r="BC8" s="15" t="str">
        <f>IF(D8="","",Bagging!G16)</f>
        <v/>
      </c>
      <c r="BD8" s="15" t="str">
        <f>IF(D8="","",Bagging!G16)</f>
        <v/>
      </c>
      <c r="BE8" s="15" t="str">
        <f>IF(D8="","",Bagging!G16)</f>
        <v/>
      </c>
      <c r="BF8" s="15" t="str">
        <f>IF(D8="","",Bagging!K16)</f>
        <v/>
      </c>
    </row>
    <row r="9" spans="4:58" ht="13.2" customHeight="1">
      <c r="D9" s="15" t="str">
        <f>IF('Tube Cutting'!C17="","",CONCATENATE(Data!BC$5,".",Data!BD$5))</f>
        <v/>
      </c>
      <c r="E9" s="15" t="str">
        <f>IF(D9="","",Data!AW17)</f>
        <v/>
      </c>
      <c r="F9" s="15" t="str">
        <f>IF(D9="","",Data!AV17)</f>
        <v/>
      </c>
      <c r="G9" s="15" t="str">
        <f>IF(D9="","",Data!BF$5)</f>
        <v/>
      </c>
      <c r="H9" s="15" t="str">
        <f>IF(D9="","",Data!AX$5)</f>
        <v/>
      </c>
      <c r="I9" s="15" t="str">
        <f>IF('Job Sheet'!AB17="1000 x 2050",'Job Sheet'!AA17,"")</f>
        <v/>
      </c>
      <c r="J9" s="66" t="str">
        <f>IF('Job Sheet'!AB17="1000 x 2350",'Job Sheet'!AA17,"")</f>
        <v/>
      </c>
      <c r="K9" s="66" t="str">
        <f>IF('Job Sheet'!AB17="1000 x 2750",'Job Sheet'!AA17,"")</f>
        <v/>
      </c>
      <c r="L9" s="67" t="str">
        <f>IF('Job Sheet'!AB17="1300 x 2050",'Job Sheet'!AA17,"")</f>
        <v/>
      </c>
      <c r="M9" s="67" t="str">
        <f>IF('Job Sheet'!AB17="1300 x 2350",'Job Sheet'!AA17,"")</f>
        <v/>
      </c>
      <c r="N9" s="66" t="str">
        <f>IF('Job Sheet'!AB17="1300 x 2750",'Job Sheet'!AA17,"")</f>
        <v/>
      </c>
      <c r="O9" s="66" t="str">
        <f>IF('Job Sheet'!AB17="1800 x 2050",'Job Sheet'!AA17,"")</f>
        <v/>
      </c>
      <c r="P9" s="66" t="str">
        <f>IF('Job Sheet'!AB17="1800 x 2350",'Job Sheet'!AA17,"")</f>
        <v/>
      </c>
      <c r="Q9" s="15" t="str">
        <f>IF('Job Sheet'!AB17="1800 x 2750",'Job Sheet'!AA17,"")</f>
        <v/>
      </c>
      <c r="R9" s="15" t="str">
        <f>IF('Job Sheet'!AB17="2500 x 2050",'Job Sheet'!AA17,"")</f>
        <v/>
      </c>
      <c r="S9" s="15" t="str">
        <f>IF('Job Sheet'!AB17="2500 x 2350",'Job Sheet'!AA17,"")</f>
        <v/>
      </c>
      <c r="T9" s="15" t="str">
        <f>IF('Job Sheet'!AB17="2500 x 2750",'Job Sheet'!AA17,"")</f>
        <v/>
      </c>
      <c r="U9" s="15" t="str">
        <f>IF('Job Sheet'!AB17="2800 x 2050",'Job Sheet'!AA17,"")</f>
        <v/>
      </c>
      <c r="V9" s="15" t="str">
        <f>IF('Job Sheet'!AB17="2800 x 2350",'Job Sheet'!AA17,"")</f>
        <v/>
      </c>
      <c r="W9" s="15" t="str">
        <f>IF('Job Sheet'!AB17="2800 x 2750",'Job Sheet'!AA17,"")</f>
        <v/>
      </c>
      <c r="X9" s="15" t="str">
        <f>IF('Job Sheet'!AB17="3500 x 2050",'Job Sheet'!AA17,"")</f>
        <v/>
      </c>
      <c r="Y9" s="15" t="str">
        <f>IF('Job Sheet'!AB17="3500 x 2350",'Job Sheet'!AA17,"")</f>
        <v/>
      </c>
      <c r="Z9" s="15" t="str">
        <f>IF('Job Sheet'!AB17="3500 x 2750",'Job Sheet'!AA17,"")</f>
        <v/>
      </c>
      <c r="AA9" s="15" t="str">
        <f>IF(AND('Tube Cutting'!F17="White",'Job Sheet'!AA17=2),'Job Sheet'!AD17*2,IF('Tube Cutting'!F17="White",'Job Sheet'!AD17,""))</f>
        <v/>
      </c>
      <c r="AB9" s="15" t="str">
        <f>IF(AND('Tube Cutting'!F17="Black",'Job Sheet'!AA17=2),'Job Sheet'!AD17*2,IF('Tube Cutting'!F17="Black",'Job Sheet'!AD17,""))</f>
        <v/>
      </c>
      <c r="AC9" s="15" t="str">
        <f>IF('Tube Cutting'!F17="White",('Job Sheet'!AE17)*2,"")</f>
        <v/>
      </c>
      <c r="AD9" s="15" t="str">
        <f>IF('Tube Cutting'!F17="Black",('Job Sheet'!AE17)*2,"")</f>
        <v/>
      </c>
      <c r="AE9" s="15" t="str">
        <f>IF(D9="","",IF('Job Sheet'!AA17=2,"",'Job Sheet'!AE17))</f>
        <v/>
      </c>
      <c r="AF9" s="15" t="str">
        <f>IF('Tube Cutting'!F17="White",'Tube Cutting'!L17,"")</f>
        <v/>
      </c>
      <c r="AG9" s="15" t="str">
        <f>IF('Tube Cutting'!F17="Black",'Tube Cutting'!L17,"")</f>
        <v/>
      </c>
      <c r="AH9" s="15" t="str">
        <f>IF(D9="","",IF('Tube Cutting'!F17="Black","",IF(AND('Tube Cutting'!J17="4mm",(OR('Job Sheet'!J17="Centre Opening",'Job Sheet'!J17="Centre Opening Off Set"))),'Job Sheet'!C17-100,IF('Tube Cutting'!J17="4mm",'Job Sheet'!C17-50,""))))</f>
        <v/>
      </c>
      <c r="AI9" s="15" t="str">
        <f>IF(D9="","",IF('Tube Cutting'!F17="White","",IF(AND('Tube Cutting'!J17="4mm",(OR('Job Sheet'!J17="Centre Opening",'Job Sheet'!J17="Centre Opening Off Set"))),'Job Sheet'!C17-100,IF('Tube Cutting'!J17="4mm",'Job Sheet'!C17-50,""))))</f>
        <v/>
      </c>
      <c r="AJ9" s="15" t="str">
        <f>IF(D9="","",IF('Tube Cutting'!F17="Black","",IF(AND('Tube Cutting'!J17="8mm",(OR('Job Sheet'!J17="Centre Opening",'Job Sheet'!J17="Centre Opening Off Set"))),'Job Sheet'!C17-100,IF('Tube Cutting'!J17="8mm",'Job Sheet'!C17-50,""))))</f>
        <v/>
      </c>
      <c r="AK9" s="15" t="str">
        <f>IF(D9="","",IF('Tube Cutting'!F17="White","",IF(AND('Tube Cutting'!J17="8mm",(OR('Job Sheet'!J17="Centre Opening",'Job Sheet'!J17="Centre Opening Off Set"))),'Job Sheet'!C17-100,IF('Tube Cutting'!J17="8mm",'Job Sheet'!C17-50,""))))</f>
        <v/>
      </c>
      <c r="AL9" s="66" t="str">
        <f t="array" ref="AL9">IF(SUMPRODUCT(--(LEN('Job Sheet'!AG17:AJ17)&gt;0))=0,"",IF('Tube Cutting'!F17="White",SUM('Job Sheet'!AG17:AJ17),""))</f>
        <v/>
      </c>
      <c r="AM9" s="66" t="str">
        <f t="array" ref="AM9">IF(SUMPRODUCT(--(LEN('Job Sheet'!AG17:AJ17)&gt;0))=0,"",IF('Tube Cutting'!F17="Black",SUM('Job Sheet'!AG17:AJ17),""))</f>
        <v/>
      </c>
      <c r="AN9" s="66" t="str">
        <f t="array" ref="AN9">IF(SUMPRODUCT(--(LEN('Job Sheet'!AL17:AO17)&gt;0))=0,"",IF('Tube Cutting'!F17="White",SUM('Job Sheet'!AL17:AO17),""))</f>
        <v/>
      </c>
      <c r="AO9" s="66" t="str">
        <f t="array" ref="AO9">IF(SUMPRODUCT(--(LEN('Job Sheet'!AL17:AO17)&gt;0))=0,"",IF('Tube Cutting'!F17="Black",SUM('Job Sheet'!AL17:AO17),""))</f>
        <v/>
      </c>
      <c r="AP9" s="66" t="str">
        <f t="array" ref="AP9">IF(SUMPRODUCT(--(LEN('Job Sheet'!AQ17:AT17)&gt;0))=0,"",IF('Tube Cutting'!F17="White",SUM('Job Sheet'!AQ17:AT17),""))</f>
        <v/>
      </c>
      <c r="AQ9" s="66" t="str">
        <f t="array" ref="AQ9">IF(SUMPRODUCT(--(LEN('Job Sheet'!AQ17:AT17)&gt;0))=0,"",IF('Tube Cutting'!F17="Black",SUM('Job Sheet'!AQ17:AT17),""))</f>
        <v/>
      </c>
      <c r="AR9" s="15" t="str">
        <f>IF(D9="","",'Job Sheet'!AE17*2)</f>
        <v/>
      </c>
      <c r="AS9" s="15" t="str">
        <f>IF('Tube Cutting'!F17="White",2,"")</f>
        <v/>
      </c>
      <c r="AT9" s="15" t="str">
        <f>IF('Tube Cutting'!F17="Black",2,"")</f>
        <v/>
      </c>
      <c r="AU9" s="15" t="str">
        <f>IF('Tube Cutting'!F17="White",2,"")</f>
        <v/>
      </c>
      <c r="AV9" s="15" t="str">
        <f>IF('Tube Cutting'!F17="Black",2,"")</f>
        <v/>
      </c>
      <c r="AW9" s="15" t="str">
        <f>IF('Tube Cutting'!F17="White",'Job Sheet'!AA17*2,"")</f>
        <v/>
      </c>
      <c r="AX9" s="15" t="str">
        <f>IF('Tube Cutting'!F17="Black",'Job Sheet'!AA17*2,"")</f>
        <v/>
      </c>
      <c r="AY9" s="15" t="str">
        <f>IF(D9="","",'Tube Cutting'!L17)</f>
        <v/>
      </c>
      <c r="AZ9" s="66" t="str">
        <f>IF(D9="","",'Job Sheet'!C17-50)</f>
        <v/>
      </c>
      <c r="BA9" s="15" t="str">
        <f>IF(AND('Job Sheet'!I17="4mm",OR('Job Sheet'!J17="Centre Opening",'Job Sheet'!J17="Centre Opening Off Set")),1,"")</f>
        <v/>
      </c>
      <c r="BB9" s="15" t="str">
        <f>IF(AND('Job Sheet'!I17="8mm",OR('Job Sheet'!J17="Centre Opening",'Job Sheet'!J17="Centre Opening Off Set")),1,"")</f>
        <v/>
      </c>
      <c r="BC9" s="15" t="str">
        <f>IF(D9="","",Bagging!G17)</f>
        <v/>
      </c>
      <c r="BD9" s="15" t="str">
        <f>IF(D9="","",Bagging!G17)</f>
        <v/>
      </c>
      <c r="BE9" s="15" t="str">
        <f>IF(D9="","",Bagging!G17)</f>
        <v/>
      </c>
      <c r="BF9" s="15" t="str">
        <f>IF(D9="","",Bagging!K17)</f>
        <v/>
      </c>
    </row>
    <row r="10" spans="4:58" ht="13.2" customHeight="1">
      <c r="D10" s="15" t="str">
        <f>IF('Tube Cutting'!C18="","",CONCATENATE(Data!BC$5,".",Data!BD$5))</f>
        <v/>
      </c>
      <c r="E10" s="15" t="str">
        <f>IF(D10="","",Data!AW18)</f>
        <v/>
      </c>
      <c r="F10" s="15" t="str">
        <f>IF(D10="","",Data!AV18)</f>
        <v/>
      </c>
      <c r="G10" s="15" t="str">
        <f>IF(D10="","",Data!BF$5)</f>
        <v/>
      </c>
      <c r="H10" s="15" t="str">
        <f>IF(D10="","",Data!AX$5)</f>
        <v/>
      </c>
      <c r="I10" s="15" t="str">
        <f>IF('Job Sheet'!AB18="1000 x 2050",'Job Sheet'!AA18,"")</f>
        <v/>
      </c>
      <c r="J10" s="66" t="str">
        <f>IF('Job Sheet'!AB18="1000 x 2350",'Job Sheet'!AA18,"")</f>
        <v/>
      </c>
      <c r="K10" s="66" t="str">
        <f>IF('Job Sheet'!AB18="1000 x 2750",'Job Sheet'!AA18,"")</f>
        <v/>
      </c>
      <c r="L10" s="67" t="str">
        <f>IF('Job Sheet'!AB18="1300 x 2050",'Job Sheet'!AA18,"")</f>
        <v/>
      </c>
      <c r="M10" s="67" t="str">
        <f>IF('Job Sheet'!AB18="1300 x 2350",'Job Sheet'!AA18,"")</f>
        <v/>
      </c>
      <c r="N10" s="66" t="str">
        <f>IF('Job Sheet'!AB18="1300 x 2750",'Job Sheet'!AA18,"")</f>
        <v/>
      </c>
      <c r="O10" s="66" t="str">
        <f>IF('Job Sheet'!AB18="1800 x 2050",'Job Sheet'!AA18,"")</f>
        <v/>
      </c>
      <c r="P10" s="66" t="str">
        <f>IF('Job Sheet'!AB18="1800 x 2350",'Job Sheet'!AA18,"")</f>
        <v/>
      </c>
      <c r="Q10" s="15" t="str">
        <f>IF('Job Sheet'!AB18="1800 x 2750",'Job Sheet'!AA18,"")</f>
        <v/>
      </c>
      <c r="R10" s="15" t="str">
        <f>IF('Job Sheet'!AB18="2500 x 2050",'Job Sheet'!AA18,"")</f>
        <v/>
      </c>
      <c r="S10" s="15" t="str">
        <f>IF('Job Sheet'!AB18="2500 x 2350",'Job Sheet'!AA18,"")</f>
        <v/>
      </c>
      <c r="T10" s="15" t="str">
        <f>IF('Job Sheet'!AB18="2500 x 2750",'Job Sheet'!AA18,"")</f>
        <v/>
      </c>
      <c r="U10" s="15" t="str">
        <f>IF('Job Sheet'!AB18="2800 x 2050",'Job Sheet'!AA18,"")</f>
        <v/>
      </c>
      <c r="V10" s="15" t="str">
        <f>IF('Job Sheet'!AB18="2800 x 2350",'Job Sheet'!AA18,"")</f>
        <v/>
      </c>
      <c r="W10" s="15" t="str">
        <f>IF('Job Sheet'!AB18="2800 x 2750",'Job Sheet'!AA18,"")</f>
        <v/>
      </c>
      <c r="X10" s="15" t="str">
        <f>IF('Job Sheet'!AB18="3500 x 2050",'Job Sheet'!AA18,"")</f>
        <v/>
      </c>
      <c r="Y10" s="15" t="str">
        <f>IF('Job Sheet'!AB18="3500 x 2350",'Job Sheet'!AA18,"")</f>
        <v/>
      </c>
      <c r="Z10" s="15" t="str">
        <f>IF('Job Sheet'!AB18="3500 x 2750",'Job Sheet'!AA18,"")</f>
        <v/>
      </c>
      <c r="AA10" s="15" t="str">
        <f>IF(AND('Tube Cutting'!F18="White",'Job Sheet'!AA18=2),'Job Sheet'!AD18*2,IF('Tube Cutting'!F18="White",'Job Sheet'!AD18,""))</f>
        <v/>
      </c>
      <c r="AB10" s="15" t="str">
        <f>IF(AND('Tube Cutting'!F18="Black",'Job Sheet'!AA18=2),'Job Sheet'!AD18*2,IF('Tube Cutting'!F18="Black",'Job Sheet'!AD18,""))</f>
        <v/>
      </c>
      <c r="AC10" s="15" t="str">
        <f>IF('Tube Cutting'!F18="White",('Job Sheet'!AE18)*2,"")</f>
        <v/>
      </c>
      <c r="AD10" s="15" t="str">
        <f>IF('Tube Cutting'!F18="Black",('Job Sheet'!AE18)*2,"")</f>
        <v/>
      </c>
      <c r="AE10" s="15" t="str">
        <f>IF(D10="","",IF('Job Sheet'!AA18=2,"",'Job Sheet'!AE18))</f>
        <v/>
      </c>
      <c r="AF10" s="15" t="str">
        <f>IF('Tube Cutting'!F18="White",'Tube Cutting'!L18,"")</f>
        <v/>
      </c>
      <c r="AG10" s="15" t="str">
        <f>IF('Tube Cutting'!F18="Black",'Tube Cutting'!L18,"")</f>
        <v/>
      </c>
      <c r="AH10" s="15" t="str">
        <f>IF(D10="","",IF('Tube Cutting'!F18="Black","",IF(AND('Tube Cutting'!J18="4mm",(OR('Job Sheet'!J18="Centre Opening",'Job Sheet'!J18="Centre Opening Off Set"))),'Job Sheet'!C18-100,IF('Tube Cutting'!J18="4mm",'Job Sheet'!C18-50,""))))</f>
        <v/>
      </c>
      <c r="AI10" s="15" t="str">
        <f>IF(D10="","",IF('Tube Cutting'!F18="White","",IF(AND('Tube Cutting'!J18="4mm",(OR('Job Sheet'!J18="Centre Opening",'Job Sheet'!J18="Centre Opening Off Set"))),'Job Sheet'!C18-100,IF('Tube Cutting'!J18="4mm",'Job Sheet'!C18-50,""))))</f>
        <v/>
      </c>
      <c r="AJ10" s="15" t="str">
        <f>IF(D10="","",IF('Tube Cutting'!F18="Black","",IF(AND('Tube Cutting'!J18="8mm",(OR('Job Sheet'!J18="Centre Opening",'Job Sheet'!J18="Centre Opening Off Set"))),'Job Sheet'!C18-100,IF('Tube Cutting'!J18="8mm",'Job Sheet'!C18-50,""))))</f>
        <v/>
      </c>
      <c r="AK10" s="15" t="str">
        <f>IF(D10="","",IF('Tube Cutting'!F18="White","",IF(AND('Tube Cutting'!J18="8mm",(OR('Job Sheet'!J18="Centre Opening",'Job Sheet'!J18="Centre Opening Off Set"))),'Job Sheet'!C18-100,IF('Tube Cutting'!J18="8mm",'Job Sheet'!C18-50,""))))</f>
        <v/>
      </c>
      <c r="AL10" s="66" t="str">
        <f t="array" ref="AL10">IF(SUMPRODUCT(--(LEN('Job Sheet'!AG18:AJ18)&gt;0))=0,"",IF('Tube Cutting'!F18="White",SUM('Job Sheet'!AG18:AJ18),""))</f>
        <v/>
      </c>
      <c r="AM10" s="66" t="str">
        <f t="array" ref="AM10">IF(SUMPRODUCT(--(LEN('Job Sheet'!AG18:AJ18)&gt;0))=0,"",IF('Tube Cutting'!F18="Black",SUM('Job Sheet'!AG18:AJ18),""))</f>
        <v/>
      </c>
      <c r="AN10" s="66" t="str">
        <f t="array" ref="AN10">IF(SUMPRODUCT(--(LEN('Job Sheet'!AL18:AO18)&gt;0))=0,"",IF('Tube Cutting'!F18="White",SUM('Job Sheet'!AL18:AO18),""))</f>
        <v/>
      </c>
      <c r="AO10" s="66" t="str">
        <f t="array" ref="AO10">IF(SUMPRODUCT(--(LEN('Job Sheet'!AL18:AO18)&gt;0))=0,"",IF('Tube Cutting'!F18="Black",SUM('Job Sheet'!AL18:AO18),""))</f>
        <v/>
      </c>
      <c r="AP10" s="66" t="str">
        <f t="array" ref="AP10">IF(SUMPRODUCT(--(LEN('Job Sheet'!AQ18:AT18)&gt;0))=0,"",IF('Tube Cutting'!F18="White",SUM('Job Sheet'!AQ18:AT18),""))</f>
        <v/>
      </c>
      <c r="AQ10" s="66" t="str">
        <f t="array" ref="AQ10">IF(SUMPRODUCT(--(LEN('Job Sheet'!AQ18:AT18)&gt;0))=0,"",IF('Tube Cutting'!F18="Black",SUM('Job Sheet'!AQ18:AT18),""))</f>
        <v/>
      </c>
      <c r="AR10" s="15" t="str">
        <f>IF(D10="","",'Job Sheet'!AE18*2)</f>
        <v/>
      </c>
      <c r="AS10" s="15" t="str">
        <f>IF('Tube Cutting'!F18="White",2,"")</f>
        <v/>
      </c>
      <c r="AT10" s="15" t="str">
        <f>IF('Tube Cutting'!F18="Black",2,"")</f>
        <v/>
      </c>
      <c r="AU10" s="15" t="str">
        <f>IF('Tube Cutting'!F18="White",2,"")</f>
        <v/>
      </c>
      <c r="AV10" s="15" t="str">
        <f>IF('Tube Cutting'!F18="Black",2,"")</f>
        <v/>
      </c>
      <c r="AW10" s="15" t="str">
        <f>IF('Tube Cutting'!F18="White",'Job Sheet'!AA18*2,"")</f>
        <v/>
      </c>
      <c r="AX10" s="15" t="str">
        <f>IF('Tube Cutting'!F18="Black",'Job Sheet'!AA18*2,"")</f>
        <v/>
      </c>
      <c r="AY10" s="15" t="str">
        <f>IF(D10="","",'Tube Cutting'!L18)</f>
        <v/>
      </c>
      <c r="AZ10" s="66" t="str">
        <f>IF(D10="","",'Job Sheet'!C18-50)</f>
        <v/>
      </c>
      <c r="BA10" s="15" t="str">
        <f>IF(AND('Job Sheet'!I18="4mm",OR('Job Sheet'!J18="Centre Opening",'Job Sheet'!J18="Centre Opening Off Set")),1,"")</f>
        <v/>
      </c>
      <c r="BB10" s="15" t="str">
        <f>IF(AND('Job Sheet'!I18="8mm",OR('Job Sheet'!J18="Centre Opening",'Job Sheet'!J18="Centre Opening Off Set")),1,"")</f>
        <v/>
      </c>
      <c r="BC10" s="15" t="str">
        <f>IF(D10="","",Bagging!G18)</f>
        <v/>
      </c>
      <c r="BD10" s="15" t="str">
        <f>IF(D10="","",Bagging!G18)</f>
        <v/>
      </c>
      <c r="BE10" s="15" t="str">
        <f>IF(D10="","",Bagging!G18)</f>
        <v/>
      </c>
      <c r="BF10" s="15" t="str">
        <f>IF(D10="","",Bagging!K18)</f>
        <v/>
      </c>
    </row>
    <row r="11" spans="4:58" ht="13.2" customHeight="1">
      <c r="D11" s="15" t="str">
        <f>IF('Tube Cutting'!C19="","",CONCATENATE(Data!BC$5,".",Data!BD$5))</f>
        <v/>
      </c>
      <c r="E11" s="15" t="str">
        <f>IF(D11="","",Data!AW19)</f>
        <v/>
      </c>
      <c r="F11" s="15" t="str">
        <f>IF(D11="","",Data!AV19)</f>
        <v/>
      </c>
      <c r="G11" s="15" t="str">
        <f>IF(D11="","",Data!BF$5)</f>
        <v/>
      </c>
      <c r="H11" s="15" t="str">
        <f>IF(D11="","",Data!AX$5)</f>
        <v/>
      </c>
      <c r="I11" s="15" t="str">
        <f>IF('Job Sheet'!AB19="1000 x 2050",'Job Sheet'!AA19,"")</f>
        <v/>
      </c>
      <c r="J11" s="66" t="str">
        <f>IF('Job Sheet'!AB19="1000 x 2350",'Job Sheet'!AA19,"")</f>
        <v/>
      </c>
      <c r="K11" s="66" t="str">
        <f>IF('Job Sheet'!AB19="1000 x 2750",'Job Sheet'!AA19,"")</f>
        <v/>
      </c>
      <c r="L11" s="67" t="str">
        <f>IF('Job Sheet'!AB19="1300 x 2050",'Job Sheet'!AA19,"")</f>
        <v/>
      </c>
      <c r="M11" s="67" t="str">
        <f>IF('Job Sheet'!AB19="1300 x 2350",'Job Sheet'!AA19,"")</f>
        <v/>
      </c>
      <c r="N11" s="66" t="str">
        <f>IF('Job Sheet'!AB19="1300 x 2750",'Job Sheet'!AA19,"")</f>
        <v/>
      </c>
      <c r="O11" s="66" t="str">
        <f>IF('Job Sheet'!AB19="1800 x 2050",'Job Sheet'!AA19,"")</f>
        <v/>
      </c>
      <c r="P11" s="66" t="str">
        <f>IF('Job Sheet'!AB19="1800 x 2350",'Job Sheet'!AA19,"")</f>
        <v/>
      </c>
      <c r="Q11" s="15" t="str">
        <f>IF('Job Sheet'!AB19="1800 x 2750",'Job Sheet'!AA19,"")</f>
        <v/>
      </c>
      <c r="R11" s="15" t="str">
        <f>IF('Job Sheet'!AB19="2500 x 2050",'Job Sheet'!AA19,"")</f>
        <v/>
      </c>
      <c r="S11" s="15" t="str">
        <f>IF('Job Sheet'!AB19="2500 x 2350",'Job Sheet'!AA19,"")</f>
        <v/>
      </c>
      <c r="T11" s="15" t="str">
        <f>IF('Job Sheet'!AB19="2500 x 2750",'Job Sheet'!AA19,"")</f>
        <v/>
      </c>
      <c r="U11" s="15" t="str">
        <f>IF('Job Sheet'!AB19="2800 x 2050",'Job Sheet'!AA19,"")</f>
        <v/>
      </c>
      <c r="V11" s="15" t="str">
        <f>IF('Job Sheet'!AB19="2800 x 2350",'Job Sheet'!AA19,"")</f>
        <v/>
      </c>
      <c r="W11" s="15" t="str">
        <f>IF('Job Sheet'!AB19="2800 x 2750",'Job Sheet'!AA19,"")</f>
        <v/>
      </c>
      <c r="X11" s="15" t="str">
        <f>IF('Job Sheet'!AB19="3500 x 2050",'Job Sheet'!AA19,"")</f>
        <v/>
      </c>
      <c r="Y11" s="15" t="str">
        <f>IF('Job Sheet'!AB19="3500 x 2350",'Job Sheet'!AA19,"")</f>
        <v/>
      </c>
      <c r="Z11" s="15" t="str">
        <f>IF('Job Sheet'!AB19="3500 x 2750",'Job Sheet'!AA19,"")</f>
        <v/>
      </c>
      <c r="AA11" s="15" t="str">
        <f>IF(AND('Tube Cutting'!F19="White",'Job Sheet'!AA19=2),'Job Sheet'!AD19*2,IF('Tube Cutting'!F19="White",'Job Sheet'!AD19,""))</f>
        <v/>
      </c>
      <c r="AB11" s="15" t="str">
        <f>IF(AND('Tube Cutting'!F19="Black",'Job Sheet'!AA19=2),'Job Sheet'!AD19*2,IF('Tube Cutting'!F19="Black",'Job Sheet'!AD19,""))</f>
        <v/>
      </c>
      <c r="AC11" s="15" t="str">
        <f>IF('Tube Cutting'!F19="White",('Job Sheet'!AE19)*2,"")</f>
        <v/>
      </c>
      <c r="AD11" s="15" t="str">
        <f>IF('Tube Cutting'!F19="Black",('Job Sheet'!AE19)*2,"")</f>
        <v/>
      </c>
      <c r="AE11" s="15" t="str">
        <f>IF(D11="","",IF('Job Sheet'!AA19=2,"",'Job Sheet'!AE19))</f>
        <v/>
      </c>
      <c r="AF11" s="15" t="str">
        <f>IF('Tube Cutting'!F19="White",'Tube Cutting'!L19,"")</f>
        <v/>
      </c>
      <c r="AG11" s="15" t="str">
        <f>IF('Tube Cutting'!F19="Black",'Tube Cutting'!L19,"")</f>
        <v/>
      </c>
      <c r="AH11" s="15" t="str">
        <f>IF(D11="","",IF('Tube Cutting'!F19="Black","",IF(AND('Tube Cutting'!J19="4mm",(OR('Job Sheet'!J19="Centre Opening",'Job Sheet'!J19="Centre Opening Off Set"))),'Job Sheet'!C19-100,IF('Tube Cutting'!J19="4mm",'Job Sheet'!C19-50,""))))</f>
        <v/>
      </c>
      <c r="AI11" s="15" t="str">
        <f>IF(D11="","",IF('Tube Cutting'!F19="White","",IF(AND('Tube Cutting'!J19="4mm",(OR('Job Sheet'!J19="Centre Opening",'Job Sheet'!J19="Centre Opening Off Set"))),'Job Sheet'!C19-100,IF('Tube Cutting'!J19="4mm",'Job Sheet'!C19-50,""))))</f>
        <v/>
      </c>
      <c r="AJ11" s="15" t="str">
        <f>IF(D11="","",IF('Tube Cutting'!F19="Black","",IF(AND('Tube Cutting'!J19="8mm",(OR('Job Sheet'!J19="Centre Opening",'Job Sheet'!J19="Centre Opening Off Set"))),'Job Sheet'!C19-100,IF('Tube Cutting'!J19="8mm",'Job Sheet'!C19-50,""))))</f>
        <v/>
      </c>
      <c r="AK11" s="15" t="str">
        <f>IF(D11="","",IF('Tube Cutting'!F19="White","",IF(AND('Tube Cutting'!J19="8mm",(OR('Job Sheet'!J19="Centre Opening",'Job Sheet'!J19="Centre Opening Off Set"))),'Job Sheet'!C19-100,IF('Tube Cutting'!J19="8mm",'Job Sheet'!C19-50,""))))</f>
        <v/>
      </c>
      <c r="AL11" s="66" t="str">
        <f t="array" ref="AL11">IF(SUMPRODUCT(--(LEN('Job Sheet'!AG19:AJ19)&gt;0))=0,"",IF('Tube Cutting'!F19="White",SUM('Job Sheet'!AG19:AJ19),""))</f>
        <v/>
      </c>
      <c r="AM11" s="66" t="str">
        <f t="array" ref="AM11">IF(SUMPRODUCT(--(LEN('Job Sheet'!AG19:AJ19)&gt;0))=0,"",IF('Tube Cutting'!F19="Black",SUM('Job Sheet'!AG19:AJ19),""))</f>
        <v/>
      </c>
      <c r="AN11" s="66" t="str">
        <f t="array" ref="AN11">IF(SUMPRODUCT(--(LEN('Job Sheet'!AL19:AO19)&gt;0))=0,"",IF('Tube Cutting'!F19="White",SUM('Job Sheet'!AL19:AO19),""))</f>
        <v/>
      </c>
      <c r="AO11" s="66" t="str">
        <f t="array" ref="AO11">IF(SUMPRODUCT(--(LEN('Job Sheet'!AL19:AO19)&gt;0))=0,"",IF('Tube Cutting'!F19="Black",SUM('Job Sheet'!AL19:AO19),""))</f>
        <v/>
      </c>
      <c r="AP11" s="66" t="str">
        <f t="array" ref="AP11">IF(SUMPRODUCT(--(LEN('Job Sheet'!AQ19:AT19)&gt;0))=0,"",IF('Tube Cutting'!F19="White",SUM('Job Sheet'!AQ19:AT19),""))</f>
        <v/>
      </c>
      <c r="AQ11" s="66" t="str">
        <f t="array" ref="AQ11">IF(SUMPRODUCT(--(LEN('Job Sheet'!AQ19:AT19)&gt;0))=0,"",IF('Tube Cutting'!F19="Black",SUM('Job Sheet'!AQ19:AT19),""))</f>
        <v/>
      </c>
      <c r="AR11" s="15" t="str">
        <f>IF(D11="","",'Job Sheet'!AE19*2)</f>
        <v/>
      </c>
      <c r="AS11" s="15" t="str">
        <f>IF('Tube Cutting'!F19="White",2,"")</f>
        <v/>
      </c>
      <c r="AT11" s="15" t="str">
        <f>IF('Tube Cutting'!F19="Black",2,"")</f>
        <v/>
      </c>
      <c r="AU11" s="15" t="str">
        <f>IF('Tube Cutting'!F19="White",2,"")</f>
        <v/>
      </c>
      <c r="AV11" s="15" t="str">
        <f>IF('Tube Cutting'!F19="Black",2,"")</f>
        <v/>
      </c>
      <c r="AW11" s="15" t="str">
        <f>IF('Tube Cutting'!F19="White",'Job Sheet'!AA19*2,"")</f>
        <v/>
      </c>
      <c r="AX11" s="15" t="str">
        <f>IF('Tube Cutting'!F19="Black",'Job Sheet'!AA19*2,"")</f>
        <v/>
      </c>
      <c r="AY11" s="15" t="str">
        <f>IF(D11="","",'Tube Cutting'!L19)</f>
        <v/>
      </c>
      <c r="AZ11" s="66" t="str">
        <f>IF(D11="","",'Job Sheet'!C19-50)</f>
        <v/>
      </c>
      <c r="BA11" s="15" t="str">
        <f>IF(AND('Job Sheet'!I19="4mm",OR('Job Sheet'!J19="Centre Opening",'Job Sheet'!J19="Centre Opening Off Set")),1,"")</f>
        <v/>
      </c>
      <c r="BB11" s="15" t="str">
        <f>IF(AND('Job Sheet'!I19="8mm",OR('Job Sheet'!J19="Centre Opening",'Job Sheet'!J19="Centre Opening Off Set")),1,"")</f>
        <v/>
      </c>
      <c r="BC11" s="15" t="str">
        <f>IF(D11="","",Bagging!G19)</f>
        <v/>
      </c>
      <c r="BD11" s="15" t="str">
        <f>IF(D11="","",Bagging!G19)</f>
        <v/>
      </c>
      <c r="BE11" s="15" t="str">
        <f>IF(D11="","",Bagging!G19)</f>
        <v/>
      </c>
      <c r="BF11" s="15" t="str">
        <f>IF(D11="","",Bagging!K19)</f>
        <v/>
      </c>
    </row>
    <row r="12" spans="4:132" s="92" customFormat="1" ht="13.2" customHeight="1">
      <c r="D12" s="89" t="str">
        <f>IF('Tube Cutting'!C20="","",CONCATENATE(Data!BC$5,".",Data!BD$5))</f>
        <v/>
      </c>
      <c r="E12" s="89" t="str">
        <f>IF(D12="","",Data!AW20)</f>
        <v/>
      </c>
      <c r="F12" s="89" t="str">
        <f>IF(D12="","",Data!AV20)</f>
        <v/>
      </c>
      <c r="G12" s="89" t="str">
        <f>IF(D12="","",Data!BF$5)</f>
        <v/>
      </c>
      <c r="H12" s="89" t="str">
        <f>IF(D12="","",Data!AX$5)</f>
        <v/>
      </c>
      <c r="I12" s="89" t="str">
        <f>IF('Job Sheet'!AB20="1000 x 2050",'Job Sheet'!AA20,"")</f>
        <v/>
      </c>
      <c r="J12" s="90" t="str">
        <f>IF('Job Sheet'!AB20="1000 x 2350",'Job Sheet'!AA20,"")</f>
        <v/>
      </c>
      <c r="K12" s="90" t="str">
        <f>IF('Job Sheet'!AB20="1000 x 2750",'Job Sheet'!AA20,"")</f>
        <v/>
      </c>
      <c r="L12" s="91" t="str">
        <f>IF('Job Sheet'!AB20="1300 x 2050",'Job Sheet'!AA20,"")</f>
        <v/>
      </c>
      <c r="M12" s="91" t="str">
        <f>IF('Job Sheet'!AB20="1300 x 2350",'Job Sheet'!AA20,"")</f>
        <v/>
      </c>
      <c r="N12" s="90" t="str">
        <f>IF('Job Sheet'!AB20="1300 x 2750",'Job Sheet'!AA20,"")</f>
        <v/>
      </c>
      <c r="O12" s="90" t="str">
        <f>IF('Job Sheet'!AB20="1800 x 2050",'Job Sheet'!AA20,"")</f>
        <v/>
      </c>
      <c r="P12" s="90" t="str">
        <f>IF('Job Sheet'!AB20="1800 x 2350",'Job Sheet'!AA20,"")</f>
        <v/>
      </c>
      <c r="Q12" s="89" t="str">
        <f>IF('Job Sheet'!AB20="1800 x 2750",'Job Sheet'!AA20,"")</f>
        <v/>
      </c>
      <c r="R12" s="89" t="str">
        <f>IF('Job Sheet'!AB20="2500 x 2050",'Job Sheet'!AA20,"")</f>
        <v/>
      </c>
      <c r="S12" s="89" t="str">
        <f>IF('Job Sheet'!AB20="2500 x 2350",'Job Sheet'!AA20,"")</f>
        <v/>
      </c>
      <c r="T12" s="89" t="str">
        <f>IF('Job Sheet'!AB20="2500 x 2750",'Job Sheet'!AA20,"")</f>
        <v/>
      </c>
      <c r="U12" s="89" t="str">
        <f>IF('Job Sheet'!AB20="2800 x 2050",'Job Sheet'!AA20,"")</f>
        <v/>
      </c>
      <c r="V12" s="89" t="str">
        <f>IF('Job Sheet'!AB20="2800 x 2350",'Job Sheet'!AA20,"")</f>
        <v/>
      </c>
      <c r="W12" s="89" t="str">
        <f>IF('Job Sheet'!AB20="2800 x 2750",'Job Sheet'!AA20,"")</f>
        <v/>
      </c>
      <c r="X12" s="89" t="str">
        <f>IF('Job Sheet'!AB20="3500 x 2050",'Job Sheet'!AA20,"")</f>
        <v/>
      </c>
      <c r="Y12" s="89" t="str">
        <f>IF('Job Sheet'!AB20="3500 x 2350",'Job Sheet'!AA20,"")</f>
        <v/>
      </c>
      <c r="Z12" s="89" t="str">
        <f>IF('Job Sheet'!AB20="3500 x 2750",'Job Sheet'!AA20,"")</f>
        <v/>
      </c>
      <c r="AA12" s="89" t="str">
        <f>IF(AND('Tube Cutting'!F20="White",'Job Sheet'!AA20=2),'Job Sheet'!AD20*2,IF('Tube Cutting'!F20="White",'Job Sheet'!AD20,""))</f>
        <v/>
      </c>
      <c r="AB12" s="89" t="str">
        <f>IF(AND('Tube Cutting'!F20="Black",'Job Sheet'!AA20=2),'Job Sheet'!AD20*2,IF('Tube Cutting'!F20="Black",'Job Sheet'!AD20,""))</f>
        <v/>
      </c>
      <c r="AC12" s="89" t="str">
        <f>IF('Tube Cutting'!F20="White",('Job Sheet'!AE20)*2,"")</f>
        <v/>
      </c>
      <c r="AD12" s="89" t="str">
        <f>IF('Tube Cutting'!F20="Black",('Job Sheet'!AE20)*2,"")</f>
        <v/>
      </c>
      <c r="AE12" s="89" t="str">
        <f>IF(D12="","",IF('Job Sheet'!AA20=2,"",'Job Sheet'!AE20))</f>
        <v/>
      </c>
      <c r="AF12" s="89" t="str">
        <f>IF('Tube Cutting'!F20="White",'Tube Cutting'!L20,"")</f>
        <v/>
      </c>
      <c r="AG12" s="89" t="str">
        <f>IF('Tube Cutting'!F20="Black",'Tube Cutting'!L20,"")</f>
        <v/>
      </c>
      <c r="AH12" s="89" t="str">
        <f>IF(D12="","",IF('Tube Cutting'!F20="Black","",IF(AND('Tube Cutting'!J20="4mm",(OR('Job Sheet'!J20="Centre Opening",'Job Sheet'!J20="Centre Opening Off Set"))),'Job Sheet'!C20-100,IF('Tube Cutting'!J20="4mm",'Job Sheet'!C20-50,""))))</f>
        <v/>
      </c>
      <c r="AI12" s="89" t="str">
        <f>IF(D12="","",IF('Tube Cutting'!F20="White","",IF(AND('Tube Cutting'!J20="4mm",(OR('Job Sheet'!J20="Centre Opening",'Job Sheet'!J20="Centre Opening Off Set"))),'Job Sheet'!C20-100,IF('Tube Cutting'!J20="4mm",'Job Sheet'!C20-50,""))))</f>
        <v/>
      </c>
      <c r="AJ12" s="89" t="str">
        <f>IF(D12="","",IF('Tube Cutting'!F20="Black","",IF(AND('Tube Cutting'!J20="8mm",(OR('Job Sheet'!J20="Centre Opening",'Job Sheet'!J20="Centre Opening Off Set"))),'Job Sheet'!C20-100,IF('Tube Cutting'!J20="8mm",'Job Sheet'!C20-50,""))))</f>
        <v/>
      </c>
      <c r="AK12" s="89" t="str">
        <f>IF(D12="","",IF('Tube Cutting'!F20="White","",IF(AND('Tube Cutting'!J20="8mm",(OR('Job Sheet'!J20="Centre Opening",'Job Sheet'!J20="Centre Opening Off Set"))),'Job Sheet'!C20-100,IF('Tube Cutting'!J20="8mm",'Job Sheet'!C20-50,""))))</f>
        <v/>
      </c>
      <c r="AL12" s="90" t="str">
        <f t="array" ref="AL12">IF(SUMPRODUCT(--(LEN('Job Sheet'!AG20:AJ20)&gt;0))=0,"",IF('Tube Cutting'!F20="White",SUM('Job Sheet'!AG20:AJ20),""))</f>
        <v/>
      </c>
      <c r="AM12" s="90" t="str">
        <f t="array" ref="AM12">IF(SUMPRODUCT(--(LEN('Job Sheet'!AG20:AJ20)&gt;0))=0,"",IF('Tube Cutting'!F20="Black",SUM('Job Sheet'!AG20:AJ20),""))</f>
        <v/>
      </c>
      <c r="AN12" s="90" t="str">
        <f t="array" ref="AN12">IF(SUMPRODUCT(--(LEN('Job Sheet'!AL20:AO20)&gt;0))=0,"",IF('Tube Cutting'!F20="White",SUM('Job Sheet'!AL20:AO20),""))</f>
        <v/>
      </c>
      <c r="AO12" s="90" t="str">
        <f t="array" ref="AO12">IF(SUMPRODUCT(--(LEN('Job Sheet'!AL20:AO20)&gt;0))=0,"",IF('Tube Cutting'!F20="Black",SUM('Job Sheet'!AL20:AO20),""))</f>
        <v/>
      </c>
      <c r="AP12" s="90" t="str">
        <f t="array" ref="AP12">IF(SUMPRODUCT(--(LEN('Job Sheet'!AQ20:AT20)&gt;0))=0,"",IF('Tube Cutting'!F20="White",SUM('Job Sheet'!AQ20:AT20),""))</f>
        <v/>
      </c>
      <c r="AQ12" s="90" t="str">
        <f t="array" ref="AQ12">IF(SUMPRODUCT(--(LEN('Job Sheet'!AQ20:AT20)&gt;0))=0,"",IF('Tube Cutting'!F20="Black",SUM('Job Sheet'!AQ20:AT20),""))</f>
        <v/>
      </c>
      <c r="AR12" s="89" t="str">
        <f>IF(D12="","",'Job Sheet'!AE20*2)</f>
        <v/>
      </c>
      <c r="AS12" s="89" t="str">
        <f>IF('Tube Cutting'!F20="White",2,"")</f>
        <v/>
      </c>
      <c r="AT12" s="89" t="str">
        <f>IF('Tube Cutting'!F20="Black",2,"")</f>
        <v/>
      </c>
      <c r="AU12" s="89" t="str">
        <f>IF('Tube Cutting'!F20="White",2,"")</f>
        <v/>
      </c>
      <c r="AV12" s="89" t="str">
        <f>IF('Tube Cutting'!F20="Black",2,"")</f>
        <v/>
      </c>
      <c r="AW12" s="15" t="str">
        <f>IF('Tube Cutting'!F20="White",'Job Sheet'!AA20*2,"")</f>
        <v/>
      </c>
      <c r="AX12" s="15" t="str">
        <f>IF('Tube Cutting'!F20="Black",'Job Sheet'!AA20*2,"")</f>
        <v/>
      </c>
      <c r="AY12" s="89" t="str">
        <f>IF(D12="","",'Tube Cutting'!L20)</f>
        <v/>
      </c>
      <c r="AZ12" s="90" t="str">
        <f>IF(D12="","",'Job Sheet'!C20-50)</f>
        <v/>
      </c>
      <c r="BA12" s="89" t="str">
        <f>IF(AND('Job Sheet'!I20="4mm",OR('Job Sheet'!J20="Centre Opening",'Job Sheet'!J20="Centre Opening Off Set")),1,"")</f>
        <v/>
      </c>
      <c r="BB12" s="89" t="str">
        <f>IF(AND('Job Sheet'!I20="8mm",OR('Job Sheet'!J20="Centre Opening",'Job Sheet'!J20="Centre Opening Off Set")),1,"")</f>
        <v/>
      </c>
      <c r="BC12" s="89" t="str">
        <f>IF(D12="","",Bagging!G20)</f>
        <v/>
      </c>
      <c r="BD12" s="89" t="str">
        <f>IF(D12="","",Bagging!G20)</f>
        <v/>
      </c>
      <c r="BE12" s="89" t="str">
        <f>IF(D12="","",Bagging!G20)</f>
        <v/>
      </c>
      <c r="BF12" s="89" t="str">
        <f>IF(D12="","",Bagging!K20)</f>
        <v/>
      </c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  <c r="DC12" s="89"/>
      <c r="DD12" s="89"/>
      <c r="DE12" s="89"/>
      <c r="DF12" s="89"/>
      <c r="DG12" s="89"/>
      <c r="DH12" s="89"/>
      <c r="DI12" s="89"/>
      <c r="DJ12" s="89"/>
      <c r="DK12" s="89"/>
      <c r="DL12" s="89"/>
      <c r="DM12" s="89"/>
      <c r="DN12" s="89"/>
      <c r="DO12" s="89"/>
      <c r="DP12" s="89"/>
      <c r="DQ12" s="89"/>
      <c r="DR12" s="89"/>
      <c r="DS12" s="89"/>
      <c r="DT12" s="89"/>
      <c r="DU12" s="89"/>
      <c r="DV12" s="89"/>
      <c r="DW12" s="89"/>
      <c r="DX12" s="89"/>
      <c r="DY12" s="89"/>
      <c r="DZ12" s="89"/>
      <c r="EA12" s="89"/>
      <c r="EB12" s="89"/>
    </row>
  </sheetData>
  <pageMargins left="0.75905511811024" right="0.75905511811024" top="0.75" bottom="0.75" header="0.3" footer="0.3"/>
  <pageSetup orientation="portrait" paperSize="9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V23"/>
  <sheetViews>
    <sheetView workbookViewId="0" topLeftCell="A1">
      <selection pane="topLeft" activeCell="M2" sqref="M2:R10"/>
    </sheetView>
  </sheetViews>
  <sheetFormatPr defaultColWidth="8.88671875" defaultRowHeight="15"/>
  <cols>
    <col min="1" max="1" width="24" style="31" bestFit="1" customWidth="1"/>
    <col min="2" max="2" width="10.1428571428571" style="31" customWidth="1"/>
    <col min="3" max="3" width="1.71428571428571" style="31" customWidth="1"/>
    <col min="4" max="4" width="13.5714285714286" style="31" bestFit="1" customWidth="1"/>
    <col min="5" max="5" width="13.5714285714286" style="31" customWidth="1"/>
    <col min="6" max="11" width="11.2857142857143" style="31" bestFit="1" customWidth="1"/>
    <col min="12" max="12" width="1.71428571428571" style="31" customWidth="1"/>
    <col min="13" max="13" width="20.4285714285714" style="31" bestFit="1" customWidth="1"/>
    <col min="14" max="14" width="7.85714285714286" style="31" customWidth="1"/>
    <col min="15" max="16" width="8.28571428571429" style="31" customWidth="1"/>
    <col min="17" max="17" width="12.5714285714286" style="31" bestFit="1" customWidth="1"/>
    <col min="18" max="18" width="38.5714285714286" style="31" bestFit="1" customWidth="1"/>
    <col min="19" max="19" width="11.2857142857143" style="31" customWidth="1"/>
    <col min="20" max="20" width="10.8571428571429" style="31" bestFit="1" customWidth="1"/>
    <col min="21" max="21" width="9.14285714285714" style="31" customWidth="1"/>
    <col min="22" max="16384" width="8.85714285714286" style="31"/>
  </cols>
  <sheetData>
    <row r="1" spans="1:22" s="59" customFormat="1" ht="45" customHeight="1">
      <c r="A1" s="75" t="s">
        <v>123</v>
      </c>
      <c r="B1" s="75" t="s">
        <v>132</v>
      </c>
      <c r="D1" s="188" t="s">
        <v>191</v>
      </c>
      <c r="E1" s="188"/>
      <c r="F1" s="188"/>
      <c r="G1" s="188"/>
      <c r="H1" s="188"/>
      <c r="I1" s="188"/>
      <c r="J1" s="188"/>
      <c r="K1" s="188"/>
      <c r="M1" s="75" t="s">
        <v>211</v>
      </c>
      <c r="N1" s="75" t="s">
        <v>210</v>
      </c>
      <c r="O1" s="75" t="s">
        <v>216</v>
      </c>
      <c r="P1" s="75" t="s">
        <v>218</v>
      </c>
      <c r="Q1" s="75" t="s">
        <v>296</v>
      </c>
      <c r="R1" s="75" t="s">
        <v>230</v>
      </c>
      <c r="T1" s="75" t="s">
        <v>191</v>
      </c>
      <c r="U1" s="75" t="s">
        <v>217</v>
      </c>
      <c r="V1" s="75" t="s">
        <v>212</v>
      </c>
    </row>
    <row r="2" spans="1:22" ht="14.4" customHeight="1">
      <c r="A2" s="32" t="s">
        <v>133</v>
      </c>
      <c r="B2" s="60">
        <v>0</v>
      </c>
      <c r="D2" s="73" t="s">
        <v>190</v>
      </c>
      <c r="E2" s="73">
        <v>1</v>
      </c>
      <c r="F2" s="73">
        <v>1000</v>
      </c>
      <c r="G2" s="73">
        <v>1300</v>
      </c>
      <c r="H2" s="73">
        <v>1800</v>
      </c>
      <c r="I2" s="73">
        <v>2500</v>
      </c>
      <c r="J2" s="73">
        <v>2800</v>
      </c>
      <c r="K2" s="73">
        <v>3500</v>
      </c>
      <c r="M2" s="63" t="s">
        <v>213</v>
      </c>
      <c r="N2" s="62">
        <v>18</v>
      </c>
      <c r="O2" s="62">
        <v>20</v>
      </c>
      <c r="P2" s="62">
        <v>100</v>
      </c>
      <c r="Q2" s="62">
        <v>4</v>
      </c>
      <c r="R2" s="62" t="s">
        <v>294</v>
      </c>
      <c r="T2" s="61" t="s">
        <v>192</v>
      </c>
      <c r="U2" s="76">
        <v>1000</v>
      </c>
      <c r="V2" s="62">
        <v>2050</v>
      </c>
    </row>
    <row r="3" spans="1:22" ht="14.4" customHeight="1">
      <c r="A3" s="32" t="s">
        <v>123</v>
      </c>
      <c r="B3" s="60">
        <v>0</v>
      </c>
      <c r="D3" s="73">
        <v>1</v>
      </c>
      <c r="E3" s="58" t="s">
        <v>192</v>
      </c>
      <c r="F3" s="58" t="s">
        <v>193</v>
      </c>
      <c r="G3" s="58" t="s">
        <v>194</v>
      </c>
      <c r="H3" s="58" t="s">
        <v>195</v>
      </c>
      <c r="I3" s="58" t="s">
        <v>196</v>
      </c>
      <c r="J3" s="58" t="s">
        <v>197</v>
      </c>
      <c r="K3" s="73"/>
      <c r="M3" s="63" t="s">
        <v>214</v>
      </c>
      <c r="N3" s="62">
        <v>18</v>
      </c>
      <c r="O3" s="62">
        <v>20</v>
      </c>
      <c r="P3" s="62">
        <v>100</v>
      </c>
      <c r="Q3" s="62">
        <v>4</v>
      </c>
      <c r="R3" s="62" t="s">
        <v>294</v>
      </c>
      <c r="T3" s="61" t="s">
        <v>198</v>
      </c>
      <c r="U3" s="76">
        <v>1000</v>
      </c>
      <c r="V3" s="62">
        <v>2350</v>
      </c>
    </row>
    <row r="4" spans="1:22" ht="14.4">
      <c r="A4" s="32" t="s">
        <v>134</v>
      </c>
      <c r="B4" s="60">
        <v>0</v>
      </c>
      <c r="D4" s="74">
        <v>2050</v>
      </c>
      <c r="E4" s="58" t="s">
        <v>198</v>
      </c>
      <c r="F4" s="58" t="s">
        <v>199</v>
      </c>
      <c r="G4" s="58" t="s">
        <v>200</v>
      </c>
      <c r="H4" s="58" t="s">
        <v>201</v>
      </c>
      <c r="I4" s="58" t="s">
        <v>202</v>
      </c>
      <c r="J4" s="58" t="s">
        <v>203</v>
      </c>
      <c r="K4" s="73"/>
      <c r="M4" s="63" t="s">
        <v>215</v>
      </c>
      <c r="N4" s="62">
        <v>16</v>
      </c>
      <c r="O4" s="62">
        <v>18</v>
      </c>
      <c r="P4" s="62">
        <v>50</v>
      </c>
      <c r="Q4" s="62">
        <v>2</v>
      </c>
      <c r="R4" s="62" t="s">
        <v>295</v>
      </c>
      <c r="T4" s="61" t="s">
        <v>204</v>
      </c>
      <c r="U4" s="76">
        <v>1000</v>
      </c>
      <c r="V4" s="62">
        <v>2750</v>
      </c>
    </row>
    <row r="5" spans="1:22" ht="14.4">
      <c r="A5" s="32" t="s">
        <v>135</v>
      </c>
      <c r="B5" s="60">
        <v>0</v>
      </c>
      <c r="D5" s="74">
        <v>2350</v>
      </c>
      <c r="E5" s="58" t="s">
        <v>204</v>
      </c>
      <c r="F5" s="58" t="s">
        <v>205</v>
      </c>
      <c r="G5" s="58" t="s">
        <v>206</v>
      </c>
      <c r="H5" s="58" t="s">
        <v>207</v>
      </c>
      <c r="I5" s="58" t="s">
        <v>208</v>
      </c>
      <c r="J5" s="58" t="s">
        <v>209</v>
      </c>
      <c r="K5" s="73"/>
      <c r="M5" s="63" t="s">
        <v>181</v>
      </c>
      <c r="N5" s="62">
        <v>16</v>
      </c>
      <c r="O5" s="62">
        <v>18</v>
      </c>
      <c r="P5" s="62">
        <v>50</v>
      </c>
      <c r="Q5" s="62">
        <v>2</v>
      </c>
      <c r="R5" s="62" t="s">
        <v>295</v>
      </c>
      <c r="T5" s="61" t="s">
        <v>193</v>
      </c>
      <c r="U5" s="76">
        <v>1300</v>
      </c>
      <c r="V5" s="62">
        <v>2050</v>
      </c>
    </row>
    <row r="6" spans="1:22" ht="14.4">
      <c r="A6" s="32" t="s">
        <v>143</v>
      </c>
      <c r="B6" s="60">
        <v>5</v>
      </c>
      <c r="D6" s="74">
        <v>2750</v>
      </c>
      <c r="E6" s="74"/>
      <c r="F6" s="74"/>
      <c r="G6" s="74"/>
      <c r="H6" s="74"/>
      <c r="I6" s="74"/>
      <c r="J6" s="74"/>
      <c r="K6" s="74"/>
      <c r="M6" s="62"/>
      <c r="N6" s="62"/>
      <c r="O6" s="62"/>
      <c r="P6" s="62"/>
      <c r="Q6" s="62"/>
      <c r="R6" s="62"/>
      <c r="T6" s="61" t="s">
        <v>199</v>
      </c>
      <c r="U6" s="76">
        <v>1300</v>
      </c>
      <c r="V6" s="62">
        <v>2350</v>
      </c>
    </row>
    <row r="7" spans="1:22" ht="14.4">
      <c r="A7" s="32" t="s">
        <v>144</v>
      </c>
      <c r="B7" s="60">
        <v>10</v>
      </c>
      <c r="M7" s="62"/>
      <c r="N7" s="62"/>
      <c r="O7" s="62"/>
      <c r="P7" s="62"/>
      <c r="Q7" s="62"/>
      <c r="R7" s="62"/>
      <c r="T7" s="61" t="s">
        <v>205</v>
      </c>
      <c r="U7" s="76">
        <v>1300</v>
      </c>
      <c r="V7" s="62">
        <v>2750</v>
      </c>
    </row>
    <row r="8" spans="1:22" ht="14.4">
      <c r="A8" s="32" t="s">
        <v>138</v>
      </c>
      <c r="B8" s="60">
        <v>-5</v>
      </c>
      <c r="M8" s="62"/>
      <c r="N8" s="62"/>
      <c r="O8" s="62"/>
      <c r="P8" s="62"/>
      <c r="Q8" s="62"/>
      <c r="R8" s="62"/>
      <c r="T8" s="62" t="s">
        <v>194</v>
      </c>
      <c r="U8" s="76">
        <v>1800</v>
      </c>
      <c r="V8" s="62">
        <v>2050</v>
      </c>
    </row>
    <row r="9" spans="1:22" ht="14.4">
      <c r="A9" s="32"/>
      <c r="B9" s="60"/>
      <c r="M9" s="62"/>
      <c r="N9" s="62"/>
      <c r="O9" s="62"/>
      <c r="P9" s="62"/>
      <c r="Q9" s="62"/>
      <c r="R9" s="62"/>
      <c r="T9" s="62" t="s">
        <v>200</v>
      </c>
      <c r="U9" s="76">
        <v>1800</v>
      </c>
      <c r="V9" s="62">
        <v>2350</v>
      </c>
    </row>
    <row r="10" spans="1:22" ht="14.4">
      <c r="A10" s="32"/>
      <c r="B10" s="60"/>
      <c r="M10" s="62"/>
      <c r="N10" s="62"/>
      <c r="O10" s="62"/>
      <c r="P10" s="62"/>
      <c r="Q10" s="62"/>
      <c r="R10" s="62"/>
      <c r="T10" s="62" t="s">
        <v>206</v>
      </c>
      <c r="U10" s="76">
        <v>1800</v>
      </c>
      <c r="V10" s="62">
        <v>2750</v>
      </c>
    </row>
    <row r="11" spans="1:22" ht="14.4">
      <c r="A11" s="32"/>
      <c r="B11" s="60"/>
      <c r="T11" s="62" t="s">
        <v>195</v>
      </c>
      <c r="U11" s="76">
        <v>2500</v>
      </c>
      <c r="V11" s="62">
        <v>2050</v>
      </c>
    </row>
    <row r="12" spans="1:22" ht="14.4">
      <c r="A12" s="32"/>
      <c r="B12" s="60"/>
      <c r="T12" s="62" t="s">
        <v>201</v>
      </c>
      <c r="U12" s="76">
        <v>2500</v>
      </c>
      <c r="V12" s="62">
        <v>2350</v>
      </c>
    </row>
    <row r="13" spans="1:22" ht="14.4">
      <c r="A13"/>
      <c r="T13" s="62" t="s">
        <v>207</v>
      </c>
      <c r="U13" s="76">
        <v>2500</v>
      </c>
      <c r="V13" s="62">
        <v>2750</v>
      </c>
    </row>
    <row r="14" spans="1:22" ht="14.4">
      <c r="A14"/>
      <c r="T14" s="62" t="s">
        <v>196</v>
      </c>
      <c r="U14" s="76">
        <v>2800</v>
      </c>
      <c r="V14" s="62">
        <v>2050</v>
      </c>
    </row>
    <row r="15" spans="1:22" ht="14.4">
      <c r="A15"/>
      <c r="T15" s="62" t="s">
        <v>202</v>
      </c>
      <c r="U15" s="76">
        <v>2800</v>
      </c>
      <c r="V15" s="62">
        <v>2350</v>
      </c>
    </row>
    <row r="16" spans="20:22" ht="14.4">
      <c r="T16" s="62" t="s">
        <v>208</v>
      </c>
      <c r="U16" s="76">
        <v>2800</v>
      </c>
      <c r="V16" s="62">
        <v>2750</v>
      </c>
    </row>
    <row r="17" spans="20:22" ht="14.4">
      <c r="T17" s="61" t="s">
        <v>197</v>
      </c>
      <c r="U17" s="76">
        <v>3500</v>
      </c>
      <c r="V17" s="62">
        <v>2050</v>
      </c>
    </row>
    <row r="18" spans="1:22" ht="14.4">
      <c r="A18"/>
      <c r="T18" s="61" t="s">
        <v>203</v>
      </c>
      <c r="U18" s="76">
        <v>3500</v>
      </c>
      <c r="V18" s="62">
        <v>2350</v>
      </c>
    </row>
    <row r="19" spans="1:22" ht="14.4">
      <c r="A19"/>
      <c r="T19" s="61" t="s">
        <v>209</v>
      </c>
      <c r="U19" s="76">
        <v>3500</v>
      </c>
      <c r="V19" s="62">
        <v>2750</v>
      </c>
    </row>
    <row r="20" spans="1:22" ht="14.4">
      <c r="A20"/>
      <c r="T20" s="62"/>
      <c r="U20" s="76"/>
      <c r="V20" s="62"/>
    </row>
    <row r="21" spans="1:22" ht="14.4">
      <c r="A21"/>
      <c r="T21" s="62"/>
      <c r="U21" s="76"/>
      <c r="V21" s="62"/>
    </row>
    <row r="22" spans="20:22" ht="14.4">
      <c r="T22" s="62"/>
      <c r="U22" s="76"/>
      <c r="V22" s="62"/>
    </row>
    <row r="23" spans="20:22" ht="14.4">
      <c r="T23" s="62"/>
      <c r="U23" s="76"/>
      <c r="V23" s="62"/>
    </row>
  </sheetData>
  <mergeCells count="1">
    <mergeCell ref="D1:K1"/>
  </mergeCells>
  <pageMargins left="1.19606299212621" right="1.19606299212621" top="0.75" bottom="0.75" header="0.3" footer="0.3"/>
  <pageSetup horizontalDpi="300" verticalDpi="30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C484F-6A2D-4CFF-9B74-A05B062435F6}">
  <sheetPr codeName="Sheet2"/>
  <dimension ref="A1:K20"/>
  <sheetViews>
    <sheetView workbookViewId="0" topLeftCell="A7">
      <selection pane="topLeft" activeCell="A12" sqref="A12"/>
    </sheetView>
  </sheetViews>
  <sheetFormatPr defaultColWidth="9.109375" defaultRowHeight="13.5"/>
  <cols>
    <col min="1" max="1" width="47.8571428571429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24"/>
      <c r="D1" s="28"/>
      <c r="E1" s="24"/>
      <c r="F1" s="24"/>
    </row>
    <row r="2" spans="1:4" ht="13.2">
      <c r="A2">
        <v>2</v>
      </c>
      <c r="B2" s="55"/>
      <c r="C2" s="24"/>
      <c r="D2" s="28"/>
    </row>
    <row r="3" spans="1:4" ht="13.2">
      <c r="A3">
        <v>3</v>
      </c>
      <c r="C3" s="24"/>
      <c r="D3" s="24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160</v>
      </c>
    </row>
    <row r="10" spans="1:11" ht="13.2">
      <c r="A10" t="s">
        <v>161</v>
      </c>
      <c r="B10" t="s">
        <v>162</v>
      </c>
      <c r="C10" t="s">
        <v>163</v>
      </c>
      <c r="D10" t="s">
        <v>164</v>
      </c>
      <c r="E10" t="s">
        <v>114</v>
      </c>
      <c r="F10" t="s">
        <v>165</v>
      </c>
      <c r="G10" t="s">
        <v>166</v>
      </c>
      <c r="H10" t="s">
        <v>115</v>
      </c>
      <c r="I10" t="s">
        <v>167</v>
      </c>
      <c r="J10" t="s">
        <v>168</v>
      </c>
      <c r="K10" t="s">
        <v>169</v>
      </c>
    </row>
    <row r="11" spans="1:11" ht="13.2" customHeight="1">
      <c r="A11" t="str">
        <f>IF(OR(Data!$AV11="",Data!$AW11&gt;999),"","^XA^LH0,0^PRB,D^MD20^JMA^FS")</f>
        <v>^XA^LH0,0^PRB,D^MD20^JMA^FS</v>
      </c>
      <c r="B11" t="str">
        <f>IF(A11&lt;&gt;"","^FO20,20^A0N,28,37^CI13^FD"&amp;TEXT(Data!AY$5,"d/m/yyyy")&amp;"^FS","")</f>
        <v>^FO20,20^A0N,28,37^CI13^FD1/9/2026^FS</v>
      </c>
      <c r="C11" t="str">
        <f>IF(A11&lt;&gt;"","^FO220,20^A0N,41,48^CI13^FD"&amp;Data!$BC$5&amp;Data!$BD$5&amp;"/"&amp;RIGHT("000"&amp;Data!AW11,3)&amp;"^FS","")</f>
        <v>^FO220,20^A0N,41,48^CI13^FD10940A/001^FS</v>
      </c>
      <c r="D11" t="str">
        <f>IF(A11&lt;&gt;"","^FO20,55^A0N,30,30^CI13^FD"&amp;Data!$BF$5&amp;"^FS","")</f>
        <v>^FO20,55^A0N,30,30^CI13^FDMcleod, Eric^FS</v>
      </c>
      <c r="E11" t="str">
        <f>IF(A11&lt;&gt;"","^FO20,55^A0N,30,30^CI13^FD"&amp;Data!$BF$5&amp;"^FS","")</f>
        <v>^FO20,55^A0N,30,30^CI13^FDMcleod, Eric^FS</v>
      </c>
      <c r="F11" t="str">
        <f>IF(A11&lt;&gt;"","^FO20,95^A0N,30,30^CI13^FD"&amp;Data!AX$5&amp;"^FS","")</f>
        <v>^FO20,95^A0N,30,30^CI13^FDRetractable Flyscreen ^FS</v>
      </c>
      <c r="G11" t="str">
        <f>IF(A11&lt;&gt;"","^FO20,135^A0N,30,30^CI13^FD"&amp;Data!BE11&amp;"^FS","")</f>
        <v>^FO20,135^A0N,30,30^CI13^FDSQNT Pleated Flyscreen Black^FS</v>
      </c>
      <c r="H11" t="str">
        <f>IF(A11&lt;&gt;"","^FO20,175^A0N,30,30^CI13^FD"&amp;Data!AY11&amp;"^FS","")</f>
        <v>^FO20,175^A0N,30,30^CI13^FDBed 3^FS</v>
      </c>
      <c r="I11" t="str">
        <f>IF(A11&lt;&gt;"","^FO300,175^A0N,30,30^CI13^FD"&amp;"W:"&amp;Data!BA11&amp;" H:"&amp;Data!BB11,"")</f>
        <v>^FO300,175^A0N,30,30^CI13^FDW:1310 H:2455</v>
      </c>
      <c r="J11" t="str">
        <f>IF(A11&lt;&gt;"","^PQ"&amp;Data!$F$18&amp;",0,"&amp;Data!$F$18&amp;",Y","")</f>
        <v>^PQ,0,,Y</v>
      </c>
      <c r="K11" t="str">
        <f>IF(A11&lt;&gt;"","^XZ","")</f>
        <v>^XZ</v>
      </c>
    </row>
    <row r="12" spans="1:11" ht="13.2" customHeight="1">
      <c r="A12" t="str">
        <f>IF(OR(Data!$AV12="",Data!$AW12&gt;999),"","^XA^LH0,0^PRB,D^MD20^JMA^FS")</f>
        <v>^XA^LH0,0^PRB,D^MD20^JMA^FS</v>
      </c>
      <c r="B12" t="str">
        <f>IF(A12&lt;&gt;"","^FO20,20^A0N,28,37^CI13^FD"&amp;TEXT(Data!AY$5,"d/m/yyyy")&amp;"^FS","")</f>
        <v>^FO20,20^A0N,28,37^CI13^FD1/9/2026^FS</v>
      </c>
      <c r="C12" t="str">
        <f>IF(A12&lt;&gt;"","^FO220,20^A0N,41,48^CI13^FD"&amp;Data!$BC$5&amp;Data!$BD$5&amp;"/"&amp;RIGHT("000"&amp;Data!AW12,3)&amp;"^FS","")</f>
        <v>^FO220,20^A0N,41,48^CI13^FD10940A/002^FS</v>
      </c>
      <c r="D12" t="str">
        <f>IF(A12&lt;&gt;"","^FO20,55^A0N,30,30^CI13^FD"&amp;Data!$BF$5&amp;"^FS","")</f>
        <v>^FO20,55^A0N,30,30^CI13^FDMcleod, Eric^FS</v>
      </c>
      <c r="E12" t="str">
        <f>IF(A12&lt;&gt;"","^FO20,55^A0N,30,30^CI13^FD"&amp;Data!$BF$5&amp;"^FS","")</f>
        <v>^FO20,55^A0N,30,30^CI13^FDMcleod, Eric^FS</v>
      </c>
      <c r="F12" t="str">
        <f>IF(A12&lt;&gt;"","^FO20,95^A0N,30,30^CI13^FD"&amp;Data!AX$5&amp;"^FS","")</f>
        <v>^FO20,95^A0N,30,30^CI13^FDRetractable Flyscreen ^FS</v>
      </c>
      <c r="G12" t="str">
        <f>IF(A12&lt;&gt;"","^FO20,135^A0N,30,30^CI13^FD"&amp;Data!BE12&amp;"^FS","")</f>
        <v>^FO20,135^A0N,30,30^CI13^FDSQNT Pleated Flyscreen Black^FS</v>
      </c>
      <c r="H12" t="str">
        <f>IF(A12&lt;&gt;"","^FO20,175^A0N,30,30^CI13^FD"&amp;Data!AY12&amp;"^FS","")</f>
        <v>^FO20,175^A0N,30,30^CI13^FDLiving West^FS</v>
      </c>
      <c r="I12" t="str">
        <f>IF(A12&lt;&gt;"","^FO300,175^A0N,30,30^CI13^FD"&amp;"W:"&amp;Data!BA12&amp;" H:"&amp;Data!BB12,"")</f>
        <v>^FO300,175^A0N,30,30^CI13^FDW:1280 H:2640</v>
      </c>
      <c r="J12" t="str">
        <f>IF(A12&lt;&gt;"","^PQ"&amp;Data!$F$18&amp;",0,"&amp;Data!$F$18&amp;",Y","")</f>
        <v>^PQ,0,,Y</v>
      </c>
      <c r="K12" t="str">
        <f t="shared" si="0" ref="K12:K20">IF(A12&lt;&gt;"","^XZ","")</f>
        <v>^XZ</v>
      </c>
    </row>
    <row r="13" spans="1:11" ht="13.2" customHeight="1">
      <c r="A13" t="str">
        <f>IF(OR(Data!$AV13="",Data!$AW13&gt;999),"","^XA^LH0,0^PRB,D^MD20^JMA^FS")</f>
        <v>^XA^LH0,0^PRB,D^MD20^JMA^FS</v>
      </c>
      <c r="B13" t="str">
        <f>IF(A13&lt;&gt;"","^FO20,20^A0N,28,37^CI13^FD"&amp;TEXT(Data!AY$5,"d/m/yyyy")&amp;"^FS","")</f>
        <v>^FO20,20^A0N,28,37^CI13^FD1/9/2026^FS</v>
      </c>
      <c r="C13" t="str">
        <f>IF(A13&lt;&gt;"","^FO220,20^A0N,41,48^CI13^FD"&amp;Data!$BC$5&amp;Data!$BD$5&amp;"/"&amp;RIGHT("000"&amp;Data!AW13,3)&amp;"^FS","")</f>
        <v>^FO220,20^A0N,41,48^CI13^FD10940A/003^FS</v>
      </c>
      <c r="D13" t="str">
        <f>IF(A13&lt;&gt;"","^FO20,55^A0N,30,30^CI13^FD"&amp;Data!$BF$5&amp;"^FS","")</f>
        <v>^FO20,55^A0N,30,30^CI13^FDMcleod, Eric^FS</v>
      </c>
      <c r="E13" t="str">
        <f>IF(A13&lt;&gt;"","^FO20,55^A0N,30,30^CI13^FD"&amp;Data!$BF$5&amp;"^FS","")</f>
        <v>^FO20,55^A0N,30,30^CI13^FDMcleod, Eric^FS</v>
      </c>
      <c r="F13" t="str">
        <f>IF(A13&lt;&gt;"","^FO20,95^A0N,30,30^CI13^FD"&amp;Data!AX$5&amp;"^FS","")</f>
        <v>^FO20,95^A0N,30,30^CI13^FDRetractable Flyscreen ^FS</v>
      </c>
      <c r="G13" t="str">
        <f>IF(A13&lt;&gt;"","^FO20,135^A0N,30,30^CI13^FD"&amp;Data!BE13&amp;"^FS","")</f>
        <v>^FO20,135^A0N,30,30^CI13^FDSQNT Pleated Flyscreen Black^FS</v>
      </c>
      <c r="H13" t="str">
        <f>IF(A13&lt;&gt;"","^FO20,175^A0N,30,30^CI13^FD"&amp;Data!AY13&amp;"^FS","")</f>
        <v>^FO20,175^A0N,30,30^CI13^FDLiving North^FS</v>
      </c>
      <c r="I13" t="str">
        <f>IF(A13&lt;&gt;"","^FO300,175^A0N,30,30^CI13^FD"&amp;"W:"&amp;Data!BA13&amp;" H:"&amp;Data!BB13,"")</f>
        <v>^FO300,175^A0N,30,30^CI13^FDW:1280 H:2640</v>
      </c>
      <c r="J13" t="str">
        <f>IF(A13&lt;&gt;"","^PQ"&amp;Data!$F$18&amp;",0,"&amp;Data!$F$18&amp;",Y","")</f>
        <v>^PQ,0,,Y</v>
      </c>
      <c r="K13" t="str">
        <f t="shared" si="0"/>
        <v>^XZ</v>
      </c>
    </row>
    <row r="14" spans="1:11" ht="13.2" customHeight="1">
      <c r="A14" t="str">
        <f>IF(OR(Data!$AV14="",Data!$AW14&gt;999),"","^XA^LH0,0^PRB,D^MD20^JMA^FS")</f>
        <v/>
      </c>
      <c r="B14" t="str">
        <f>IF(A14&lt;&gt;"","^FO20,20^A0N,28,37^CI13^FD"&amp;TEXT(Data!AY$5,"d/m/yyyy")&amp;"^FS","")</f>
        <v/>
      </c>
      <c r="C14" t="str">
        <f>IF(A14&lt;&gt;"","^FO220,20^A0N,41,48^CI13^FD"&amp;Data!$BC$5&amp;Data!$BD$5&amp;"/"&amp;RIGHT("000"&amp;Data!AW14,3)&amp;"^FS","")</f>
        <v/>
      </c>
      <c r="D14" t="str">
        <f>IF(A14&lt;&gt;"","^FO20,55^A0N,30,30^CI13^FD"&amp;Data!$BF$5&amp;"^FS","")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IF(A14&lt;&gt;"","^PQ"&amp;Data!$F$18&amp;",0,"&amp;Data!$F$18&amp;",Y","")</f>
        <v/>
      </c>
      <c r="K14" t="str">
        <f t="shared" si="0"/>
        <v/>
      </c>
    </row>
    <row r="15" spans="1:11" ht="13.2" customHeight="1">
      <c r="A15" t="str">
        <f>IF(OR(Data!$AV15="",Data!$AW15&gt;999),"","^XA^LH0,0^PRB,D^MD20^JMA^FS")</f>
        <v/>
      </c>
      <c r="B15" t="str">
        <f>IF(A15&lt;&gt;"","^FO20,20^A0N,28,37^CI13^FD"&amp;TEXT(Data!AY$5,"d/m/yyyy")&amp;"^FS","")</f>
        <v/>
      </c>
      <c r="C15" t="str">
        <f>IF(A15&lt;&gt;"","^FO220,20^A0N,41,48^CI13^FD"&amp;Data!$BC$5&amp;Data!$BD$5&amp;"/"&amp;RIGHT("000"&amp;Data!AW15,3)&amp;"^FS","")</f>
        <v/>
      </c>
      <c r="D15" t="str">
        <f>IF(A15&lt;&gt;"","^FO20,55^A0N,30,30^CI13^FD"&amp;Data!$BF$5&amp;"^FS","")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IF(A15&lt;&gt;"","^PQ"&amp;Data!$F$18&amp;",0,"&amp;Data!$F$18&amp;",Y","")</f>
        <v/>
      </c>
      <c r="K15" t="str">
        <f t="shared" si="0"/>
        <v/>
      </c>
    </row>
    <row r="16" spans="1:11" ht="13.2" customHeight="1">
      <c r="A16" t="str">
        <f>IF(OR(Data!$AV16="",Data!$AW16&gt;999),"","^XA^LH0,0^PRB,D^MD20^JMA^FS")</f>
        <v/>
      </c>
      <c r="B16" t="str">
        <f>IF(A16&lt;&gt;"","^FO20,20^A0N,28,37^CI13^FD"&amp;TEXT(Data!AY$5,"d/m/yyyy")&amp;"^FS","")</f>
        <v/>
      </c>
      <c r="C16" t="str">
        <f>IF(A16&lt;&gt;"","^FO220,20^A0N,41,48^CI13^FD"&amp;Data!$BC$5&amp;Data!$BD$5&amp;"/"&amp;RIGHT("000"&amp;Data!AW16,3)&amp;"^FS","")</f>
        <v/>
      </c>
      <c r="D16" t="str">
        <f>IF(A16&lt;&gt;"","^FO20,55^A0N,30,30^CI13^FD"&amp;Data!$BF$5&amp;"^FS","")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IF(A16&lt;&gt;"","^PQ"&amp;Data!$F$18&amp;",0,"&amp;Data!$F$18&amp;",Y","")</f>
        <v/>
      </c>
      <c r="K16" t="str">
        <f t="shared" si="0"/>
        <v/>
      </c>
    </row>
    <row r="17" spans="1:11" ht="13.2" customHeight="1">
      <c r="A17" t="str">
        <f>IF(OR(Data!$AV17="",Data!$AW17&gt;999),"","^XA^LH0,0^PRB,D^MD20^JMA^FS")</f>
        <v/>
      </c>
      <c r="B17" t="str">
        <f>IF(A17&lt;&gt;"","^FO20,20^A0N,28,37^CI13^FD"&amp;TEXT(Data!AY$5,"d/m/yyyy")&amp;"^FS","")</f>
        <v/>
      </c>
      <c r="C17" t="str">
        <f>IF(A17&lt;&gt;"","^FO220,20^A0N,41,48^CI13^FD"&amp;Data!$BC$5&amp;Data!$BD$5&amp;"/"&amp;RIGHT("000"&amp;Data!AW17,3)&amp;"^FS","")</f>
        <v/>
      </c>
      <c r="D17" t="str">
        <f>IF(A17&lt;&gt;"","^FO20,55^A0N,30,30^CI13^FD"&amp;Data!$BF$5&amp;"^FS","")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IF(A17&lt;&gt;"","^PQ"&amp;Data!$F$18&amp;",0,"&amp;Data!$F$18&amp;",Y","")</f>
        <v/>
      </c>
      <c r="K17" t="str">
        <f t="shared" si="0"/>
        <v/>
      </c>
    </row>
    <row r="18" spans="1:11" ht="13.2" customHeight="1">
      <c r="A18" t="str">
        <f>IF(OR(Data!$AV18="",Data!$AW18&gt;999),"","^XA^LH0,0^PRB,D^MD20^JMA^FS")</f>
        <v/>
      </c>
      <c r="B18" t="str">
        <f>IF(A18&lt;&gt;"","^FO20,20^A0N,28,37^CI13^FD"&amp;TEXT(Data!AY$5,"d/m/yyyy")&amp;"^FS","")</f>
        <v/>
      </c>
      <c r="C18" t="str">
        <f>IF(A18&lt;&gt;"","^FO220,20^A0N,41,48^CI13^FD"&amp;Data!$BC$5&amp;Data!$BD$5&amp;"/"&amp;RIGHT("000"&amp;Data!AW18,3)&amp;"^FS","")</f>
        <v/>
      </c>
      <c r="D18" t="str">
        <f>IF(A18&lt;&gt;"","^FO20,55^A0N,30,30^CI13^FD"&amp;Data!$BF$5&amp;"^FS","")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IF(A18&lt;&gt;"","^PQ"&amp;Data!$F$18&amp;",0,"&amp;Data!$F$18&amp;",Y","")</f>
        <v/>
      </c>
      <c r="K18" t="str">
        <f t="shared" si="0"/>
        <v/>
      </c>
    </row>
    <row r="19" spans="1:11" ht="13.2" customHeight="1">
      <c r="A19" t="str">
        <f>IF(OR(Data!$AV19="",Data!$AW19&gt;999),"","^XA^LH0,0^PRB,D^MD20^JMA^FS")</f>
        <v/>
      </c>
      <c r="B19" t="str">
        <f>IF(A19&lt;&gt;"","^FO20,20^A0N,28,37^CI13^FD"&amp;TEXT(Data!AY$5,"d/m/yyyy")&amp;"^FS","")</f>
        <v/>
      </c>
      <c r="C19" t="str">
        <f>IF(A19&lt;&gt;"","^FO220,20^A0N,41,48^CI13^FD"&amp;Data!$BC$5&amp;Data!$BD$5&amp;"/"&amp;RIGHT("000"&amp;Data!AW19,3)&amp;"^FS","")</f>
        <v/>
      </c>
      <c r="D19" t="str">
        <f>IF(A19&lt;&gt;"","^FO20,55^A0N,30,30^CI13^FD"&amp;Data!$BF$5&amp;"^FS","")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IF(A19&lt;&gt;"","^PQ"&amp;Data!$F$18&amp;",0,"&amp;Data!$F$18&amp;",Y","")</f>
        <v/>
      </c>
      <c r="K19" t="str">
        <f t="shared" si="0"/>
        <v/>
      </c>
    </row>
    <row r="20" spans="1:11" ht="13.2" customHeight="1">
      <c r="A20" t="str">
        <f>IF(OR(Data!$AV20="",Data!$AW20&gt;999),"","^XA^LH0,0^PRB,D^MD20^JMA^FS")</f>
        <v/>
      </c>
      <c r="B20" t="str">
        <f>IF(A20&lt;&gt;"","^FO20,20^A0N,28,37^CI13^FD"&amp;TEXT(Data!AY$5,"d/m/yyyy")&amp;"^FS","")</f>
        <v/>
      </c>
      <c r="C20" t="str">
        <f>IF(A20&lt;&gt;"","^FO220,20^A0N,41,48^CI13^FD"&amp;Data!$BC$5&amp;Data!$BD$5&amp;"/"&amp;RIGHT("000"&amp;Data!AW20,3)&amp;"^FS","")</f>
        <v/>
      </c>
      <c r="D20" t="str">
        <f>IF(A20&lt;&gt;"","^FO20,55^A0N,30,30^CI13^FD"&amp;Data!$BF$5&amp;"^FS","")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IF(A20&lt;&gt;"","^PQ"&amp;Data!$F$18&amp;",0,"&amp;Data!$F$18&amp;",Y","")</f>
        <v/>
      </c>
      <c r="K20" t="str">
        <f t="shared" si="0"/>
        <v/>
      </c>
    </row>
  </sheetData>
  <pageMargins left="0.7984251968504" right="0.7984251968504" top="0.75" bottom="0.75" header="0.3" footer="0.3"/>
  <pageSetup horizontalDpi="300" verticalDpi="3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2018-08-14T22:34:40Z</cp:lastPrinted>
  <dcterms:created xsi:type="dcterms:W3CDTF">2004-01-09T05:29:38Z</dcterms:created>
  <dcterms:modified xsi:type="dcterms:W3CDTF">2026-07-14T03:57:19Z</dcterms:modified>
  <cp:category/>
  <cp:contentType/>
  <cp:contentStatus/>
</cp:coreProperties>
</file>